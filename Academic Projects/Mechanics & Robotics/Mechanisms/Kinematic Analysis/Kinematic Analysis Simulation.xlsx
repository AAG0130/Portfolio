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e\Desktop\EAFIT\2022-1\Mecanismos\Taller computacional\Actividad 7\"/>
    </mc:Choice>
  </mc:AlternateContent>
  <xr:revisionPtr revIDLastSave="0" documentId="13_ncr:1_{6AF5C44C-DD72-4933-905B-D4FF3594285E}" xr6:coauthVersionLast="47" xr6:coauthVersionMax="47" xr10:uidLastSave="{00000000-0000-0000-0000-000000000000}"/>
  <bookViews>
    <workbookView xWindow="-110" yWindow="-110" windowWidth="19420" windowHeight="10300" xr2:uid="{727D1AB0-F6BA-4BC6-A1C2-F187758B6FA3}"/>
  </bookViews>
  <sheets>
    <sheet name="Simulacion" sheetId="5" r:id="rId1"/>
  </sheets>
  <definedNames>
    <definedName name="AI">#REF!</definedName>
    <definedName name="R.1">#REF!</definedName>
    <definedName name="R.2">#REF!</definedName>
    <definedName name="R.3">#REF!</definedName>
    <definedName name="R.4">#REF!</definedName>
    <definedName name="T.1">#REF!</definedName>
    <definedName name="T.4">#REF!</definedName>
    <definedName name="T2I">#REF!</definedName>
    <definedName name="W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5" i="5" l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J2381" i="5"/>
  <c r="J2380" i="5"/>
  <c r="J2372" i="5"/>
  <c r="J2371" i="5"/>
  <c r="J2363" i="5"/>
  <c r="J2362" i="5"/>
  <c r="J2354" i="5"/>
  <c r="J2353" i="5"/>
  <c r="J2345" i="5"/>
  <c r="J2344" i="5"/>
  <c r="J2336" i="5"/>
  <c r="J2335" i="5"/>
  <c r="J2327" i="5"/>
  <c r="J2326" i="5"/>
  <c r="J2318" i="5"/>
  <c r="J2317" i="5"/>
  <c r="J2309" i="5"/>
  <c r="J2308" i="5"/>
  <c r="J2300" i="5"/>
  <c r="J2299" i="5"/>
  <c r="J2291" i="5"/>
  <c r="J2290" i="5"/>
  <c r="J2282" i="5"/>
  <c r="J2281" i="5"/>
  <c r="J2273" i="5"/>
  <c r="J2272" i="5"/>
  <c r="J2264" i="5"/>
  <c r="J2263" i="5"/>
  <c r="J2255" i="5"/>
  <c r="J2254" i="5"/>
  <c r="J2246" i="5"/>
  <c r="J2245" i="5"/>
  <c r="J2237" i="5"/>
  <c r="J2236" i="5"/>
  <c r="J2228" i="5"/>
  <c r="J2227" i="5"/>
  <c r="J2219" i="5"/>
  <c r="J2218" i="5"/>
  <c r="J2210" i="5"/>
  <c r="J2209" i="5"/>
  <c r="J2201" i="5"/>
  <c r="J2200" i="5"/>
  <c r="J2192" i="5"/>
  <c r="J2191" i="5"/>
  <c r="J2183" i="5"/>
  <c r="J2182" i="5"/>
  <c r="J2174" i="5"/>
  <c r="J2173" i="5"/>
  <c r="J2165" i="5"/>
  <c r="J2164" i="5"/>
  <c r="J2156" i="5"/>
  <c r="J2155" i="5"/>
  <c r="J2147" i="5"/>
  <c r="J2146" i="5"/>
  <c r="J2138" i="5"/>
  <c r="J2137" i="5"/>
  <c r="J2129" i="5"/>
  <c r="J2128" i="5"/>
  <c r="J2120" i="5"/>
  <c r="J2119" i="5"/>
  <c r="J2111" i="5"/>
  <c r="J2110" i="5"/>
  <c r="J2102" i="5"/>
  <c r="J2101" i="5"/>
  <c r="J2093" i="5"/>
  <c r="J2092" i="5"/>
  <c r="J2084" i="5"/>
  <c r="J2083" i="5"/>
  <c r="J2075" i="5"/>
  <c r="J2074" i="5"/>
  <c r="J2066" i="5"/>
  <c r="J2065" i="5"/>
  <c r="J2057" i="5"/>
  <c r="J2056" i="5"/>
  <c r="J2048" i="5"/>
  <c r="J2047" i="5"/>
  <c r="J2039" i="5"/>
  <c r="J2038" i="5"/>
  <c r="J2030" i="5"/>
  <c r="J2029" i="5"/>
  <c r="J2021" i="5"/>
  <c r="J2020" i="5"/>
  <c r="J2012" i="5"/>
  <c r="J2011" i="5"/>
  <c r="J2003" i="5"/>
  <c r="J2002" i="5"/>
  <c r="J1994" i="5"/>
  <c r="J1993" i="5"/>
  <c r="J1985" i="5"/>
  <c r="J1984" i="5"/>
  <c r="J1976" i="5"/>
  <c r="J1975" i="5"/>
  <c r="J1967" i="5"/>
  <c r="J1966" i="5"/>
  <c r="J1958" i="5"/>
  <c r="J1957" i="5"/>
  <c r="J1949" i="5"/>
  <c r="J1948" i="5"/>
  <c r="J1940" i="5"/>
  <c r="J1939" i="5"/>
  <c r="J1931" i="5"/>
  <c r="J1930" i="5"/>
  <c r="J1922" i="5"/>
  <c r="J1921" i="5"/>
  <c r="J1913" i="5"/>
  <c r="J1912" i="5"/>
  <c r="J1904" i="5"/>
  <c r="J1903" i="5"/>
  <c r="J1895" i="5"/>
  <c r="J1894" i="5"/>
  <c r="J1886" i="5"/>
  <c r="J1885" i="5"/>
  <c r="J1877" i="5"/>
  <c r="J1876" i="5"/>
  <c r="F13" i="5"/>
  <c r="J1867" i="5"/>
  <c r="J1868" i="5"/>
  <c r="J1849" i="5"/>
  <c r="J1850" i="5"/>
  <c r="J1858" i="5"/>
  <c r="J1859" i="5"/>
  <c r="J1174" i="5"/>
  <c r="J1175" i="5"/>
  <c r="J1183" i="5"/>
  <c r="J1184" i="5"/>
  <c r="J1192" i="5"/>
  <c r="J1193" i="5"/>
  <c r="J1201" i="5"/>
  <c r="J1202" i="5"/>
  <c r="J1210" i="5"/>
  <c r="J1211" i="5"/>
  <c r="J1219" i="5"/>
  <c r="J1220" i="5"/>
  <c r="J1228" i="5"/>
  <c r="J1229" i="5"/>
  <c r="J1237" i="5"/>
  <c r="J1238" i="5"/>
  <c r="J1246" i="5"/>
  <c r="J1247" i="5"/>
  <c r="J1255" i="5"/>
  <c r="J1256" i="5"/>
  <c r="J1264" i="5"/>
  <c r="J1265" i="5"/>
  <c r="J1273" i="5"/>
  <c r="J1274" i="5"/>
  <c r="J1282" i="5"/>
  <c r="J1283" i="5"/>
  <c r="J1291" i="5"/>
  <c r="J1292" i="5"/>
  <c r="J1300" i="5"/>
  <c r="J1301" i="5"/>
  <c r="J1309" i="5"/>
  <c r="J1310" i="5"/>
  <c r="J1318" i="5"/>
  <c r="J1319" i="5"/>
  <c r="J1327" i="5"/>
  <c r="J1328" i="5"/>
  <c r="J1336" i="5"/>
  <c r="J1337" i="5"/>
  <c r="J1345" i="5"/>
  <c r="J1346" i="5"/>
  <c r="J1354" i="5"/>
  <c r="J1355" i="5"/>
  <c r="J1363" i="5"/>
  <c r="J1364" i="5"/>
  <c r="J1372" i="5"/>
  <c r="J1373" i="5"/>
  <c r="J1381" i="5"/>
  <c r="J1382" i="5"/>
  <c r="J1390" i="5"/>
  <c r="J1391" i="5"/>
  <c r="J1399" i="5"/>
  <c r="J1400" i="5"/>
  <c r="J1408" i="5"/>
  <c r="J1409" i="5"/>
  <c r="J1417" i="5"/>
  <c r="J1418" i="5"/>
  <c r="J1426" i="5"/>
  <c r="J1427" i="5"/>
  <c r="J1435" i="5"/>
  <c r="J1436" i="5"/>
  <c r="J1444" i="5"/>
  <c r="J1445" i="5"/>
  <c r="J1453" i="5"/>
  <c r="J1454" i="5"/>
  <c r="J1462" i="5"/>
  <c r="J1463" i="5"/>
  <c r="J1471" i="5"/>
  <c r="J1472" i="5"/>
  <c r="J1480" i="5"/>
  <c r="J1481" i="5"/>
  <c r="J1489" i="5"/>
  <c r="J1490" i="5"/>
  <c r="J1498" i="5"/>
  <c r="J1499" i="5"/>
  <c r="J1507" i="5"/>
  <c r="J1508" i="5"/>
  <c r="J1516" i="5"/>
  <c r="J1517" i="5"/>
  <c r="J1525" i="5"/>
  <c r="J1526" i="5"/>
  <c r="J1534" i="5"/>
  <c r="J1535" i="5"/>
  <c r="J1543" i="5"/>
  <c r="J1544" i="5"/>
  <c r="J1552" i="5"/>
  <c r="J1553" i="5"/>
  <c r="J1561" i="5"/>
  <c r="J1562" i="5"/>
  <c r="J1570" i="5"/>
  <c r="J1571" i="5"/>
  <c r="J1579" i="5"/>
  <c r="J1580" i="5"/>
  <c r="J1588" i="5"/>
  <c r="J1589" i="5"/>
  <c r="J1597" i="5"/>
  <c r="J1598" i="5"/>
  <c r="J1606" i="5"/>
  <c r="J1607" i="5"/>
  <c r="J1615" i="5"/>
  <c r="J1616" i="5"/>
  <c r="J1624" i="5"/>
  <c r="J1625" i="5"/>
  <c r="J1633" i="5"/>
  <c r="J1634" i="5"/>
  <c r="J1642" i="5"/>
  <c r="J1643" i="5"/>
  <c r="J1651" i="5"/>
  <c r="J1652" i="5"/>
  <c r="J1660" i="5"/>
  <c r="J1661" i="5"/>
  <c r="J1669" i="5"/>
  <c r="J1670" i="5"/>
  <c r="J1678" i="5"/>
  <c r="J1679" i="5"/>
  <c r="J1687" i="5"/>
  <c r="J1688" i="5"/>
  <c r="J1696" i="5"/>
  <c r="J1697" i="5"/>
  <c r="J1705" i="5"/>
  <c r="J1706" i="5"/>
  <c r="J1714" i="5"/>
  <c r="J1715" i="5"/>
  <c r="J1723" i="5"/>
  <c r="J1724" i="5"/>
  <c r="J1732" i="5"/>
  <c r="J1733" i="5"/>
  <c r="J1741" i="5"/>
  <c r="J1742" i="5"/>
  <c r="J1750" i="5"/>
  <c r="J1751" i="5"/>
  <c r="J1759" i="5"/>
  <c r="J1760" i="5"/>
  <c r="J1768" i="5"/>
  <c r="J1769" i="5"/>
  <c r="J1777" i="5"/>
  <c r="J1778" i="5"/>
  <c r="J1786" i="5"/>
  <c r="J1787" i="5"/>
  <c r="J1795" i="5"/>
  <c r="J1796" i="5"/>
  <c r="J1804" i="5"/>
  <c r="J1805" i="5"/>
  <c r="J1813" i="5"/>
  <c r="J1814" i="5"/>
  <c r="J1822" i="5"/>
  <c r="J1823" i="5"/>
  <c r="J1831" i="5"/>
  <c r="J1832" i="5"/>
  <c r="J1840" i="5"/>
  <c r="J1841" i="5"/>
  <c r="J823" i="5"/>
  <c r="J824" i="5"/>
  <c r="J832" i="5"/>
  <c r="J833" i="5"/>
  <c r="J841" i="5"/>
  <c r="J842" i="5"/>
  <c r="J850" i="5"/>
  <c r="J851" i="5"/>
  <c r="J859" i="5"/>
  <c r="J860" i="5"/>
  <c r="J868" i="5"/>
  <c r="J869" i="5"/>
  <c r="J877" i="5"/>
  <c r="J878" i="5"/>
  <c r="J886" i="5"/>
  <c r="J887" i="5"/>
  <c r="J895" i="5"/>
  <c r="J896" i="5"/>
  <c r="J904" i="5"/>
  <c r="J905" i="5"/>
  <c r="J913" i="5"/>
  <c r="J914" i="5"/>
  <c r="J922" i="5"/>
  <c r="J923" i="5"/>
  <c r="J931" i="5"/>
  <c r="J932" i="5"/>
  <c r="J940" i="5"/>
  <c r="J941" i="5"/>
  <c r="J949" i="5"/>
  <c r="J950" i="5"/>
  <c r="J958" i="5"/>
  <c r="J959" i="5"/>
  <c r="J967" i="5"/>
  <c r="J968" i="5"/>
  <c r="J976" i="5"/>
  <c r="J977" i="5"/>
  <c r="J985" i="5"/>
  <c r="J986" i="5"/>
  <c r="J994" i="5"/>
  <c r="J995" i="5"/>
  <c r="J1003" i="5"/>
  <c r="J1004" i="5"/>
  <c r="J1012" i="5"/>
  <c r="J1013" i="5"/>
  <c r="J1021" i="5"/>
  <c r="J1022" i="5"/>
  <c r="J1030" i="5"/>
  <c r="J1031" i="5"/>
  <c r="J1039" i="5"/>
  <c r="J1040" i="5"/>
  <c r="J1048" i="5"/>
  <c r="J1049" i="5"/>
  <c r="J1057" i="5"/>
  <c r="J1058" i="5"/>
  <c r="J1066" i="5"/>
  <c r="J1067" i="5"/>
  <c r="J1075" i="5"/>
  <c r="J1076" i="5"/>
  <c r="J1084" i="5"/>
  <c r="J1085" i="5"/>
  <c r="J1093" i="5"/>
  <c r="J1094" i="5"/>
  <c r="J1102" i="5"/>
  <c r="J1103" i="5"/>
  <c r="J1111" i="5"/>
  <c r="J1112" i="5"/>
  <c r="J1120" i="5"/>
  <c r="J1121" i="5"/>
  <c r="J1129" i="5"/>
  <c r="J1130" i="5"/>
  <c r="J1138" i="5"/>
  <c r="J1139" i="5"/>
  <c r="J1147" i="5"/>
  <c r="J1148" i="5"/>
  <c r="J1156" i="5"/>
  <c r="J1157" i="5"/>
  <c r="J1165" i="5"/>
  <c r="J1166" i="5"/>
  <c r="J40" i="5"/>
  <c r="J41" i="5"/>
  <c r="J49" i="5"/>
  <c r="J50" i="5"/>
  <c r="J58" i="5"/>
  <c r="J59" i="5"/>
  <c r="J67" i="5"/>
  <c r="J68" i="5"/>
  <c r="J76" i="5"/>
  <c r="J77" i="5"/>
  <c r="J85" i="5"/>
  <c r="J86" i="5"/>
  <c r="J94" i="5"/>
  <c r="J95" i="5"/>
  <c r="J103" i="5"/>
  <c r="J104" i="5"/>
  <c r="J112" i="5"/>
  <c r="J113" i="5"/>
  <c r="J121" i="5"/>
  <c r="J122" i="5"/>
  <c r="J130" i="5"/>
  <c r="J131" i="5"/>
  <c r="J139" i="5"/>
  <c r="J140" i="5"/>
  <c r="J148" i="5"/>
  <c r="J149" i="5"/>
  <c r="J157" i="5"/>
  <c r="J158" i="5"/>
  <c r="J166" i="5"/>
  <c r="J167" i="5"/>
  <c r="J175" i="5"/>
  <c r="J176" i="5"/>
  <c r="J184" i="5"/>
  <c r="J185" i="5"/>
  <c r="J193" i="5"/>
  <c r="J194" i="5"/>
  <c r="J202" i="5"/>
  <c r="J203" i="5"/>
  <c r="J211" i="5"/>
  <c r="J212" i="5"/>
  <c r="J220" i="5"/>
  <c r="J221" i="5"/>
  <c r="J229" i="5"/>
  <c r="J230" i="5"/>
  <c r="J238" i="5"/>
  <c r="J239" i="5"/>
  <c r="J247" i="5"/>
  <c r="J248" i="5"/>
  <c r="J256" i="5"/>
  <c r="J257" i="5"/>
  <c r="J265" i="5"/>
  <c r="J266" i="5"/>
  <c r="J274" i="5"/>
  <c r="J275" i="5"/>
  <c r="J283" i="5"/>
  <c r="J284" i="5"/>
  <c r="J292" i="5"/>
  <c r="J293" i="5"/>
  <c r="J301" i="5"/>
  <c r="J302" i="5"/>
  <c r="J310" i="5"/>
  <c r="J311" i="5"/>
  <c r="J319" i="5"/>
  <c r="J320" i="5"/>
  <c r="J328" i="5"/>
  <c r="J329" i="5"/>
  <c r="J337" i="5"/>
  <c r="J338" i="5"/>
  <c r="J346" i="5"/>
  <c r="J347" i="5"/>
  <c r="J355" i="5"/>
  <c r="J356" i="5"/>
  <c r="J364" i="5"/>
  <c r="J365" i="5"/>
  <c r="J373" i="5"/>
  <c r="J374" i="5"/>
  <c r="J382" i="5"/>
  <c r="J383" i="5"/>
  <c r="J391" i="5"/>
  <c r="J392" i="5"/>
  <c r="J400" i="5"/>
  <c r="J401" i="5"/>
  <c r="J409" i="5"/>
  <c r="J410" i="5"/>
  <c r="J418" i="5"/>
  <c r="J419" i="5"/>
  <c r="J427" i="5"/>
  <c r="J428" i="5"/>
  <c r="J436" i="5"/>
  <c r="J437" i="5"/>
  <c r="J445" i="5"/>
  <c r="J446" i="5"/>
  <c r="J454" i="5"/>
  <c r="J455" i="5"/>
  <c r="J463" i="5"/>
  <c r="J464" i="5"/>
  <c r="J472" i="5"/>
  <c r="J473" i="5"/>
  <c r="J481" i="5"/>
  <c r="J482" i="5"/>
  <c r="J490" i="5"/>
  <c r="J491" i="5"/>
  <c r="J499" i="5"/>
  <c r="J500" i="5"/>
  <c r="J508" i="5"/>
  <c r="J509" i="5"/>
  <c r="J517" i="5"/>
  <c r="J518" i="5"/>
  <c r="J526" i="5"/>
  <c r="J527" i="5"/>
  <c r="J535" i="5"/>
  <c r="J536" i="5"/>
  <c r="J544" i="5"/>
  <c r="J545" i="5"/>
  <c r="J553" i="5"/>
  <c r="J554" i="5"/>
  <c r="J562" i="5"/>
  <c r="J563" i="5"/>
  <c r="J571" i="5"/>
  <c r="J572" i="5"/>
  <c r="J580" i="5"/>
  <c r="J581" i="5"/>
  <c r="J589" i="5"/>
  <c r="J590" i="5"/>
  <c r="J598" i="5"/>
  <c r="J599" i="5"/>
  <c r="J607" i="5"/>
  <c r="J608" i="5"/>
  <c r="J616" i="5"/>
  <c r="J617" i="5"/>
  <c r="J625" i="5"/>
  <c r="J626" i="5"/>
  <c r="J634" i="5"/>
  <c r="J635" i="5"/>
  <c r="J643" i="5"/>
  <c r="J644" i="5"/>
  <c r="J652" i="5"/>
  <c r="J653" i="5"/>
  <c r="J661" i="5"/>
  <c r="J662" i="5"/>
  <c r="J670" i="5"/>
  <c r="J671" i="5"/>
  <c r="J679" i="5"/>
  <c r="J680" i="5"/>
  <c r="J688" i="5"/>
  <c r="J689" i="5"/>
  <c r="J697" i="5"/>
  <c r="J698" i="5"/>
  <c r="J706" i="5"/>
  <c r="J707" i="5"/>
  <c r="J715" i="5"/>
  <c r="J716" i="5"/>
  <c r="J724" i="5"/>
  <c r="J725" i="5"/>
  <c r="J733" i="5"/>
  <c r="J734" i="5"/>
  <c r="J742" i="5"/>
  <c r="J743" i="5"/>
  <c r="J751" i="5"/>
  <c r="J752" i="5"/>
  <c r="J760" i="5"/>
  <c r="J761" i="5"/>
  <c r="J769" i="5"/>
  <c r="J770" i="5"/>
  <c r="J778" i="5"/>
  <c r="J779" i="5"/>
  <c r="J787" i="5"/>
  <c r="J788" i="5"/>
  <c r="J796" i="5"/>
  <c r="J797" i="5"/>
  <c r="J805" i="5"/>
  <c r="J806" i="5"/>
  <c r="J814" i="5"/>
  <c r="J815" i="5"/>
  <c r="J32" i="5"/>
  <c r="J31" i="5"/>
  <c r="J23" i="5"/>
  <c r="J22" i="5"/>
  <c r="J14" i="5"/>
  <c r="J13" i="5"/>
  <c r="C12" i="5"/>
  <c r="I14" i="5" s="1"/>
  <c r="C11" i="5"/>
  <c r="C4" i="5"/>
  <c r="F11" i="5" l="1"/>
  <c r="O13" i="5" s="1"/>
  <c r="O15" i="5"/>
  <c r="F12" i="5"/>
  <c r="O14" i="5" s="1"/>
  <c r="H13" i="5"/>
  <c r="H14" i="5"/>
  <c r="I13" i="5"/>
  <c r="L13" i="5" l="1" a="1"/>
  <c r="L13" i="5" s="1"/>
  <c r="Q13" i="5" s="1" a="1"/>
  <c r="Q13" i="5" l="1"/>
  <c r="C20" i="5" s="1"/>
  <c r="F22" i="5" s="1"/>
  <c r="C21" i="5"/>
  <c r="B22" i="5"/>
  <c r="B27" i="5" l="1"/>
  <c r="F21" i="5"/>
  <c r="O23" i="5" s="1"/>
  <c r="F20" i="5"/>
  <c r="O22" i="5" s="1"/>
  <c r="B21" i="5"/>
  <c r="I22" i="5"/>
  <c r="I23" i="5"/>
  <c r="H23" i="5"/>
  <c r="B20" i="5"/>
  <c r="H22" i="5"/>
  <c r="O24" i="5"/>
  <c r="L22" i="5" l="1" a="1"/>
  <c r="L22" i="5" s="1"/>
  <c r="Q22" i="5" s="1" a="1"/>
  <c r="Q22" i="5" l="1"/>
  <c r="C29" i="5" s="1"/>
  <c r="F31" i="5" s="1"/>
  <c r="B31" i="5"/>
  <c r="C30" i="5"/>
  <c r="B30" i="5" l="1"/>
  <c r="I32" i="5"/>
  <c r="I31" i="5"/>
  <c r="F29" i="5"/>
  <c r="O31" i="5" s="1"/>
  <c r="F30" i="5"/>
  <c r="O32" i="5" s="1"/>
  <c r="B36" i="5"/>
  <c r="H32" i="5"/>
  <c r="O33" i="5"/>
  <c r="B29" i="5"/>
  <c r="H31" i="5"/>
  <c r="L31" i="5" l="1" a="1"/>
  <c r="L31" i="5" s="1"/>
  <c r="Q31" i="5" s="1" a="1"/>
  <c r="Q31" i="5" s="1"/>
  <c r="C38" i="5" s="1"/>
  <c r="F40" i="5" s="1"/>
  <c r="O42" i="5" s="1"/>
  <c r="B38" i="5" l="1"/>
  <c r="B40" i="5"/>
  <c r="B45" i="5" s="1"/>
  <c r="H41" i="5"/>
  <c r="C39" i="5"/>
  <c r="F39" i="5" s="1"/>
  <c r="O41" i="5" s="1"/>
  <c r="H40" i="5"/>
  <c r="I40" i="5"/>
  <c r="I41" i="5"/>
  <c r="L40" i="5" s="1" a="1"/>
  <c r="L40" i="5" s="1"/>
  <c r="F38" i="5" l="1"/>
  <c r="O40" i="5" s="1"/>
  <c r="Q40" i="5" s="1" a="1"/>
  <c r="B39" i="5"/>
  <c r="Q40" i="5" l="1"/>
  <c r="C47" i="5" s="1"/>
  <c r="C48" i="5"/>
  <c r="I50" i="5" s="1"/>
  <c r="B49" i="5"/>
  <c r="B54" i="5" s="1"/>
  <c r="F47" i="5"/>
  <c r="O49" i="5" s="1"/>
  <c r="F48" i="5"/>
  <c r="O50" i="5" s="1"/>
  <c r="I49" i="5" l="1"/>
  <c r="B48" i="5"/>
  <c r="F49" i="5"/>
  <c r="O51" i="5" s="1"/>
  <c r="H50" i="5"/>
  <c r="H49" i="5"/>
  <c r="B47" i="5"/>
  <c r="L49" i="5" a="1"/>
  <c r="L49" i="5" s="1"/>
  <c r="Q49" i="5" s="1" a="1"/>
  <c r="Q49" i="5" s="1"/>
  <c r="C56" i="5" s="1"/>
  <c r="F58" i="5" l="1"/>
  <c r="T3" i="5"/>
  <c r="B58" i="5"/>
  <c r="C57" i="5"/>
  <c r="U3" i="5" s="1"/>
  <c r="F57" i="5"/>
  <c r="O59" i="5" s="1"/>
  <c r="I58" i="5"/>
  <c r="H59" i="5"/>
  <c r="O60" i="5"/>
  <c r="B56" i="5"/>
  <c r="H58" i="5"/>
  <c r="F56" i="5" l="1"/>
  <c r="O58" i="5" s="1"/>
  <c r="B63" i="5"/>
  <c r="V3" i="5"/>
  <c r="I59" i="5"/>
  <c r="L58" i="5" s="1" a="1"/>
  <c r="L58" i="5" s="1"/>
  <c r="Q58" i="5" s="1" a="1"/>
  <c r="B57" i="5"/>
  <c r="Q58" i="5" l="1"/>
  <c r="C65" i="5" s="1"/>
  <c r="F67" i="5" s="1"/>
  <c r="C66" i="5"/>
  <c r="B67" i="5"/>
  <c r="F66" i="5" l="1"/>
  <c r="O68" i="5" s="1"/>
  <c r="F65" i="5"/>
  <c r="O67" i="5" s="1"/>
  <c r="B72" i="5"/>
  <c r="I67" i="5"/>
  <c r="B66" i="5"/>
  <c r="I68" i="5"/>
  <c r="H68" i="5"/>
  <c r="O69" i="5"/>
  <c r="B65" i="5"/>
  <c r="H67" i="5"/>
  <c r="L67" i="5" l="1" a="1"/>
  <c r="L67" i="5" s="1"/>
  <c r="Q67" i="5" s="1" a="1"/>
  <c r="Q67" i="5" s="1"/>
  <c r="C74" i="5" s="1"/>
  <c r="H76" i="5" l="1"/>
  <c r="F76" i="5"/>
  <c r="C75" i="5"/>
  <c r="I76" i="5" s="1"/>
  <c r="O78" i="5"/>
  <c r="B76" i="5"/>
  <c r="B81" i="5" s="1"/>
  <c r="B74" i="5"/>
  <c r="H77" i="5"/>
  <c r="F75" i="5" l="1"/>
  <c r="O77" i="5" s="1"/>
  <c r="F74" i="5"/>
  <c r="O76" i="5" s="1"/>
  <c r="I77" i="5"/>
  <c r="L76" i="5" s="1" a="1"/>
  <c r="L76" i="5" s="1"/>
  <c r="Q76" i="5" s="1" a="1"/>
  <c r="Q76" i="5" s="1"/>
  <c r="C83" i="5" s="1"/>
  <c r="B75" i="5"/>
  <c r="F85" i="5" l="1"/>
  <c r="O87" i="5" s="1"/>
  <c r="T4" i="5"/>
  <c r="C84" i="5"/>
  <c r="B85" i="5"/>
  <c r="V4" i="5" s="1"/>
  <c r="F84" i="5"/>
  <c r="O86" i="5" s="1"/>
  <c r="F83" i="5"/>
  <c r="O85" i="5" s="1"/>
  <c r="B90" i="5"/>
  <c r="H85" i="5"/>
  <c r="H86" i="5"/>
  <c r="B83" i="5"/>
  <c r="I86" i="5" l="1"/>
  <c r="U4" i="5"/>
  <c r="I85" i="5"/>
  <c r="B84" i="5"/>
  <c r="L85" i="5" l="1" a="1"/>
  <c r="L85" i="5" s="1"/>
  <c r="Q85" i="5" s="1" a="1"/>
  <c r="Q85" i="5" s="1"/>
  <c r="C92" i="5" s="1"/>
  <c r="F94" i="5" s="1"/>
  <c r="B94" i="5" l="1"/>
  <c r="C93" i="5"/>
  <c r="I94" i="5" s="1"/>
  <c r="F93" i="5"/>
  <c r="O95" i="5" s="1"/>
  <c r="F92" i="5"/>
  <c r="O94" i="5" s="1"/>
  <c r="B99" i="5"/>
  <c r="I95" i="5"/>
  <c r="B93" i="5"/>
  <c r="H94" i="5"/>
  <c r="H95" i="5"/>
  <c r="O96" i="5"/>
  <c r="B92" i="5"/>
  <c r="L94" i="5" l="1" a="1"/>
  <c r="L94" i="5" s="1"/>
  <c r="Q94" i="5" s="1" a="1"/>
  <c r="Q94" i="5" s="1"/>
  <c r="C101" i="5" s="1"/>
  <c r="F103" i="5" l="1"/>
  <c r="O105" i="5" s="1"/>
  <c r="C102" i="5"/>
  <c r="I103" i="5" s="1"/>
  <c r="H104" i="5"/>
  <c r="B103" i="5"/>
  <c r="F102" i="5" s="1"/>
  <c r="O104" i="5" s="1"/>
  <c r="B101" i="5"/>
  <c r="H103" i="5"/>
  <c r="I104" i="5"/>
  <c r="B102" i="5" l="1"/>
  <c r="L103" i="5" a="1"/>
  <c r="L103" i="5" s="1"/>
  <c r="B108" i="5"/>
  <c r="F101" i="5"/>
  <c r="O103" i="5" s="1"/>
  <c r="Q103" i="5" l="1" a="1"/>
  <c r="Q103" i="5" s="1"/>
  <c r="C110" i="5" s="1"/>
  <c r="F112" i="5" l="1"/>
  <c r="O114" i="5" s="1"/>
  <c r="T5" i="5"/>
  <c r="B112" i="5"/>
  <c r="C111" i="5"/>
  <c r="B110" i="5"/>
  <c r="H112" i="5"/>
  <c r="H113" i="5"/>
  <c r="V5" i="5" l="1"/>
  <c r="I113" i="5"/>
  <c r="U5" i="5"/>
  <c r="I112" i="5"/>
  <c r="L112" i="5" s="1" a="1"/>
  <c r="L112" i="5" s="1"/>
  <c r="B117" i="5"/>
  <c r="F111" i="5"/>
  <c r="O113" i="5" s="1"/>
  <c r="B111" i="5"/>
  <c r="F110" i="5"/>
  <c r="O112" i="5" s="1"/>
  <c r="Q112" i="5" l="1" a="1"/>
  <c r="Q112" i="5" s="1"/>
  <c r="C119" i="5" s="1"/>
  <c r="F121" i="5" s="1"/>
  <c r="B121" i="5" l="1"/>
  <c r="C120" i="5"/>
  <c r="I121" i="5" s="1"/>
  <c r="F120" i="5"/>
  <c r="O122" i="5" s="1"/>
  <c r="F119" i="5"/>
  <c r="O121" i="5" s="1"/>
  <c r="B126" i="5"/>
  <c r="B120" i="5"/>
  <c r="I122" i="5"/>
  <c r="O123" i="5"/>
  <c r="H121" i="5"/>
  <c r="H122" i="5"/>
  <c r="B119" i="5"/>
  <c r="L121" i="5" l="1" a="1"/>
  <c r="L121" i="5" s="1"/>
  <c r="Q121" i="5" s="1" a="1"/>
  <c r="Q121" i="5" l="1"/>
  <c r="C128" i="5" s="1"/>
  <c r="F130" i="5" s="1"/>
  <c r="C129" i="5"/>
  <c r="B130" i="5"/>
  <c r="F128" i="5" l="1"/>
  <c r="O130" i="5" s="1"/>
  <c r="F129" i="5"/>
  <c r="O131" i="5" s="1"/>
  <c r="B135" i="5"/>
  <c r="B129" i="5"/>
  <c r="I131" i="5"/>
  <c r="I130" i="5"/>
  <c r="O132" i="5"/>
  <c r="B128" i="5"/>
  <c r="H130" i="5"/>
  <c r="H131" i="5"/>
  <c r="L130" i="5" l="1" a="1"/>
  <c r="L130" i="5" s="1"/>
  <c r="Q130" i="5" s="1" a="1"/>
  <c r="Q130" i="5" l="1"/>
  <c r="C137" i="5" s="1"/>
  <c r="C138" i="5"/>
  <c r="U6" i="5" s="1"/>
  <c r="B139" i="5"/>
  <c r="V6" i="5" s="1"/>
  <c r="F139" i="5" l="1"/>
  <c r="O141" i="5" s="1"/>
  <c r="T6" i="5"/>
  <c r="F137" i="5"/>
  <c r="O139" i="5" s="1"/>
  <c r="F138" i="5"/>
  <c r="O140" i="5" s="1"/>
  <c r="B144" i="5"/>
  <c r="I140" i="5"/>
  <c r="B138" i="5"/>
  <c r="I139" i="5"/>
  <c r="H139" i="5"/>
  <c r="H140" i="5"/>
  <c r="B137" i="5"/>
  <c r="L139" i="5" l="1" a="1"/>
  <c r="L139" i="5" s="1"/>
  <c r="Q139" i="5" s="1" a="1"/>
  <c r="Q139" i="5" s="1"/>
  <c r="C146" i="5" s="1"/>
  <c r="F148" i="5" s="1"/>
  <c r="O150" i="5" s="1"/>
  <c r="B148" i="5" l="1"/>
  <c r="B153" i="5" s="1"/>
  <c r="B146" i="5"/>
  <c r="H149" i="5"/>
  <c r="C147" i="5"/>
  <c r="B147" i="5" s="1"/>
  <c r="H148" i="5"/>
  <c r="I148" i="5"/>
  <c r="F146" i="5"/>
  <c r="O148" i="5" s="1"/>
  <c r="F147" i="5" l="1"/>
  <c r="O149" i="5" s="1"/>
  <c r="I149" i="5"/>
  <c r="L148" i="5" s="1" a="1"/>
  <c r="L148" i="5" s="1"/>
  <c r="Q148" i="5" s="1" a="1"/>
  <c r="Q148" i="5" s="1"/>
  <c r="C155" i="5" s="1"/>
  <c r="H157" i="5" l="1"/>
  <c r="F157" i="5"/>
  <c r="O159" i="5" s="1"/>
  <c r="B157" i="5"/>
  <c r="C156" i="5"/>
  <c r="B156" i="5" s="1"/>
  <c r="H158" i="5"/>
  <c r="B155" i="5"/>
  <c r="I158" i="5"/>
  <c r="B162" i="5" l="1"/>
  <c r="F155" i="5"/>
  <c r="O157" i="5" s="1"/>
  <c r="F156" i="5"/>
  <c r="O158" i="5" s="1"/>
  <c r="I157" i="5"/>
  <c r="L157" i="5" s="1" a="1"/>
  <c r="L157" i="5" s="1"/>
  <c r="Q157" i="5" s="1" a="1"/>
  <c r="Q157" i="5" s="1"/>
  <c r="C164" i="5" s="1"/>
  <c r="F166" i="5" l="1"/>
  <c r="T7" i="5"/>
  <c r="B166" i="5"/>
  <c r="C165" i="5"/>
  <c r="O168" i="5"/>
  <c r="H166" i="5"/>
  <c r="B164" i="5"/>
  <c r="H167" i="5"/>
  <c r="B171" i="5" l="1"/>
  <c r="V7" i="5"/>
  <c r="B165" i="5"/>
  <c r="U7" i="5"/>
  <c r="I167" i="5"/>
  <c r="I166" i="5"/>
  <c r="F165" i="5"/>
  <c r="O167" i="5" s="1"/>
  <c r="L166" i="5" a="1"/>
  <c r="L166" i="5" s="1"/>
  <c r="F164" i="5"/>
  <c r="O166" i="5" s="1"/>
  <c r="Q166" i="5" l="1" a="1"/>
  <c r="Q166" i="5" s="1"/>
  <c r="C173" i="5" s="1"/>
  <c r="H176" i="5" s="1"/>
  <c r="H175" i="5" l="1"/>
  <c r="C174" i="5"/>
  <c r="I175" i="5" s="1"/>
  <c r="B173" i="5"/>
  <c r="F175" i="5"/>
  <c r="O177" i="5" s="1"/>
  <c r="B175" i="5"/>
  <c r="F173" i="5" s="1"/>
  <c r="O175" i="5" s="1"/>
  <c r="B174" i="5"/>
  <c r="I176" i="5"/>
  <c r="L175" i="5" s="1" a="1"/>
  <c r="L175" i="5" s="1"/>
  <c r="F174" i="5"/>
  <c r="O176" i="5" s="1"/>
  <c r="B180" i="5" l="1"/>
  <c r="Q175" i="5" a="1"/>
  <c r="Q175" i="5" s="1"/>
  <c r="C182" i="5" s="1"/>
  <c r="F184" i="5" s="1"/>
  <c r="O186" i="5" s="1"/>
  <c r="H184" i="5" l="1"/>
  <c r="C183" i="5"/>
  <c r="I184" i="5" s="1"/>
  <c r="B184" i="5"/>
  <c r="H185" i="5"/>
  <c r="B182" i="5"/>
  <c r="B183" i="5"/>
  <c r="F182" i="5"/>
  <c r="O184" i="5" s="1"/>
  <c r="I185" i="5"/>
  <c r="F183" i="5" l="1"/>
  <c r="O185" i="5" s="1"/>
  <c r="L184" i="5" a="1"/>
  <c r="L184" i="5" s="1"/>
  <c r="Q184" i="5" s="1" a="1"/>
  <c r="Q184" i="5" s="1"/>
  <c r="C191" i="5" s="1"/>
  <c r="B189" i="5"/>
  <c r="B193" i="5" l="1"/>
  <c r="V8" i="5" s="1"/>
  <c r="C192" i="5"/>
  <c r="U8" i="5" s="1"/>
  <c r="F193" i="5"/>
  <c r="O195" i="5" s="1"/>
  <c r="T8" i="5"/>
  <c r="B192" i="5"/>
  <c r="I193" i="5"/>
  <c r="I194" i="5"/>
  <c r="F191" i="5"/>
  <c r="O193" i="5" s="1"/>
  <c r="B198" i="5"/>
  <c r="H194" i="5"/>
  <c r="B191" i="5"/>
  <c r="H193" i="5"/>
  <c r="F192" i="5" l="1"/>
  <c r="O194" i="5" s="1"/>
  <c r="L193" i="5" a="1"/>
  <c r="L193" i="5" s="1"/>
  <c r="Q193" i="5" s="1" a="1"/>
  <c r="Q193" i="5" s="1"/>
  <c r="C200" i="5" s="1"/>
  <c r="B200" i="5" l="1"/>
  <c r="F202" i="5"/>
  <c r="O204" i="5" s="1"/>
  <c r="H202" i="5"/>
  <c r="B202" i="5"/>
  <c r="B207" i="5" s="1"/>
  <c r="H203" i="5"/>
  <c r="C201" i="5"/>
  <c r="B201" i="5" s="1"/>
  <c r="F201" i="5" l="1"/>
  <c r="O203" i="5" s="1"/>
  <c r="I202" i="5"/>
  <c r="I203" i="5"/>
  <c r="F200" i="5"/>
  <c r="O202" i="5" s="1"/>
  <c r="L202" i="5" l="1" a="1"/>
  <c r="L202" i="5" s="1"/>
  <c r="Q202" i="5" s="1" a="1"/>
  <c r="B211" i="5" l="1"/>
  <c r="Q202" i="5"/>
  <c r="C209" i="5" s="1"/>
  <c r="F211" i="5" s="1"/>
  <c r="C210" i="5"/>
  <c r="I212" i="5" l="1"/>
  <c r="I211" i="5"/>
  <c r="B210" i="5"/>
  <c r="B209" i="5"/>
  <c r="H211" i="5"/>
  <c r="O213" i="5"/>
  <c r="H212" i="5"/>
  <c r="F210" i="5"/>
  <c r="O212" i="5" s="1"/>
  <c r="F209" i="5"/>
  <c r="O211" i="5" s="1"/>
  <c r="B216" i="5"/>
  <c r="L211" i="5" l="1" a="1"/>
  <c r="L211" i="5" s="1"/>
  <c r="Q211" i="5" s="1" a="1"/>
  <c r="C219" i="5" l="1"/>
  <c r="U9" i="5" s="1"/>
  <c r="Q211" i="5"/>
  <c r="C218" i="5" s="1"/>
  <c r="B220" i="5"/>
  <c r="V9" i="5" s="1"/>
  <c r="F220" i="5" l="1"/>
  <c r="T9" i="5"/>
  <c r="F218" i="5"/>
  <c r="O220" i="5" s="1"/>
  <c r="B225" i="5"/>
  <c r="F219" i="5"/>
  <c r="O221" i="5" s="1"/>
  <c r="B218" i="5"/>
  <c r="O222" i="5"/>
  <c r="H220" i="5"/>
  <c r="H221" i="5"/>
  <c r="I220" i="5"/>
  <c r="I221" i="5"/>
  <c r="B219" i="5"/>
  <c r="L220" i="5" l="1" a="1"/>
  <c r="L220" i="5" s="1"/>
  <c r="Q220" i="5" s="1" a="1"/>
  <c r="Q220" i="5" s="1"/>
  <c r="C227" i="5" s="1"/>
  <c r="F229" i="5" s="1"/>
  <c r="B229" i="5" l="1"/>
  <c r="C228" i="5"/>
  <c r="I230" i="5" s="1"/>
  <c r="F227" i="5"/>
  <c r="O229" i="5" s="1"/>
  <c r="F228" i="5"/>
  <c r="O230" i="5" s="1"/>
  <c r="B228" i="5"/>
  <c r="B234" i="5"/>
  <c r="H230" i="5"/>
  <c r="O231" i="5"/>
  <c r="H229" i="5"/>
  <c r="B227" i="5"/>
  <c r="I229" i="5" l="1"/>
  <c r="L229" i="5" s="1" a="1"/>
  <c r="L229" i="5" s="1"/>
  <c r="Q229" i="5" s="1" a="1"/>
  <c r="Q229" i="5" l="1"/>
  <c r="C236" i="5" s="1"/>
  <c r="F238" i="5" s="1"/>
  <c r="C237" i="5"/>
  <c r="B238" i="5"/>
  <c r="F236" i="5" l="1"/>
  <c r="O238" i="5" s="1"/>
  <c r="B243" i="5"/>
  <c r="F237" i="5"/>
  <c r="O239" i="5" s="1"/>
  <c r="I238" i="5"/>
  <c r="B237" i="5"/>
  <c r="I239" i="5"/>
  <c r="B236" i="5"/>
  <c r="H238" i="5"/>
  <c r="H239" i="5"/>
  <c r="O240" i="5"/>
  <c r="L238" i="5" l="1" a="1"/>
  <c r="L238" i="5" s="1"/>
  <c r="Q238" i="5" s="1" a="1"/>
  <c r="Q238" i="5" l="1"/>
  <c r="C245" i="5" s="1"/>
  <c r="B247" i="5"/>
  <c r="V10" i="5" s="1"/>
  <c r="C246" i="5"/>
  <c r="U10" i="5" s="1"/>
  <c r="F247" i="5" l="1"/>
  <c r="T10" i="5"/>
  <c r="F245" i="5"/>
  <c r="O247" i="5" s="1"/>
  <c r="F246" i="5"/>
  <c r="O248" i="5" s="1"/>
  <c r="B252" i="5"/>
  <c r="B246" i="5"/>
  <c r="I247" i="5"/>
  <c r="I248" i="5"/>
  <c r="B245" i="5"/>
  <c r="H247" i="5"/>
  <c r="H248" i="5"/>
  <c r="O249" i="5"/>
  <c r="L247" i="5" l="1" a="1"/>
  <c r="L247" i="5" s="1"/>
  <c r="Q247" i="5" s="1" a="1"/>
  <c r="Q247" i="5" s="1"/>
  <c r="C254" i="5" s="1"/>
  <c r="H256" i="5" l="1"/>
  <c r="F256" i="5"/>
  <c r="O258" i="5" s="1"/>
  <c r="C255" i="5"/>
  <c r="I257" i="5" s="1"/>
  <c r="B254" i="5"/>
  <c r="H257" i="5"/>
  <c r="B256" i="5"/>
  <c r="B261" i="5" s="1"/>
  <c r="I256" i="5" l="1"/>
  <c r="L256" i="5" s="1" a="1"/>
  <c r="L256" i="5" s="1"/>
  <c r="B255" i="5"/>
  <c r="F254" i="5"/>
  <c r="O256" i="5" s="1"/>
  <c r="F255" i="5"/>
  <c r="O257" i="5" s="1"/>
  <c r="Q256" i="5" l="1" a="1"/>
  <c r="Q256" i="5" s="1"/>
  <c r="C263" i="5" s="1"/>
  <c r="F265" i="5" s="1"/>
  <c r="C264" i="5" l="1"/>
  <c r="B265" i="5"/>
  <c r="I266" i="5"/>
  <c r="H266" i="5"/>
  <c r="B263" i="5"/>
  <c r="H265" i="5"/>
  <c r="O267" i="5"/>
  <c r="B270" i="5" l="1"/>
  <c r="F263" i="5"/>
  <c r="O265" i="5" s="1"/>
  <c r="F264" i="5"/>
  <c r="O266" i="5" s="1"/>
  <c r="I265" i="5"/>
  <c r="L265" i="5" s="1" a="1"/>
  <c r="L265" i="5" s="1"/>
  <c r="Q265" i="5" s="1" a="1"/>
  <c r="B274" i="5" s="1"/>
  <c r="V11" i="5" s="1"/>
  <c r="B264" i="5"/>
  <c r="B279" i="5" l="1"/>
  <c r="Q265" i="5"/>
  <c r="C272" i="5" s="1"/>
  <c r="T11" i="5" s="1"/>
  <c r="C273" i="5"/>
  <c r="U11" i="5" s="1"/>
  <c r="F274" i="5" l="1"/>
  <c r="O276" i="5" s="1"/>
  <c r="H274" i="5"/>
  <c r="B273" i="5"/>
  <c r="I275" i="5"/>
  <c r="I274" i="5"/>
  <c r="H275" i="5"/>
  <c r="B272" i="5"/>
  <c r="F272" i="5"/>
  <c r="O274" i="5" s="1"/>
  <c r="F273" i="5"/>
  <c r="O275" i="5" s="1"/>
  <c r="L274" i="5" l="1" a="1"/>
  <c r="L274" i="5" s="1"/>
  <c r="Q274" i="5" s="1" a="1"/>
  <c r="Q274" i="5" s="1"/>
  <c r="C281" i="5" s="1"/>
  <c r="F283" i="5" s="1"/>
  <c r="B283" i="5" l="1"/>
  <c r="C282" i="5"/>
  <c r="H283" i="5"/>
  <c r="H284" i="5"/>
  <c r="O285" i="5"/>
  <c r="B281" i="5"/>
  <c r="B282" i="5" l="1"/>
  <c r="I284" i="5"/>
  <c r="I283" i="5"/>
  <c r="F281" i="5"/>
  <c r="O283" i="5" s="1"/>
  <c r="F282" i="5"/>
  <c r="O284" i="5" s="1"/>
  <c r="B288" i="5"/>
  <c r="L283" i="5" l="1" a="1"/>
  <c r="L283" i="5" s="1"/>
  <c r="Q283" i="5" s="1" a="1"/>
  <c r="B292" i="5" l="1"/>
  <c r="Q283" i="5"/>
  <c r="C290" i="5" s="1"/>
  <c r="F292" i="5" s="1"/>
  <c r="C291" i="5"/>
  <c r="I293" i="5" l="1"/>
  <c r="I292" i="5"/>
  <c r="B291" i="5"/>
  <c r="H292" i="5"/>
  <c r="O294" i="5"/>
  <c r="B290" i="5"/>
  <c r="H293" i="5"/>
  <c r="B297" i="5"/>
  <c r="F290" i="5"/>
  <c r="O292" i="5" s="1"/>
  <c r="F291" i="5"/>
  <c r="O293" i="5" s="1"/>
  <c r="L292" i="5" l="1" a="1"/>
  <c r="L292" i="5" s="1"/>
  <c r="Q292" i="5" s="1" a="1"/>
  <c r="C300" i="5" l="1"/>
  <c r="U12" i="5" s="1"/>
  <c r="B301" i="5"/>
  <c r="V12" i="5" s="1"/>
  <c r="Q292" i="5"/>
  <c r="C299" i="5" s="1"/>
  <c r="F301" i="5" l="1"/>
  <c r="O303" i="5" s="1"/>
  <c r="T12" i="5"/>
  <c r="B299" i="5"/>
  <c r="H301" i="5"/>
  <c r="H302" i="5"/>
  <c r="F299" i="5"/>
  <c r="O301" i="5" s="1"/>
  <c r="F300" i="5"/>
  <c r="O302" i="5" s="1"/>
  <c r="B306" i="5"/>
  <c r="I302" i="5"/>
  <c r="I301" i="5"/>
  <c r="B300" i="5"/>
  <c r="L301" i="5" l="1" a="1"/>
  <c r="L301" i="5" s="1"/>
  <c r="Q301" i="5" s="1" a="1"/>
  <c r="Q301" i="5" l="1"/>
  <c r="C308" i="5" s="1"/>
  <c r="F310" i="5" s="1"/>
  <c r="B310" i="5"/>
  <c r="C309" i="5"/>
  <c r="I311" i="5" l="1"/>
  <c r="B309" i="5"/>
  <c r="I310" i="5"/>
  <c r="F308" i="5"/>
  <c r="O310" i="5" s="1"/>
  <c r="F309" i="5"/>
  <c r="O311" i="5" s="1"/>
  <c r="B315" i="5"/>
  <c r="H311" i="5"/>
  <c r="H310" i="5"/>
  <c r="B308" i="5"/>
  <c r="O312" i="5"/>
  <c r="L310" i="5" l="1" a="1"/>
  <c r="L310" i="5" s="1"/>
  <c r="Q310" i="5" s="1" a="1"/>
  <c r="Q310" i="5" l="1"/>
  <c r="C317" i="5" s="1"/>
  <c r="F319" i="5" s="1"/>
  <c r="B319" i="5"/>
  <c r="C318" i="5"/>
  <c r="F317" i="5" l="1"/>
  <c r="O319" i="5" s="1"/>
  <c r="F318" i="5"/>
  <c r="O320" i="5" s="1"/>
  <c r="B324" i="5"/>
  <c r="I320" i="5"/>
  <c r="I319" i="5"/>
  <c r="B318" i="5"/>
  <c r="H319" i="5"/>
  <c r="B317" i="5"/>
  <c r="O321" i="5"/>
  <c r="H320" i="5"/>
  <c r="L319" i="5" l="1" a="1"/>
  <c r="L319" i="5" s="1"/>
  <c r="Q319" i="5" s="1" a="1"/>
  <c r="Q319" i="5" l="1"/>
  <c r="C326" i="5" s="1"/>
  <c r="C327" i="5"/>
  <c r="U13" i="5" s="1"/>
  <c r="B328" i="5"/>
  <c r="V13" i="5" s="1"/>
  <c r="F328" i="5" l="1"/>
  <c r="O330" i="5" s="1"/>
  <c r="T13" i="5"/>
  <c r="F327" i="5"/>
  <c r="O329" i="5" s="1"/>
  <c r="F326" i="5"/>
  <c r="O328" i="5" s="1"/>
  <c r="B333" i="5"/>
  <c r="I328" i="5"/>
  <c r="B327" i="5"/>
  <c r="I329" i="5"/>
  <c r="B326" i="5"/>
  <c r="H329" i="5"/>
  <c r="H328" i="5"/>
  <c r="L328" i="5" l="1" a="1"/>
  <c r="L328" i="5" s="1"/>
  <c r="Q328" i="5" s="1" a="1"/>
  <c r="Q328" i="5" l="1"/>
  <c r="C335" i="5" s="1"/>
  <c r="F337" i="5" s="1"/>
  <c r="C336" i="5"/>
  <c r="B337" i="5"/>
  <c r="F336" i="5" l="1"/>
  <c r="O338" i="5" s="1"/>
  <c r="F335" i="5"/>
  <c r="O337" i="5" s="1"/>
  <c r="B342" i="5"/>
  <c r="I338" i="5"/>
  <c r="I337" i="5"/>
  <c r="B336" i="5"/>
  <c r="H337" i="5"/>
  <c r="H338" i="5"/>
  <c r="B335" i="5"/>
  <c r="O339" i="5"/>
  <c r="L337" i="5" l="1" a="1"/>
  <c r="L337" i="5" s="1"/>
  <c r="Q337" i="5" s="1" a="1"/>
  <c r="Q337" i="5" l="1"/>
  <c r="C344" i="5" s="1"/>
  <c r="F346" i="5" s="1"/>
  <c r="C345" i="5"/>
  <c r="B346" i="5"/>
  <c r="F345" i="5" l="1"/>
  <c r="O347" i="5" s="1"/>
  <c r="F344" i="5"/>
  <c r="O346" i="5" s="1"/>
  <c r="B351" i="5"/>
  <c r="I346" i="5"/>
  <c r="B345" i="5"/>
  <c r="I347" i="5"/>
  <c r="O348" i="5"/>
  <c r="H346" i="5"/>
  <c r="B344" i="5"/>
  <c r="H347" i="5"/>
  <c r="L346" i="5" l="1" a="1"/>
  <c r="L346" i="5" s="1"/>
  <c r="Q346" i="5" s="1" a="1"/>
  <c r="Q346" i="5" l="1"/>
  <c r="C353" i="5" s="1"/>
  <c r="C354" i="5"/>
  <c r="U14" i="5" s="1"/>
  <c r="B355" i="5"/>
  <c r="V14" i="5" s="1"/>
  <c r="F355" i="5" l="1"/>
  <c r="O357" i="5" s="1"/>
  <c r="T14" i="5"/>
  <c r="F353" i="5"/>
  <c r="O355" i="5" s="1"/>
  <c r="F354" i="5"/>
  <c r="O356" i="5" s="1"/>
  <c r="B360" i="5"/>
  <c r="I356" i="5"/>
  <c r="B354" i="5"/>
  <c r="I355" i="5"/>
  <c r="H356" i="5"/>
  <c r="B353" i="5"/>
  <c r="H355" i="5"/>
  <c r="L355" i="5" l="1" a="1"/>
  <c r="L355" i="5" s="1"/>
  <c r="Q355" i="5" s="1" a="1"/>
  <c r="Q355" i="5" s="1"/>
  <c r="C362" i="5" s="1"/>
  <c r="F364" i="5" s="1"/>
  <c r="O366" i="5" s="1"/>
  <c r="C363" i="5" l="1"/>
  <c r="B362" i="5"/>
  <c r="H365" i="5"/>
  <c r="H364" i="5"/>
  <c r="B364" i="5"/>
  <c r="B369" i="5" s="1"/>
  <c r="I364" i="5"/>
  <c r="I365" i="5"/>
  <c r="B363" i="5"/>
  <c r="F362" i="5" l="1"/>
  <c r="O364" i="5" s="1"/>
  <c r="F363" i="5"/>
  <c r="O365" i="5" s="1"/>
  <c r="L364" i="5" a="1"/>
  <c r="L364" i="5" s="1"/>
  <c r="Q364" i="5" s="1" a="1"/>
  <c r="Q364" i="5" s="1"/>
  <c r="C371" i="5" s="1"/>
  <c r="H373" i="5" l="1"/>
  <c r="F373" i="5"/>
  <c r="H374" i="5"/>
  <c r="C372" i="5"/>
  <c r="I373" i="5" s="1"/>
  <c r="B371" i="5"/>
  <c r="B373" i="5"/>
  <c r="B378" i="5" s="1"/>
  <c r="O375" i="5"/>
  <c r="F371" i="5" l="1"/>
  <c r="O373" i="5" s="1"/>
  <c r="F372" i="5"/>
  <c r="O374" i="5" s="1"/>
  <c r="B372" i="5"/>
  <c r="I374" i="5"/>
  <c r="L373" i="5" s="1" a="1"/>
  <c r="L373" i="5" s="1"/>
  <c r="Q373" i="5" s="1" a="1"/>
  <c r="B382" i="5" l="1"/>
  <c r="C381" i="5"/>
  <c r="Q373" i="5"/>
  <c r="C380" i="5" s="1"/>
  <c r="T15" i="5" s="1"/>
  <c r="B381" i="5"/>
  <c r="I383" i="5"/>
  <c r="I382" i="5" l="1"/>
  <c r="U15" i="5"/>
  <c r="B387" i="5"/>
  <c r="V15" i="5"/>
  <c r="B380" i="5"/>
  <c r="F382" i="5"/>
  <c r="O384" i="5" s="1"/>
  <c r="F381" i="5"/>
  <c r="O383" i="5" s="1"/>
  <c r="F380" i="5"/>
  <c r="O382" i="5" s="1"/>
  <c r="H382" i="5"/>
  <c r="H383" i="5"/>
  <c r="L382" i="5" l="1" a="1"/>
  <c r="L382" i="5" s="1"/>
  <c r="Q382" i="5" s="1" a="1"/>
  <c r="Q382" i="5" s="1"/>
  <c r="C389" i="5" s="1"/>
  <c r="B389" i="5" l="1"/>
  <c r="F391" i="5"/>
  <c r="B391" i="5"/>
  <c r="H392" i="5"/>
  <c r="H391" i="5"/>
  <c r="O393" i="5"/>
  <c r="C390" i="5"/>
  <c r="F390" i="5" l="1"/>
  <c r="O392" i="5" s="1"/>
  <c r="F389" i="5"/>
  <c r="O391" i="5" s="1"/>
  <c r="B396" i="5"/>
  <c r="B390" i="5"/>
  <c r="I392" i="5"/>
  <c r="I391" i="5"/>
  <c r="L391" i="5" l="1" a="1"/>
  <c r="L391" i="5" s="1"/>
  <c r="Q391" i="5" s="1" a="1"/>
  <c r="Q391" i="5" s="1"/>
  <c r="C398" i="5" s="1"/>
  <c r="H400" i="5" l="1"/>
  <c r="F400" i="5"/>
  <c r="O402" i="5" s="1"/>
  <c r="B398" i="5"/>
  <c r="B400" i="5"/>
  <c r="B405" i="5" s="1"/>
  <c r="H401" i="5"/>
  <c r="C399" i="5"/>
  <c r="B399" i="5" s="1"/>
  <c r="F398" i="5" l="1"/>
  <c r="O400" i="5" s="1"/>
  <c r="F399" i="5"/>
  <c r="O401" i="5" s="1"/>
  <c r="I401" i="5"/>
  <c r="I400" i="5"/>
  <c r="L400" i="5" l="1" a="1"/>
  <c r="L400" i="5" s="1"/>
  <c r="Q400" i="5" s="1" a="1"/>
  <c r="B409" i="5" s="1"/>
  <c r="B414" i="5" l="1"/>
  <c r="V16" i="5"/>
  <c r="C408" i="5"/>
  <c r="Q400" i="5"/>
  <c r="C407" i="5" s="1"/>
  <c r="T16" i="5" s="1"/>
  <c r="H409" i="5" l="1"/>
  <c r="F408" i="5"/>
  <c r="O410" i="5" s="1"/>
  <c r="B408" i="5"/>
  <c r="U16" i="5"/>
  <c r="H410" i="5"/>
  <c r="F409" i="5"/>
  <c r="O411" i="5" s="1"/>
  <c r="I409" i="5"/>
  <c r="I410" i="5"/>
  <c r="F407" i="5"/>
  <c r="O409" i="5" s="1"/>
  <c r="B407" i="5"/>
  <c r="L409" i="5" l="1" a="1"/>
  <c r="L409" i="5" s="1"/>
  <c r="Q409" i="5" s="1" a="1"/>
  <c r="Q409" i="5" s="1"/>
  <c r="C416" i="5" s="1"/>
  <c r="F418" i="5" s="1"/>
  <c r="B418" i="5" l="1"/>
  <c r="C417" i="5"/>
  <c r="I418" i="5" s="1"/>
  <c r="B423" i="5"/>
  <c r="F417" i="5"/>
  <c r="O419" i="5" s="1"/>
  <c r="H419" i="5"/>
  <c r="O420" i="5"/>
  <c r="H418" i="5"/>
  <c r="B416" i="5"/>
  <c r="B417" i="5" l="1"/>
  <c r="I419" i="5"/>
  <c r="F416" i="5"/>
  <c r="O418" i="5" s="1"/>
  <c r="L418" i="5" a="1"/>
  <c r="L418" i="5" s="1"/>
  <c r="Q418" i="5" s="1" a="1"/>
  <c r="B427" i="5" l="1"/>
  <c r="Q418" i="5"/>
  <c r="C425" i="5" s="1"/>
  <c r="F427" i="5" s="1"/>
  <c r="C426" i="5"/>
  <c r="B425" i="5" l="1"/>
  <c r="H427" i="5"/>
  <c r="H428" i="5"/>
  <c r="O429" i="5"/>
  <c r="I427" i="5"/>
  <c r="I428" i="5"/>
  <c r="B426" i="5"/>
  <c r="F425" i="5"/>
  <c r="O427" i="5" s="1"/>
  <c r="F426" i="5"/>
  <c r="O428" i="5" s="1"/>
  <c r="B432" i="5"/>
  <c r="L427" i="5" l="1" a="1"/>
  <c r="L427" i="5" s="1"/>
  <c r="Q427" i="5" s="1" a="1"/>
  <c r="Q427" i="5" l="1"/>
  <c r="C434" i="5" s="1"/>
  <c r="B436" i="5"/>
  <c r="V17" i="5" s="1"/>
  <c r="C435" i="5"/>
  <c r="U17" i="5" s="1"/>
  <c r="F436" i="5" l="1"/>
  <c r="T17" i="5"/>
  <c r="I437" i="5"/>
  <c r="B435" i="5"/>
  <c r="I436" i="5"/>
  <c r="B441" i="5"/>
  <c r="F435" i="5"/>
  <c r="O437" i="5" s="1"/>
  <c r="F434" i="5"/>
  <c r="O436" i="5" s="1"/>
  <c r="H437" i="5"/>
  <c r="B434" i="5"/>
  <c r="H436" i="5"/>
  <c r="O438" i="5"/>
  <c r="L436" i="5" l="1" a="1"/>
  <c r="L436" i="5" s="1"/>
  <c r="Q436" i="5" s="1" a="1"/>
  <c r="Q436" i="5" l="1"/>
  <c r="C443" i="5" s="1"/>
  <c r="F445" i="5" s="1"/>
  <c r="C444" i="5"/>
  <c r="B445" i="5"/>
  <c r="B444" i="5" l="1"/>
  <c r="I445" i="5"/>
  <c r="I446" i="5"/>
  <c r="F444" i="5"/>
  <c r="O446" i="5" s="1"/>
  <c r="F443" i="5"/>
  <c r="O445" i="5" s="1"/>
  <c r="B450" i="5"/>
  <c r="O447" i="5"/>
  <c r="H445" i="5"/>
  <c r="H446" i="5"/>
  <c r="B443" i="5"/>
  <c r="L445" i="5" l="1" a="1"/>
  <c r="L445" i="5" s="1"/>
  <c r="Q445" i="5" s="1" a="1"/>
  <c r="Q445" i="5" l="1"/>
  <c r="C452" i="5" s="1"/>
  <c r="F454" i="5" s="1"/>
  <c r="B454" i="5"/>
  <c r="C453" i="5"/>
  <c r="F452" i="5" l="1"/>
  <c r="O454" i="5" s="1"/>
  <c r="F453" i="5"/>
  <c r="O455" i="5" s="1"/>
  <c r="B459" i="5"/>
  <c r="I455" i="5"/>
  <c r="I454" i="5"/>
  <c r="B453" i="5"/>
  <c r="O456" i="5"/>
  <c r="H454" i="5"/>
  <c r="H455" i="5"/>
  <c r="B452" i="5"/>
  <c r="L454" i="5" l="1" a="1"/>
  <c r="L454" i="5" s="1"/>
  <c r="Q454" i="5" s="1" a="1"/>
  <c r="Q454" i="5" l="1"/>
  <c r="C461" i="5" s="1"/>
  <c r="C462" i="5"/>
  <c r="U18" i="5" s="1"/>
  <c r="B463" i="5"/>
  <c r="V18" i="5" s="1"/>
  <c r="F463" i="5" l="1"/>
  <c r="O465" i="5" s="1"/>
  <c r="T18" i="5"/>
  <c r="B468" i="5"/>
  <c r="F461" i="5"/>
  <c r="O463" i="5" s="1"/>
  <c r="F462" i="5"/>
  <c r="O464" i="5" s="1"/>
  <c r="I463" i="5"/>
  <c r="B462" i="5"/>
  <c r="I464" i="5"/>
  <c r="H463" i="5"/>
  <c r="H464" i="5"/>
  <c r="B461" i="5"/>
  <c r="L463" i="5" l="1" a="1"/>
  <c r="L463" i="5" s="1"/>
  <c r="Q463" i="5" s="1" a="1"/>
  <c r="Q463" i="5" l="1"/>
  <c r="C470" i="5" s="1"/>
  <c r="F472" i="5" s="1"/>
  <c r="C471" i="5"/>
  <c r="B472" i="5"/>
  <c r="B477" i="5" l="1"/>
  <c r="F471" i="5"/>
  <c r="O473" i="5" s="1"/>
  <c r="F470" i="5"/>
  <c r="O472" i="5" s="1"/>
  <c r="B471" i="5"/>
  <c r="I472" i="5"/>
  <c r="I473" i="5"/>
  <c r="B470" i="5"/>
  <c r="H472" i="5"/>
  <c r="H473" i="5"/>
  <c r="O474" i="5"/>
  <c r="L472" i="5" l="1" a="1"/>
  <c r="L472" i="5" s="1"/>
  <c r="Q472" i="5" s="1" a="1"/>
  <c r="Q472" i="5" l="1"/>
  <c r="C479" i="5" s="1"/>
  <c r="F481" i="5" s="1"/>
  <c r="C480" i="5"/>
  <c r="B481" i="5"/>
  <c r="F479" i="5" l="1"/>
  <c r="O481" i="5" s="1"/>
  <c r="F480" i="5"/>
  <c r="O482" i="5" s="1"/>
  <c r="B486" i="5"/>
  <c r="B480" i="5"/>
  <c r="I481" i="5"/>
  <c r="I482" i="5"/>
  <c r="B479" i="5"/>
  <c r="H481" i="5"/>
  <c r="H482" i="5"/>
  <c r="O483" i="5"/>
  <c r="L481" i="5" l="1" a="1"/>
  <c r="L481" i="5" s="1"/>
  <c r="Q481" i="5" s="1" a="1"/>
  <c r="Q481" i="5" s="1"/>
  <c r="C488" i="5" s="1"/>
  <c r="F490" i="5" s="1"/>
  <c r="O492" i="5" s="1"/>
  <c r="B488" i="5" l="1"/>
  <c r="T19" i="5"/>
  <c r="B490" i="5"/>
  <c r="H490" i="5"/>
  <c r="H491" i="5"/>
  <c r="C489" i="5"/>
  <c r="U19" i="5" s="1"/>
  <c r="B495" i="5"/>
  <c r="V19" i="5"/>
  <c r="F488" i="5" l="1"/>
  <c r="O490" i="5" s="1"/>
  <c r="F489" i="5"/>
  <c r="O491" i="5" s="1"/>
  <c r="I491" i="5"/>
  <c r="B489" i="5"/>
  <c r="I490" i="5"/>
  <c r="L490" i="5" s="1" a="1"/>
  <c r="L490" i="5" s="1"/>
  <c r="Q490" i="5" s="1" a="1"/>
  <c r="Q490" i="5" s="1"/>
  <c r="C497" i="5" s="1"/>
  <c r="F499" i="5" s="1"/>
  <c r="C498" i="5" l="1"/>
  <c r="B498" i="5" s="1"/>
  <c r="B499" i="5"/>
  <c r="B504" i="5" s="1"/>
  <c r="I499" i="5"/>
  <c r="F497" i="5"/>
  <c r="O499" i="5" s="1"/>
  <c r="F498" i="5"/>
  <c r="O500" i="5" s="1"/>
  <c r="H499" i="5"/>
  <c r="B497" i="5"/>
  <c r="O501" i="5"/>
  <c r="H500" i="5"/>
  <c r="I500" i="5" l="1"/>
  <c r="L499" i="5" s="1" a="1"/>
  <c r="L499" i="5" s="1"/>
  <c r="Q499" i="5" s="1" a="1"/>
  <c r="Q499" i="5" l="1"/>
  <c r="C506" i="5" s="1"/>
  <c r="F508" i="5" s="1"/>
  <c r="C507" i="5"/>
  <c r="B508" i="5"/>
  <c r="F506" i="5" l="1"/>
  <c r="O508" i="5" s="1"/>
  <c r="F507" i="5"/>
  <c r="O509" i="5" s="1"/>
  <c r="B513" i="5"/>
  <c r="B507" i="5"/>
  <c r="I509" i="5"/>
  <c r="I508" i="5"/>
  <c r="O510" i="5"/>
  <c r="H509" i="5"/>
  <c r="B506" i="5"/>
  <c r="H508" i="5"/>
  <c r="L508" i="5" l="1" a="1"/>
  <c r="L508" i="5" s="1"/>
  <c r="Q508" i="5" s="1" a="1"/>
  <c r="Q508" i="5" s="1"/>
  <c r="C515" i="5" s="1"/>
  <c r="T20" i="5" s="1"/>
  <c r="B515" i="5" l="1"/>
  <c r="F517" i="5"/>
  <c r="O519" i="5" s="1"/>
  <c r="B517" i="5"/>
  <c r="C516" i="5"/>
  <c r="H517" i="5"/>
  <c r="H518" i="5"/>
  <c r="B522" i="5"/>
  <c r="F515" i="5" l="1"/>
  <c r="O517" i="5" s="1"/>
  <c r="U20" i="5"/>
  <c r="F516" i="5"/>
  <c r="O518" i="5" s="1"/>
  <c r="V20" i="5"/>
  <c r="B516" i="5"/>
  <c r="I517" i="5"/>
  <c r="I518" i="5"/>
  <c r="L517" i="5" l="1" a="1"/>
  <c r="L517" i="5" s="1"/>
  <c r="Q517" i="5" s="1" a="1"/>
  <c r="Q517" i="5" s="1"/>
  <c r="C524" i="5" s="1"/>
  <c r="F526" i="5" s="1"/>
  <c r="B526" i="5" l="1"/>
  <c r="C525" i="5"/>
  <c r="I527" i="5" s="1"/>
  <c r="F525" i="5"/>
  <c r="O527" i="5" s="1"/>
  <c r="F524" i="5"/>
  <c r="O526" i="5" s="1"/>
  <c r="B531" i="5"/>
  <c r="B525" i="5"/>
  <c r="I526" i="5"/>
  <c r="H526" i="5"/>
  <c r="O528" i="5"/>
  <c r="B524" i="5"/>
  <c r="H527" i="5"/>
  <c r="L526" i="5" l="1" a="1"/>
  <c r="L526" i="5" s="1"/>
  <c r="Q526" i="5" s="1" a="1"/>
  <c r="Q526" i="5" l="1"/>
  <c r="C533" i="5" s="1"/>
  <c r="F535" i="5" s="1"/>
  <c r="C534" i="5"/>
  <c r="B535" i="5"/>
  <c r="I535" i="5" l="1"/>
  <c r="I536" i="5"/>
  <c r="B534" i="5"/>
  <c r="F534" i="5"/>
  <c r="O536" i="5" s="1"/>
  <c r="F533" i="5"/>
  <c r="O535" i="5" s="1"/>
  <c r="B540" i="5"/>
  <c r="B533" i="5"/>
  <c r="H535" i="5"/>
  <c r="O537" i="5"/>
  <c r="H536" i="5"/>
  <c r="L535" i="5" l="1" a="1"/>
  <c r="L535" i="5" s="1"/>
  <c r="Q535" i="5" s="1" a="1"/>
  <c r="Q535" i="5" s="1"/>
  <c r="C542" i="5" s="1"/>
  <c r="T21" i="5" s="1"/>
  <c r="H545" i="5" l="1"/>
  <c r="F544" i="5"/>
  <c r="O546" i="5" s="1"/>
  <c r="H544" i="5"/>
  <c r="C543" i="5"/>
  <c r="B542" i="5"/>
  <c r="B544" i="5"/>
  <c r="I545" i="5" l="1"/>
  <c r="U21" i="5"/>
  <c r="B549" i="5"/>
  <c r="V21" i="5"/>
  <c r="I544" i="5"/>
  <c r="L544" i="5" s="1" a="1"/>
  <c r="L544" i="5" s="1"/>
  <c r="Q544" i="5" s="1" a="1"/>
  <c r="Q544" i="5" s="1"/>
  <c r="C551" i="5" s="1"/>
  <c r="F553" i="5" s="1"/>
  <c r="B543" i="5"/>
  <c r="F542" i="5"/>
  <c r="O544" i="5" s="1"/>
  <c r="F543" i="5"/>
  <c r="O545" i="5" s="1"/>
  <c r="B553" i="5" l="1"/>
  <c r="C552" i="5"/>
  <c r="I553" i="5" s="1"/>
  <c r="F551" i="5"/>
  <c r="O553" i="5" s="1"/>
  <c r="F552" i="5"/>
  <c r="O554" i="5" s="1"/>
  <c r="B558" i="5"/>
  <c r="B552" i="5"/>
  <c r="I554" i="5"/>
  <c r="O555" i="5"/>
  <c r="B551" i="5"/>
  <c r="H554" i="5"/>
  <c r="H553" i="5"/>
  <c r="L553" i="5" l="1" a="1"/>
  <c r="L553" i="5" s="1"/>
  <c r="Q553" i="5" s="1" a="1"/>
  <c r="Q553" i="5" l="1"/>
  <c r="C560" i="5" s="1"/>
  <c r="F562" i="5" s="1"/>
  <c r="C561" i="5"/>
  <c r="B562" i="5"/>
  <c r="F560" i="5" l="1"/>
  <c r="O562" i="5" s="1"/>
  <c r="F561" i="5"/>
  <c r="O563" i="5" s="1"/>
  <c r="B567" i="5"/>
  <c r="B561" i="5"/>
  <c r="I562" i="5"/>
  <c r="I563" i="5"/>
  <c r="H562" i="5"/>
  <c r="B560" i="5"/>
  <c r="O564" i="5"/>
  <c r="H563" i="5"/>
  <c r="L562" i="5" l="1" a="1"/>
  <c r="L562" i="5" s="1"/>
  <c r="Q562" i="5" s="1" a="1"/>
  <c r="Q562" i="5" l="1"/>
  <c r="C569" i="5" s="1"/>
  <c r="C570" i="5"/>
  <c r="U22" i="5" s="1"/>
  <c r="B571" i="5"/>
  <c r="V22" i="5" s="1"/>
  <c r="F571" i="5" l="1"/>
  <c r="O573" i="5" s="1"/>
  <c r="T22" i="5"/>
  <c r="F569" i="5"/>
  <c r="O571" i="5" s="1"/>
  <c r="F570" i="5"/>
  <c r="O572" i="5" s="1"/>
  <c r="B576" i="5"/>
  <c r="I571" i="5"/>
  <c r="B570" i="5"/>
  <c r="I572" i="5"/>
  <c r="H571" i="5"/>
  <c r="B569" i="5"/>
  <c r="H572" i="5"/>
  <c r="L571" i="5" l="1" a="1"/>
  <c r="L571" i="5" s="1"/>
  <c r="Q571" i="5" s="1" a="1"/>
  <c r="Q571" i="5" l="1"/>
  <c r="C578" i="5" s="1"/>
  <c r="F580" i="5" s="1"/>
  <c r="C579" i="5"/>
  <c r="B580" i="5"/>
  <c r="I581" i="5" l="1"/>
  <c r="I580" i="5"/>
  <c r="B579" i="5"/>
  <c r="F578" i="5"/>
  <c r="O580" i="5" s="1"/>
  <c r="F579" i="5"/>
  <c r="O581" i="5" s="1"/>
  <c r="B585" i="5"/>
  <c r="O582" i="5"/>
  <c r="B578" i="5"/>
  <c r="H580" i="5"/>
  <c r="H581" i="5"/>
  <c r="L580" i="5" l="1" a="1"/>
  <c r="L580" i="5" s="1"/>
  <c r="Q580" i="5" s="1" a="1"/>
  <c r="Q580" i="5" s="1"/>
  <c r="C587" i="5" s="1"/>
  <c r="B587" i="5" l="1"/>
  <c r="F589" i="5"/>
  <c r="O591" i="5" s="1"/>
  <c r="B589" i="5"/>
  <c r="H590" i="5"/>
  <c r="C588" i="5"/>
  <c r="I589" i="5" s="1"/>
  <c r="H589" i="5"/>
  <c r="F588" i="5"/>
  <c r="O590" i="5" s="1"/>
  <c r="F587" i="5" l="1"/>
  <c r="O589" i="5" s="1"/>
  <c r="B594" i="5"/>
  <c r="B588" i="5"/>
  <c r="I590" i="5"/>
  <c r="L589" i="5" s="1" a="1"/>
  <c r="L589" i="5" s="1"/>
  <c r="Q589" i="5" s="1" a="1"/>
  <c r="Q589" i="5" l="1"/>
  <c r="C596" i="5" s="1"/>
  <c r="C597" i="5"/>
  <c r="U23" i="5" s="1"/>
  <c r="B598" i="5"/>
  <c r="B597" i="5"/>
  <c r="I598" i="5" l="1"/>
  <c r="I599" i="5"/>
  <c r="B603" i="5"/>
  <c r="V23" i="5"/>
  <c r="F598" i="5"/>
  <c r="O600" i="5" s="1"/>
  <c r="T23" i="5"/>
  <c r="F597" i="5"/>
  <c r="O599" i="5" s="1"/>
  <c r="F596" i="5"/>
  <c r="O598" i="5" s="1"/>
  <c r="H598" i="5"/>
  <c r="B596" i="5"/>
  <c r="H599" i="5"/>
  <c r="L598" i="5" l="1" a="1"/>
  <c r="L598" i="5" s="1"/>
  <c r="Q598" i="5" s="1" a="1"/>
  <c r="Q598" i="5" s="1"/>
  <c r="C605" i="5" s="1"/>
  <c r="F607" i="5" s="1"/>
  <c r="B605" i="5" l="1"/>
  <c r="H608" i="5"/>
  <c r="H607" i="5"/>
  <c r="O609" i="5"/>
  <c r="B607" i="5"/>
  <c r="C606" i="5"/>
  <c r="F606" i="5" l="1"/>
  <c r="O608" i="5" s="1"/>
  <c r="F605" i="5"/>
  <c r="O607" i="5" s="1"/>
  <c r="B612" i="5"/>
  <c r="I608" i="5"/>
  <c r="B606" i="5"/>
  <c r="I607" i="5"/>
  <c r="L607" i="5" s="1" a="1"/>
  <c r="L607" i="5" s="1"/>
  <c r="Q607" i="5" s="1" a="1"/>
  <c r="C615" i="5" s="1"/>
  <c r="Q607" i="5" l="1"/>
  <c r="C614" i="5" s="1"/>
  <c r="F616" i="5" s="1"/>
  <c r="B616" i="5"/>
  <c r="F614" i="5" s="1"/>
  <c r="O616" i="5" s="1"/>
  <c r="B621" i="5"/>
  <c r="I617" i="5"/>
  <c r="B615" i="5"/>
  <c r="I616" i="5"/>
  <c r="B614" i="5"/>
  <c r="H616" i="5"/>
  <c r="H617" i="5"/>
  <c r="O618" i="5"/>
  <c r="F615" i="5" l="1"/>
  <c r="O617" i="5" s="1"/>
  <c r="L616" i="5" a="1"/>
  <c r="L616" i="5" s="1"/>
  <c r="Q616" i="5" s="1" a="1"/>
  <c r="Q616" i="5" l="1"/>
  <c r="C623" i="5" s="1"/>
  <c r="C624" i="5"/>
  <c r="U24" i="5" s="1"/>
  <c r="B625" i="5"/>
  <c r="V24" i="5" s="1"/>
  <c r="F625" i="5" l="1"/>
  <c r="O627" i="5" s="1"/>
  <c r="T24" i="5"/>
  <c r="F623" i="5"/>
  <c r="O625" i="5" s="1"/>
  <c r="F624" i="5"/>
  <c r="O626" i="5" s="1"/>
  <c r="B630" i="5"/>
  <c r="I625" i="5"/>
  <c r="I626" i="5"/>
  <c r="B624" i="5"/>
  <c r="H625" i="5"/>
  <c r="H626" i="5"/>
  <c r="B623" i="5"/>
  <c r="L625" i="5" l="1" a="1"/>
  <c r="L625" i="5" s="1"/>
  <c r="Q625" i="5" s="1" a="1"/>
  <c r="Q625" i="5" l="1"/>
  <c r="C632" i="5" s="1"/>
  <c r="F634" i="5" s="1"/>
  <c r="C633" i="5"/>
  <c r="B634" i="5"/>
  <c r="I634" i="5" l="1"/>
  <c r="B633" i="5"/>
  <c r="I635" i="5"/>
  <c r="F633" i="5"/>
  <c r="O635" i="5" s="1"/>
  <c r="F632" i="5"/>
  <c r="O634" i="5" s="1"/>
  <c r="B639" i="5"/>
  <c r="B632" i="5"/>
  <c r="O636" i="5"/>
  <c r="H635" i="5"/>
  <c r="H634" i="5"/>
  <c r="L634" i="5" l="1" a="1"/>
  <c r="L634" i="5" s="1"/>
  <c r="Q634" i="5" s="1" a="1"/>
  <c r="Q634" i="5" s="1"/>
  <c r="C641" i="5" s="1"/>
  <c r="B641" i="5" l="1"/>
  <c r="F643" i="5"/>
  <c r="O645" i="5" s="1"/>
  <c r="B643" i="5"/>
  <c r="H643" i="5"/>
  <c r="C642" i="5"/>
  <c r="I643" i="5" s="1"/>
  <c r="H644" i="5"/>
  <c r="F641" i="5" l="1"/>
  <c r="O643" i="5" s="1"/>
  <c r="I644" i="5"/>
  <c r="F642" i="5"/>
  <c r="O644" i="5" s="1"/>
  <c r="L643" i="5" a="1"/>
  <c r="L643" i="5" s="1"/>
  <c r="Q643" i="5" s="1" a="1"/>
  <c r="Q643" i="5" s="1"/>
  <c r="C650" i="5" s="1"/>
  <c r="B642" i="5"/>
  <c r="B648" i="5"/>
  <c r="F652" i="5" l="1"/>
  <c r="T25" i="5"/>
  <c r="B652" i="5"/>
  <c r="C651" i="5"/>
  <c r="I652" i="5" s="1"/>
  <c r="I653" i="5"/>
  <c r="O654" i="5"/>
  <c r="B650" i="5"/>
  <c r="H653" i="5"/>
  <c r="H652" i="5"/>
  <c r="B657" i="5" l="1"/>
  <c r="V25" i="5"/>
  <c r="B651" i="5"/>
  <c r="U25" i="5"/>
  <c r="F650" i="5"/>
  <c r="O652" i="5" s="1"/>
  <c r="F651" i="5"/>
  <c r="O653" i="5" s="1"/>
  <c r="L652" i="5" a="1"/>
  <c r="L652" i="5" s="1"/>
  <c r="Q652" i="5" s="1" a="1"/>
  <c r="Q652" i="5" l="1"/>
  <c r="C659" i="5" s="1"/>
  <c r="F661" i="5" s="1"/>
  <c r="C660" i="5"/>
  <c r="B661" i="5"/>
  <c r="F659" i="5" l="1"/>
  <c r="O661" i="5" s="1"/>
  <c r="F660" i="5"/>
  <c r="O662" i="5" s="1"/>
  <c r="B666" i="5"/>
  <c r="B660" i="5"/>
  <c r="I661" i="5"/>
  <c r="I662" i="5"/>
  <c r="B659" i="5"/>
  <c r="H661" i="5"/>
  <c r="O663" i="5"/>
  <c r="H662" i="5"/>
  <c r="L661" i="5" l="1" a="1"/>
  <c r="L661" i="5" s="1"/>
  <c r="Q661" i="5" s="1" a="1"/>
  <c r="Q661" i="5" l="1"/>
  <c r="C668" i="5" s="1"/>
  <c r="F670" i="5" s="1"/>
  <c r="C669" i="5"/>
  <c r="B670" i="5"/>
  <c r="F668" i="5" l="1"/>
  <c r="O670" i="5" s="1"/>
  <c r="F669" i="5"/>
  <c r="O671" i="5" s="1"/>
  <c r="B675" i="5"/>
  <c r="B669" i="5"/>
  <c r="I671" i="5"/>
  <c r="I670" i="5"/>
  <c r="H671" i="5"/>
  <c r="B668" i="5"/>
  <c r="O672" i="5"/>
  <c r="H670" i="5"/>
  <c r="L670" i="5" l="1" a="1"/>
  <c r="L670" i="5" s="1"/>
  <c r="Q670" i="5" s="1" a="1"/>
  <c r="Q670" i="5" s="1"/>
  <c r="C677" i="5" s="1"/>
  <c r="T26" i="5" s="1"/>
  <c r="F679" i="5" l="1"/>
  <c r="O681" i="5" s="1"/>
  <c r="C678" i="5"/>
  <c r="H679" i="5"/>
  <c r="B679" i="5"/>
  <c r="H680" i="5"/>
  <c r="B677" i="5"/>
  <c r="B678" i="5"/>
  <c r="B684" i="5" l="1"/>
  <c r="V26" i="5"/>
  <c r="I679" i="5"/>
  <c r="U26" i="5"/>
  <c r="I680" i="5"/>
  <c r="F678" i="5"/>
  <c r="O680" i="5" s="1"/>
  <c r="F677" i="5"/>
  <c r="O679" i="5" s="1"/>
  <c r="L679" i="5" l="1" a="1"/>
  <c r="L679" i="5" s="1"/>
  <c r="Q679" i="5" s="1" a="1"/>
  <c r="Q679" i="5" s="1"/>
  <c r="C686" i="5" s="1"/>
  <c r="F688" i="5" s="1"/>
  <c r="O690" i="5" s="1"/>
  <c r="H689" i="5" l="1"/>
  <c r="C687" i="5"/>
  <c r="B686" i="5"/>
  <c r="H688" i="5"/>
  <c r="B688" i="5"/>
  <c r="B687" i="5" l="1"/>
  <c r="I689" i="5"/>
  <c r="I688" i="5"/>
  <c r="F687" i="5"/>
  <c r="O689" i="5" s="1"/>
  <c r="B693" i="5"/>
  <c r="F686" i="5"/>
  <c r="O688" i="5" s="1"/>
  <c r="L688" i="5" l="1" a="1"/>
  <c r="L688" i="5" s="1"/>
  <c r="Q688" i="5" s="1" a="1"/>
  <c r="Q688" i="5" l="1"/>
  <c r="C695" i="5" s="1"/>
  <c r="C696" i="5"/>
  <c r="B697" i="5"/>
  <c r="I697" i="5" l="1"/>
  <c r="I698" i="5"/>
  <c r="B696" i="5"/>
  <c r="F696" i="5"/>
  <c r="O698" i="5" s="1"/>
  <c r="F695" i="5"/>
  <c r="O697" i="5" s="1"/>
  <c r="B702" i="5"/>
  <c r="F697" i="5"/>
  <c r="O699" i="5" s="1"/>
  <c r="H698" i="5"/>
  <c r="H697" i="5"/>
  <c r="B695" i="5"/>
  <c r="L697" i="5" l="1" a="1"/>
  <c r="L697" i="5" s="1"/>
  <c r="Q697" i="5" s="1" a="1"/>
  <c r="Q697" i="5" s="1"/>
  <c r="C704" i="5" s="1"/>
  <c r="H706" i="5" s="1"/>
  <c r="B706" i="5" l="1"/>
  <c r="V27" i="5" s="1"/>
  <c r="C705" i="5"/>
  <c r="B704" i="5"/>
  <c r="F706" i="5"/>
  <c r="O708" i="5" s="1"/>
  <c r="H707" i="5"/>
  <c r="T27" i="5"/>
  <c r="F705" i="5"/>
  <c r="O707" i="5" s="1"/>
  <c r="I707" i="5"/>
  <c r="B711" i="5"/>
  <c r="U27" i="5"/>
  <c r="F704" i="5"/>
  <c r="O706" i="5" s="1"/>
  <c r="B705" i="5" l="1"/>
  <c r="I706" i="5"/>
  <c r="L706" i="5" s="1" a="1"/>
  <c r="L706" i="5" s="1"/>
  <c r="Q706" i="5" s="1" a="1"/>
  <c r="B715" i="5" s="1"/>
  <c r="C714" i="5" l="1"/>
  <c r="Q706" i="5"/>
  <c r="C713" i="5" s="1"/>
  <c r="F715" i="5" s="1"/>
  <c r="O717" i="5" s="1"/>
  <c r="H715" i="5"/>
  <c r="I715" i="5"/>
  <c r="I716" i="5"/>
  <c r="B714" i="5"/>
  <c r="B720" i="5"/>
  <c r="F713" i="5"/>
  <c r="O715" i="5" s="1"/>
  <c r="F714" i="5"/>
  <c r="O716" i="5" s="1"/>
  <c r="H716" i="5" l="1"/>
  <c r="B713" i="5"/>
  <c r="L715" i="5" a="1"/>
  <c r="L715" i="5" s="1"/>
  <c r="Q715" i="5" s="1" a="1"/>
  <c r="Q715" i="5" l="1"/>
  <c r="C722" i="5" s="1"/>
  <c r="F724" i="5" s="1"/>
  <c r="B724" i="5"/>
  <c r="C723" i="5"/>
  <c r="I725" i="5" l="1"/>
  <c r="B723" i="5"/>
  <c r="I724" i="5"/>
  <c r="B729" i="5"/>
  <c r="F723" i="5"/>
  <c r="O725" i="5" s="1"/>
  <c r="F722" i="5"/>
  <c r="O724" i="5" s="1"/>
  <c r="H725" i="5"/>
  <c r="H724" i="5"/>
  <c r="O726" i="5"/>
  <c r="B722" i="5"/>
  <c r="L724" i="5" l="1" a="1"/>
  <c r="L724" i="5" s="1"/>
  <c r="Q724" i="5" s="1" a="1"/>
  <c r="C732" i="5" l="1"/>
  <c r="U28" i="5" s="1"/>
  <c r="Q724" i="5"/>
  <c r="C731" i="5" s="1"/>
  <c r="B733" i="5"/>
  <c r="V28" i="5" s="1"/>
  <c r="F733" i="5" l="1"/>
  <c r="O735" i="5" s="1"/>
  <c r="T28" i="5"/>
  <c r="F732" i="5"/>
  <c r="O734" i="5" s="1"/>
  <c r="F731" i="5"/>
  <c r="O733" i="5" s="1"/>
  <c r="B738" i="5"/>
  <c r="H733" i="5"/>
  <c r="H734" i="5"/>
  <c r="B731" i="5"/>
  <c r="B732" i="5"/>
  <c r="I733" i="5"/>
  <c r="I734" i="5"/>
  <c r="L733" i="5" l="1" a="1"/>
  <c r="L733" i="5" s="1"/>
  <c r="Q733" i="5" s="1" a="1"/>
  <c r="Q733" i="5" l="1"/>
  <c r="C740" i="5" s="1"/>
  <c r="F742" i="5" s="1"/>
  <c r="B742" i="5"/>
  <c r="C741" i="5"/>
  <c r="I742" i="5" l="1"/>
  <c r="I743" i="5"/>
  <c r="B741" i="5"/>
  <c r="F740" i="5"/>
  <c r="O742" i="5" s="1"/>
  <c r="F741" i="5"/>
  <c r="O743" i="5" s="1"/>
  <c r="B747" i="5"/>
  <c r="H743" i="5"/>
  <c r="H742" i="5"/>
  <c r="O744" i="5"/>
  <c r="B740" i="5"/>
  <c r="L742" i="5" l="1" a="1"/>
  <c r="L742" i="5" s="1"/>
  <c r="Q742" i="5" s="1" a="1"/>
  <c r="Q742" i="5" l="1"/>
  <c r="C749" i="5" s="1"/>
  <c r="F751" i="5" s="1"/>
  <c r="B751" i="5"/>
  <c r="C750" i="5"/>
  <c r="I751" i="5" l="1"/>
  <c r="I752" i="5"/>
  <c r="B750" i="5"/>
  <c r="F749" i="5"/>
  <c r="O751" i="5" s="1"/>
  <c r="F750" i="5"/>
  <c r="O752" i="5" s="1"/>
  <c r="B756" i="5"/>
  <c r="B749" i="5"/>
  <c r="H751" i="5"/>
  <c r="O753" i="5"/>
  <c r="H752" i="5"/>
  <c r="L751" i="5" l="1" a="1"/>
  <c r="L751" i="5" s="1"/>
  <c r="Q751" i="5" s="1" a="1"/>
  <c r="Q751" i="5" l="1"/>
  <c r="C758" i="5" s="1"/>
  <c r="B760" i="5"/>
  <c r="V29" i="5" s="1"/>
  <c r="C759" i="5"/>
  <c r="U29" i="5" s="1"/>
  <c r="F760" i="5" l="1"/>
  <c r="T29" i="5"/>
  <c r="B759" i="5"/>
  <c r="I761" i="5"/>
  <c r="I760" i="5"/>
  <c r="F759" i="5"/>
  <c r="O761" i="5" s="1"/>
  <c r="F758" i="5"/>
  <c r="O760" i="5" s="1"/>
  <c r="B765" i="5"/>
  <c r="B758" i="5"/>
  <c r="H761" i="5"/>
  <c r="O762" i="5"/>
  <c r="H760" i="5"/>
  <c r="L760" i="5" l="1" a="1"/>
  <c r="L760" i="5" s="1"/>
  <c r="Q760" i="5" s="1" a="1"/>
  <c r="Q760" i="5" s="1"/>
  <c r="C767" i="5" s="1"/>
  <c r="F769" i="5" l="1"/>
  <c r="O771" i="5" s="1"/>
  <c r="B769" i="5"/>
  <c r="C768" i="5"/>
  <c r="B768" i="5" s="1"/>
  <c r="H770" i="5"/>
  <c r="B767" i="5"/>
  <c r="H769" i="5"/>
  <c r="F767" i="5"/>
  <c r="O769" i="5" s="1"/>
  <c r="F768" i="5" l="1"/>
  <c r="O770" i="5" s="1"/>
  <c r="B774" i="5"/>
  <c r="I769" i="5"/>
  <c r="I770" i="5"/>
  <c r="L769" i="5" s="1" a="1"/>
  <c r="L769" i="5" s="1"/>
  <c r="Q769" i="5" s="1" a="1"/>
  <c r="Q769" i="5" s="1"/>
  <c r="C776" i="5" s="1"/>
  <c r="F778" i="5" s="1"/>
  <c r="B778" i="5" l="1"/>
  <c r="C777" i="5"/>
  <c r="I779" i="5" s="1"/>
  <c r="B783" i="5"/>
  <c r="F777" i="5"/>
  <c r="O779" i="5" s="1"/>
  <c r="H779" i="5"/>
  <c r="O780" i="5"/>
  <c r="B776" i="5"/>
  <c r="H778" i="5"/>
  <c r="B777" i="5" l="1"/>
  <c r="I778" i="5"/>
  <c r="F776" i="5"/>
  <c r="O778" i="5" s="1"/>
  <c r="L778" i="5" a="1"/>
  <c r="L778" i="5" s="1"/>
  <c r="Q778" i="5" s="1" a="1"/>
  <c r="Q778" i="5" l="1"/>
  <c r="C785" i="5" s="1"/>
  <c r="B787" i="5"/>
  <c r="V30" i="5" s="1"/>
  <c r="C786" i="5"/>
  <c r="U30" i="5" s="1"/>
  <c r="F787" i="5" l="1"/>
  <c r="T30" i="5"/>
  <c r="B792" i="5"/>
  <c r="F785" i="5"/>
  <c r="O787" i="5" s="1"/>
  <c r="F786" i="5"/>
  <c r="O788" i="5" s="1"/>
  <c r="I787" i="5"/>
  <c r="I788" i="5"/>
  <c r="B786" i="5"/>
  <c r="H787" i="5"/>
  <c r="H788" i="5"/>
  <c r="B785" i="5"/>
  <c r="O789" i="5"/>
  <c r="L787" i="5" l="1" a="1"/>
  <c r="L787" i="5" s="1"/>
  <c r="Q787" i="5" s="1" a="1"/>
  <c r="B796" i="5" s="1"/>
  <c r="B801" i="5" s="1"/>
  <c r="C795" i="5" l="1"/>
  <c r="Q787" i="5"/>
  <c r="C794" i="5" s="1"/>
  <c r="F796" i="5" s="1"/>
  <c r="O798" i="5" s="1"/>
  <c r="B795" i="5"/>
  <c r="I797" i="5"/>
  <c r="I796" i="5"/>
  <c r="B794" i="5" l="1"/>
  <c r="H797" i="5"/>
  <c r="F794" i="5"/>
  <c r="O796" i="5" s="1"/>
  <c r="F795" i="5"/>
  <c r="O797" i="5" s="1"/>
  <c r="H796" i="5"/>
  <c r="L796" i="5" s="1" a="1"/>
  <c r="L796" i="5" s="1"/>
  <c r="Q796" i="5" s="1" a="1"/>
  <c r="B805" i="5" s="1"/>
  <c r="B810" i="5" l="1"/>
  <c r="Q796" i="5"/>
  <c r="C803" i="5" s="1"/>
  <c r="C804" i="5"/>
  <c r="F803" i="5"/>
  <c r="O805" i="5" s="1"/>
  <c r="F805" i="5"/>
  <c r="O807" i="5" s="1"/>
  <c r="H805" i="5"/>
  <c r="F804" i="5" l="1"/>
  <c r="O806" i="5" s="1"/>
  <c r="B804" i="5"/>
  <c r="I806" i="5"/>
  <c r="I805" i="5"/>
  <c r="B803" i="5"/>
  <c r="H806" i="5"/>
  <c r="L805" i="5" l="1" a="1"/>
  <c r="L805" i="5" s="1"/>
  <c r="Q805" i="5" s="1" a="1"/>
  <c r="C813" i="5" s="1"/>
  <c r="I814" i="5" s="1"/>
  <c r="U31" i="5" l="1"/>
  <c r="B814" i="5"/>
  <c r="V31" i="5" s="1"/>
  <c r="I815" i="5"/>
  <c r="Q805" i="5"/>
  <c r="C812" i="5" s="1"/>
  <c r="T31" i="5" s="1"/>
  <c r="H815" i="5"/>
  <c r="F814" i="5"/>
  <c r="O816" i="5" s="1"/>
  <c r="H814" i="5"/>
  <c r="B812" i="5"/>
  <c r="B813" i="5"/>
  <c r="B819" i="5"/>
  <c r="F813" i="5"/>
  <c r="O815" i="5" s="1"/>
  <c r="F812" i="5"/>
  <c r="O814" i="5" s="1"/>
  <c r="L814" i="5" l="1" a="1"/>
  <c r="L814" i="5" s="1"/>
  <c r="Q814" i="5" s="1" a="1"/>
  <c r="C822" i="5" s="1"/>
  <c r="B822" i="5" s="1"/>
  <c r="B823" i="5" l="1"/>
  <c r="I823" i="5"/>
  <c r="Q814" i="5"/>
  <c r="C821" i="5" s="1"/>
  <c r="F823" i="5" s="1"/>
  <c r="O825" i="5" s="1"/>
  <c r="I824" i="5"/>
  <c r="B828" i="5"/>
  <c r="F821" i="5"/>
  <c r="O823" i="5" s="1"/>
  <c r="F822" i="5"/>
  <c r="O824" i="5" s="1"/>
  <c r="B821" i="5"/>
  <c r="H824" i="5" l="1"/>
  <c r="H823" i="5"/>
  <c r="L823" i="5" a="1"/>
  <c r="L823" i="5" s="1"/>
  <c r="Q823" i="5" s="1" a="1"/>
  <c r="Q823" i="5" s="1"/>
  <c r="C830" i="5" s="1"/>
  <c r="F832" i="5" s="1"/>
  <c r="O834" i="5" s="1"/>
  <c r="B830" i="5" l="1"/>
  <c r="H833" i="5"/>
  <c r="B832" i="5"/>
  <c r="H832" i="5"/>
  <c r="C831" i="5"/>
  <c r="I832" i="5" l="1"/>
  <c r="I833" i="5"/>
  <c r="B831" i="5"/>
  <c r="B837" i="5"/>
  <c r="F831" i="5"/>
  <c r="O833" i="5" s="1"/>
  <c r="F830" i="5"/>
  <c r="O832" i="5" s="1"/>
  <c r="L832" i="5" l="1" a="1"/>
  <c r="L832" i="5" s="1"/>
  <c r="Q832" i="5" s="1" a="1"/>
  <c r="C840" i="5" l="1"/>
  <c r="B841" i="5"/>
  <c r="Q832" i="5"/>
  <c r="C839" i="5" s="1"/>
  <c r="F841" i="5" l="1"/>
  <c r="O843" i="5" s="1"/>
  <c r="H842" i="5"/>
  <c r="T32" i="5"/>
  <c r="H841" i="5"/>
  <c r="B839" i="5"/>
  <c r="V32" i="5"/>
  <c r="F839" i="5"/>
  <c r="O841" i="5" s="1"/>
  <c r="F840" i="5"/>
  <c r="O842" i="5" s="1"/>
  <c r="B846" i="5"/>
  <c r="U32" i="5"/>
  <c r="B840" i="5"/>
  <c r="I841" i="5"/>
  <c r="I842" i="5"/>
  <c r="L841" i="5" l="1" a="1"/>
  <c r="L841" i="5" s="1"/>
  <c r="Q841" i="5" s="1" a="1"/>
  <c r="B850" i="5" l="1"/>
  <c r="Q841" i="5"/>
  <c r="C848" i="5" s="1"/>
  <c r="C849" i="5"/>
  <c r="I850" i="5" l="1"/>
  <c r="B849" i="5"/>
  <c r="I851" i="5"/>
  <c r="F850" i="5"/>
  <c r="O852" i="5" s="1"/>
  <c r="B848" i="5"/>
  <c r="H851" i="5"/>
  <c r="H850" i="5"/>
  <c r="L850" i="5" s="1" a="1"/>
  <c r="L850" i="5" s="1"/>
  <c r="Q850" i="5" s="1" a="1"/>
  <c r="B859" i="5" s="1"/>
  <c r="F848" i="5"/>
  <c r="O850" i="5" s="1"/>
  <c r="F849" i="5"/>
  <c r="O851" i="5" s="1"/>
  <c r="B855" i="5"/>
  <c r="C858" i="5" l="1"/>
  <c r="Q850" i="5"/>
  <c r="C857" i="5" s="1"/>
  <c r="F859" i="5" s="1"/>
  <c r="F858" i="5"/>
  <c r="O860" i="5" s="1"/>
  <c r="F857" i="5"/>
  <c r="O859" i="5" s="1"/>
  <c r="B864" i="5"/>
  <c r="I859" i="5"/>
  <c r="B858" i="5"/>
  <c r="I860" i="5"/>
  <c r="H860" i="5"/>
  <c r="B857" i="5"/>
  <c r="O861" i="5"/>
  <c r="H859" i="5"/>
  <c r="L859" i="5" l="1" a="1"/>
  <c r="L859" i="5" s="1"/>
  <c r="Q859" i="5" s="1" a="1"/>
  <c r="Q859" i="5" s="1"/>
  <c r="C866" i="5" s="1"/>
  <c r="T33" i="5" s="1"/>
  <c r="H869" i="5" l="1"/>
  <c r="F868" i="5"/>
  <c r="O870" i="5" s="1"/>
  <c r="B868" i="5"/>
  <c r="V33" i="5" s="1"/>
  <c r="H868" i="5"/>
  <c r="C867" i="5"/>
  <c r="B866" i="5"/>
  <c r="B873" i="5"/>
  <c r="F866" i="5" l="1"/>
  <c r="O868" i="5" s="1"/>
  <c r="U33" i="5"/>
  <c r="F867" i="5"/>
  <c r="O869" i="5" s="1"/>
  <c r="B867" i="5"/>
  <c r="I868" i="5"/>
  <c r="I869" i="5"/>
  <c r="L868" i="5" l="1" a="1"/>
  <c r="L868" i="5" s="1"/>
  <c r="Q868" i="5" s="1" a="1"/>
  <c r="Q868" i="5" s="1"/>
  <c r="C875" i="5" s="1"/>
  <c r="B875" i="5" l="1"/>
  <c r="F877" i="5"/>
  <c r="O879" i="5" s="1"/>
  <c r="H878" i="5"/>
  <c r="C876" i="5"/>
  <c r="H877" i="5"/>
  <c r="B877" i="5"/>
  <c r="F876" i="5" s="1"/>
  <c r="O878" i="5" s="1"/>
  <c r="B876" i="5"/>
  <c r="F875" i="5" l="1"/>
  <c r="O877" i="5" s="1"/>
  <c r="B882" i="5"/>
  <c r="I878" i="5"/>
  <c r="I877" i="5"/>
  <c r="L877" i="5" l="1" a="1"/>
  <c r="L877" i="5" s="1"/>
  <c r="Q877" i="5" s="1" a="1"/>
  <c r="B886" i="5" s="1"/>
  <c r="B891" i="5" l="1"/>
  <c r="Q877" i="5"/>
  <c r="C884" i="5" s="1"/>
  <c r="C885" i="5"/>
  <c r="I887" i="5" s="1"/>
  <c r="H886" i="5" l="1"/>
  <c r="F886" i="5"/>
  <c r="O888" i="5" s="1"/>
  <c r="H887" i="5"/>
  <c r="B885" i="5"/>
  <c r="F884" i="5"/>
  <c r="O886" i="5" s="1"/>
  <c r="B884" i="5"/>
  <c r="F885" i="5"/>
  <c r="O887" i="5" s="1"/>
  <c r="I886" i="5"/>
  <c r="L886" i="5" l="1" a="1"/>
  <c r="L886" i="5" s="1"/>
  <c r="Q886" i="5" s="1" a="1"/>
  <c r="C894" i="5" s="1"/>
  <c r="I896" i="5" l="1"/>
  <c r="U34" i="5"/>
  <c r="I895" i="5"/>
  <c r="B894" i="5"/>
  <c r="B895" i="5"/>
  <c r="V34" i="5" s="1"/>
  <c r="Q886" i="5"/>
  <c r="C893" i="5" s="1"/>
  <c r="T34" i="5" s="1"/>
  <c r="B900" i="5"/>
  <c r="F893" i="5" l="1"/>
  <c r="O895" i="5" s="1"/>
  <c r="B893" i="5"/>
  <c r="F895" i="5"/>
  <c r="O897" i="5" s="1"/>
  <c r="H895" i="5"/>
  <c r="H896" i="5"/>
  <c r="F894" i="5"/>
  <c r="O896" i="5" s="1"/>
  <c r="L895" i="5" l="1" a="1"/>
  <c r="L895" i="5" s="1"/>
  <c r="Q895" i="5" s="1" a="1"/>
  <c r="C903" i="5" l="1"/>
  <c r="B904" i="5"/>
  <c r="Q895" i="5"/>
  <c r="C902" i="5" s="1"/>
  <c r="F904" i="5" l="1"/>
  <c r="O906" i="5" s="1"/>
  <c r="H905" i="5"/>
  <c r="B902" i="5"/>
  <c r="H904" i="5"/>
  <c r="F903" i="5"/>
  <c r="O905" i="5" s="1"/>
  <c r="F902" i="5"/>
  <c r="O904" i="5" s="1"/>
  <c r="B909" i="5"/>
  <c r="I904" i="5"/>
  <c r="I905" i="5"/>
  <c r="B903" i="5"/>
  <c r="L904" i="5" l="1" a="1"/>
  <c r="L904" i="5" s="1"/>
  <c r="Q904" i="5" s="1" a="1"/>
  <c r="Q904" i="5" l="1"/>
  <c r="C911" i="5" s="1"/>
  <c r="C912" i="5"/>
  <c r="B913" i="5"/>
  <c r="F911" i="5" l="1"/>
  <c r="O913" i="5" s="1"/>
  <c r="F912" i="5"/>
  <c r="O914" i="5" s="1"/>
  <c r="B918" i="5"/>
  <c r="B912" i="5"/>
  <c r="I914" i="5"/>
  <c r="I913" i="5"/>
  <c r="F913" i="5"/>
  <c r="O915" i="5" s="1"/>
  <c r="H913" i="5"/>
  <c r="B911" i="5"/>
  <c r="H914" i="5"/>
  <c r="L913" i="5" l="1" a="1"/>
  <c r="L913" i="5" s="1"/>
  <c r="Q913" i="5" s="1" a="1"/>
  <c r="Q913" i="5" l="1"/>
  <c r="C920" i="5" s="1"/>
  <c r="T35" i="5" s="1"/>
  <c r="C921" i="5"/>
  <c r="U35" i="5" s="1"/>
  <c r="B922" i="5"/>
  <c r="V35" i="5" s="1"/>
  <c r="I923" i="5" l="1"/>
  <c r="B921" i="5"/>
  <c r="I922" i="5"/>
  <c r="F920" i="5"/>
  <c r="O922" i="5" s="1"/>
  <c r="F921" i="5"/>
  <c r="O923" i="5" s="1"/>
  <c r="B927" i="5"/>
  <c r="F922" i="5"/>
  <c r="O924" i="5" s="1"/>
  <c r="H923" i="5"/>
  <c r="H922" i="5"/>
  <c r="B920" i="5"/>
  <c r="L922" i="5" l="1" a="1"/>
  <c r="L922" i="5" s="1"/>
  <c r="Q922" i="5" s="1" a="1"/>
  <c r="Q922" i="5" l="1"/>
  <c r="C929" i="5" s="1"/>
  <c r="C930" i="5"/>
  <c r="B931" i="5"/>
  <c r="F930" i="5" l="1"/>
  <c r="O932" i="5" s="1"/>
  <c r="F929" i="5"/>
  <c r="O931" i="5" s="1"/>
  <c r="B936" i="5"/>
  <c r="B930" i="5"/>
  <c r="I932" i="5"/>
  <c r="I931" i="5"/>
  <c r="F931" i="5"/>
  <c r="O933" i="5" s="1"/>
  <c r="B929" i="5"/>
  <c r="H931" i="5"/>
  <c r="H932" i="5"/>
  <c r="L931" i="5" l="1" a="1"/>
  <c r="L931" i="5" s="1"/>
  <c r="Q931" i="5" s="1" a="1"/>
  <c r="Q931" i="5" l="1"/>
  <c r="C938" i="5" s="1"/>
  <c r="C939" i="5"/>
  <c r="B940" i="5"/>
  <c r="F939" i="5" l="1"/>
  <c r="O941" i="5" s="1"/>
  <c r="B945" i="5"/>
  <c r="F938" i="5"/>
  <c r="O940" i="5" s="1"/>
  <c r="B939" i="5"/>
  <c r="I940" i="5"/>
  <c r="I941" i="5"/>
  <c r="F940" i="5"/>
  <c r="O942" i="5" s="1"/>
  <c r="H941" i="5"/>
  <c r="B938" i="5"/>
  <c r="H940" i="5"/>
  <c r="L940" i="5" l="1" a="1"/>
  <c r="L940" i="5" s="1"/>
  <c r="Q940" i="5" s="1" a="1"/>
  <c r="Q940" i="5" l="1"/>
  <c r="C947" i="5" s="1"/>
  <c r="T36" i="5" s="1"/>
  <c r="B949" i="5"/>
  <c r="V36" i="5" s="1"/>
  <c r="C948" i="5"/>
  <c r="U36" i="5" s="1"/>
  <c r="B948" i="5" l="1"/>
  <c r="I949" i="5"/>
  <c r="I950" i="5"/>
  <c r="F948" i="5"/>
  <c r="O950" i="5" s="1"/>
  <c r="F947" i="5"/>
  <c r="O949" i="5" s="1"/>
  <c r="B954" i="5"/>
  <c r="H949" i="5"/>
  <c r="L949" i="5" s="1" a="1"/>
  <c r="L949" i="5" s="1"/>
  <c r="Q949" i="5" s="1" a="1"/>
  <c r="Q949" i="5" s="1"/>
  <c r="C956" i="5" s="1"/>
  <c r="F949" i="5"/>
  <c r="O951" i="5" s="1"/>
  <c r="H950" i="5"/>
  <c r="B947" i="5"/>
  <c r="H959" i="5" l="1"/>
  <c r="F958" i="5"/>
  <c r="O960" i="5" s="1"/>
  <c r="B956" i="5"/>
  <c r="B958" i="5"/>
  <c r="B963" i="5" s="1"/>
  <c r="C957" i="5"/>
  <c r="I959" i="5" s="1"/>
  <c r="H958" i="5"/>
  <c r="I958" i="5"/>
  <c r="L958" i="5" s="1" a="1"/>
  <c r="L958" i="5" s="1"/>
  <c r="B957" i="5"/>
  <c r="F957" i="5" l="1"/>
  <c r="O959" i="5" s="1"/>
  <c r="F956" i="5"/>
  <c r="O958" i="5" s="1"/>
  <c r="Q958" i="5" l="1" a="1"/>
  <c r="C966" i="5" s="1"/>
  <c r="I968" i="5" s="1"/>
  <c r="I967" i="5" l="1"/>
  <c r="B967" i="5"/>
  <c r="B966" i="5"/>
  <c r="Q958" i="5"/>
  <c r="C965" i="5" s="1"/>
  <c r="F965" i="5" s="1"/>
  <c r="O967" i="5" s="1"/>
  <c r="F967" i="5"/>
  <c r="O969" i="5" s="1"/>
  <c r="H967" i="5"/>
  <c r="B965" i="5"/>
  <c r="B972" i="5"/>
  <c r="F966" i="5" l="1"/>
  <c r="O968" i="5" s="1"/>
  <c r="H968" i="5"/>
  <c r="L967" i="5" s="1" a="1"/>
  <c r="L967" i="5" s="1"/>
  <c r="Q967" i="5" s="1" a="1"/>
  <c r="C975" i="5" s="1"/>
  <c r="U37" i="5" s="1"/>
  <c r="Q967" i="5" l="1"/>
  <c r="C974" i="5" s="1"/>
  <c r="T37" i="5" s="1"/>
  <c r="B976" i="5"/>
  <c r="V37" i="5" s="1"/>
  <c r="H976" i="5"/>
  <c r="H977" i="5"/>
  <c r="F975" i="5"/>
  <c r="O977" i="5" s="1"/>
  <c r="I977" i="5"/>
  <c r="I976" i="5"/>
  <c r="B975" i="5"/>
  <c r="B974" i="5" l="1"/>
  <c r="F976" i="5"/>
  <c r="O978" i="5" s="1"/>
  <c r="F974" i="5"/>
  <c r="O976" i="5" s="1"/>
  <c r="B981" i="5"/>
  <c r="L976" i="5" a="1"/>
  <c r="L976" i="5" s="1"/>
  <c r="Q976" i="5" s="1" a="1"/>
  <c r="B985" i="5" l="1"/>
  <c r="Q976" i="5"/>
  <c r="C983" i="5" s="1"/>
  <c r="F985" i="5" s="1"/>
  <c r="C984" i="5"/>
  <c r="B983" i="5" l="1"/>
  <c r="H986" i="5"/>
  <c r="H985" i="5"/>
  <c r="O987" i="5"/>
  <c r="I986" i="5"/>
  <c r="B984" i="5"/>
  <c r="I985" i="5"/>
  <c r="F984" i="5"/>
  <c r="O986" i="5" s="1"/>
  <c r="F983" i="5"/>
  <c r="O985" i="5" s="1"/>
  <c r="B990" i="5"/>
  <c r="L985" i="5" l="1" a="1"/>
  <c r="L985" i="5" s="1"/>
  <c r="Q985" i="5" s="1" a="1"/>
  <c r="B994" i="5" l="1"/>
  <c r="Q985" i="5"/>
  <c r="C992" i="5" s="1"/>
  <c r="F994" i="5" s="1"/>
  <c r="C993" i="5"/>
  <c r="H995" i="5" l="1"/>
  <c r="O996" i="5"/>
  <c r="B992" i="5"/>
  <c r="H994" i="5"/>
  <c r="I995" i="5"/>
  <c r="B993" i="5"/>
  <c r="I994" i="5"/>
  <c r="F992" i="5"/>
  <c r="O994" i="5" s="1"/>
  <c r="F993" i="5"/>
  <c r="O995" i="5" s="1"/>
  <c r="B999" i="5"/>
  <c r="L994" i="5" l="1" a="1"/>
  <c r="L994" i="5" s="1"/>
  <c r="Q994" i="5" s="1" a="1"/>
  <c r="Q994" i="5" l="1"/>
  <c r="C1001" i="5" s="1"/>
  <c r="C1002" i="5"/>
  <c r="U38" i="5" s="1"/>
  <c r="B1003" i="5"/>
  <c r="V38" i="5" s="1"/>
  <c r="F1003" i="5" l="1"/>
  <c r="O1005" i="5" s="1"/>
  <c r="T38" i="5"/>
  <c r="F1002" i="5"/>
  <c r="O1004" i="5" s="1"/>
  <c r="B1008" i="5"/>
  <c r="F1001" i="5"/>
  <c r="O1003" i="5" s="1"/>
  <c r="B1002" i="5"/>
  <c r="I1004" i="5"/>
  <c r="I1003" i="5"/>
  <c r="B1001" i="5"/>
  <c r="H1003" i="5"/>
  <c r="H1004" i="5"/>
  <c r="L1003" i="5" l="1" a="1"/>
  <c r="L1003" i="5" s="1"/>
  <c r="Q1003" i="5" s="1" a="1"/>
  <c r="Q1003" i="5" l="1"/>
  <c r="C1010" i="5" s="1"/>
  <c r="F1012" i="5" s="1"/>
  <c r="C1011" i="5"/>
  <c r="B1012" i="5"/>
  <c r="I1012" i="5" l="1"/>
  <c r="I1013" i="5"/>
  <c r="B1011" i="5"/>
  <c r="B1017" i="5"/>
  <c r="F1011" i="5"/>
  <c r="O1013" i="5" s="1"/>
  <c r="F1010" i="5"/>
  <c r="O1012" i="5" s="1"/>
  <c r="H1013" i="5"/>
  <c r="H1012" i="5"/>
  <c r="O1014" i="5"/>
  <c r="B1010" i="5"/>
  <c r="L1012" i="5" l="1" a="1"/>
  <c r="L1012" i="5" s="1"/>
  <c r="Q1012" i="5" s="1" a="1"/>
  <c r="Q1012" i="5" l="1"/>
  <c r="C1019" i="5" s="1"/>
  <c r="F1021" i="5" s="1"/>
  <c r="C1020" i="5"/>
  <c r="B1021" i="5"/>
  <c r="F1019" i="5" l="1"/>
  <c r="O1021" i="5" s="1"/>
  <c r="F1020" i="5"/>
  <c r="O1022" i="5" s="1"/>
  <c r="B1026" i="5"/>
  <c r="B1020" i="5"/>
  <c r="I1022" i="5"/>
  <c r="I1021" i="5"/>
  <c r="O1023" i="5"/>
  <c r="H1021" i="5"/>
  <c r="B1019" i="5"/>
  <c r="H1022" i="5"/>
  <c r="L1021" i="5" l="1" a="1"/>
  <c r="L1021" i="5" s="1"/>
  <c r="Q1021" i="5" s="1" a="1"/>
  <c r="Q1021" i="5" l="1"/>
  <c r="C1028" i="5" s="1"/>
  <c r="B1030" i="5"/>
  <c r="V39" i="5" s="1"/>
  <c r="C1029" i="5"/>
  <c r="U39" i="5" s="1"/>
  <c r="F1030" i="5" l="1"/>
  <c r="T39" i="5"/>
  <c r="F1028" i="5"/>
  <c r="O1030" i="5" s="1"/>
  <c r="F1029" i="5"/>
  <c r="O1031" i="5" s="1"/>
  <c r="B1035" i="5"/>
  <c r="B1029" i="5"/>
  <c r="I1030" i="5"/>
  <c r="I1031" i="5"/>
  <c r="H1031" i="5"/>
  <c r="B1028" i="5"/>
  <c r="H1030" i="5"/>
  <c r="O1032" i="5"/>
  <c r="L1030" i="5" l="1" a="1"/>
  <c r="L1030" i="5" s="1"/>
  <c r="Q1030" i="5" s="1" a="1"/>
  <c r="Q1030" i="5" s="1"/>
  <c r="C1037" i="5" s="1"/>
  <c r="B1037" i="5" l="1"/>
  <c r="F1039" i="5"/>
  <c r="B1039" i="5"/>
  <c r="B1044" i="5" s="1"/>
  <c r="H1040" i="5"/>
  <c r="C1038" i="5"/>
  <c r="I1039" i="5" s="1"/>
  <c r="O1041" i="5"/>
  <c r="H1039" i="5"/>
  <c r="B1038" i="5" l="1"/>
  <c r="F1037" i="5"/>
  <c r="O1039" i="5" s="1"/>
  <c r="I1040" i="5"/>
  <c r="L1039" i="5" s="1" a="1"/>
  <c r="L1039" i="5" s="1"/>
  <c r="F1038" i="5"/>
  <c r="O1040" i="5" s="1"/>
  <c r="Q1039" i="5" l="1" a="1"/>
  <c r="Q1039" i="5" s="1"/>
  <c r="C1046" i="5" s="1"/>
  <c r="F1048" i="5" s="1"/>
  <c r="C1047" i="5" l="1"/>
  <c r="B1047" i="5" s="1"/>
  <c r="B1048" i="5"/>
  <c r="B1046" i="5"/>
  <c r="O1050" i="5"/>
  <c r="H1049" i="5"/>
  <c r="H1048" i="5"/>
  <c r="I1048" i="5" l="1"/>
  <c r="F1046" i="5"/>
  <c r="O1048" i="5" s="1"/>
  <c r="I1049" i="5"/>
  <c r="B1053" i="5"/>
  <c r="F1047" i="5"/>
  <c r="O1049" i="5" s="1"/>
  <c r="L1048" i="5" l="1" a="1"/>
  <c r="L1048" i="5" s="1"/>
  <c r="Q1048" i="5" s="1" a="1"/>
  <c r="Q1048" i="5" s="1"/>
  <c r="C1055" i="5" s="1"/>
  <c r="T40" i="5" s="1"/>
  <c r="H1058" i="5" l="1"/>
  <c r="F1057" i="5"/>
  <c r="O1059" i="5" s="1"/>
  <c r="C1056" i="5"/>
  <c r="B1057" i="5"/>
  <c r="B1055" i="5"/>
  <c r="H1057" i="5"/>
  <c r="B1056" i="5"/>
  <c r="B1062" i="5" l="1"/>
  <c r="V40" i="5"/>
  <c r="I1058" i="5"/>
  <c r="U40" i="5"/>
  <c r="I1057" i="5"/>
  <c r="L1057" i="5" s="1" a="1"/>
  <c r="L1057" i="5" s="1"/>
  <c r="F1055" i="5"/>
  <c r="O1057" i="5" s="1"/>
  <c r="F1056" i="5"/>
  <c r="O1058" i="5" s="1"/>
  <c r="Q1057" i="5" l="1" a="1"/>
  <c r="C1065" i="5" s="1"/>
  <c r="B1065" i="5" s="1"/>
  <c r="B1066" i="5" l="1"/>
  <c r="I1067" i="5"/>
  <c r="Q1057" i="5"/>
  <c r="C1064" i="5" s="1"/>
  <c r="H1066" i="5" s="1"/>
  <c r="I1066" i="5"/>
  <c r="B1071" i="5"/>
  <c r="H1067" i="5" l="1"/>
  <c r="F1066" i="5"/>
  <c r="O1068" i="5" s="1"/>
  <c r="B1064" i="5"/>
  <c r="L1066" i="5" a="1"/>
  <c r="L1066" i="5" s="1"/>
  <c r="F1065" i="5"/>
  <c r="O1067" i="5" s="1"/>
  <c r="F1064" i="5"/>
  <c r="O1066" i="5" s="1"/>
  <c r="Q1066" i="5" l="1" a="1"/>
  <c r="Q1066" i="5" s="1"/>
  <c r="C1073" i="5" s="1"/>
  <c r="H1075" i="5" s="1"/>
  <c r="C1074" i="5" l="1"/>
  <c r="B1075" i="5"/>
  <c r="F1074" i="5" s="1"/>
  <c r="O1076" i="5" s="1"/>
  <c r="H1076" i="5"/>
  <c r="B1073" i="5"/>
  <c r="F1075" i="5"/>
  <c r="O1077" i="5" s="1"/>
  <c r="I1075" i="5"/>
  <c r="I1076" i="5"/>
  <c r="B1074" i="5"/>
  <c r="B1080" i="5"/>
  <c r="F1073" i="5" l="1"/>
  <c r="O1075" i="5" s="1"/>
  <c r="L1075" i="5" a="1"/>
  <c r="L1075" i="5" s="1"/>
  <c r="Q1075" i="5" l="1" a="1"/>
  <c r="Q1075" i="5" s="1"/>
  <c r="C1082" i="5" s="1"/>
  <c r="C1083" i="5" l="1"/>
  <c r="U41" i="5" s="1"/>
  <c r="B1084" i="5"/>
  <c r="V41" i="5" s="1"/>
  <c r="F1084" i="5"/>
  <c r="O1086" i="5" s="1"/>
  <c r="T41" i="5"/>
  <c r="B1089" i="5"/>
  <c r="F1082" i="5"/>
  <c r="O1084" i="5" s="1"/>
  <c r="F1083" i="5"/>
  <c r="O1085" i="5" s="1"/>
  <c r="B1083" i="5"/>
  <c r="I1084" i="5"/>
  <c r="I1085" i="5"/>
  <c r="H1084" i="5"/>
  <c r="B1082" i="5"/>
  <c r="H1085" i="5"/>
  <c r="L1084" i="5" l="1" a="1"/>
  <c r="L1084" i="5" s="1"/>
  <c r="Q1084" i="5" s="1" a="1"/>
  <c r="C1092" i="5" l="1"/>
  <c r="Q1084" i="5"/>
  <c r="C1091" i="5" s="1"/>
  <c r="F1093" i="5" s="1"/>
  <c r="B1093" i="5"/>
  <c r="I1094" i="5" l="1"/>
  <c r="I1093" i="5"/>
  <c r="B1092" i="5"/>
  <c r="B1098" i="5"/>
  <c r="F1091" i="5"/>
  <c r="O1093" i="5" s="1"/>
  <c r="F1092" i="5"/>
  <c r="O1094" i="5" s="1"/>
  <c r="B1091" i="5"/>
  <c r="O1095" i="5"/>
  <c r="H1094" i="5"/>
  <c r="H1093" i="5"/>
  <c r="L1093" i="5" l="1" a="1"/>
  <c r="L1093" i="5" s="1"/>
  <c r="Q1093" i="5" s="1" a="1"/>
  <c r="C1101" i="5" s="1"/>
  <c r="B1101" i="5" s="1"/>
  <c r="I1103" i="5" l="1"/>
  <c r="I1102" i="5"/>
  <c r="B1102" i="5"/>
  <c r="B1107" i="5" s="1"/>
  <c r="Q1093" i="5"/>
  <c r="C1100" i="5" s="1"/>
  <c r="F1102" i="5" s="1"/>
  <c r="F1100" i="5" l="1"/>
  <c r="O1102" i="5" s="1"/>
  <c r="O1104" i="5"/>
  <c r="H1102" i="5"/>
  <c r="H1103" i="5"/>
  <c r="F1101" i="5"/>
  <c r="O1103" i="5" s="1"/>
  <c r="B1100" i="5"/>
  <c r="L1102" i="5" l="1" a="1"/>
  <c r="L1102" i="5" s="1"/>
  <c r="Q1102" i="5" s="1" a="1"/>
  <c r="C1110" i="5" s="1"/>
  <c r="U42" i="5" s="1"/>
  <c r="I1112" i="5" l="1"/>
  <c r="B1110" i="5"/>
  <c r="I1111" i="5"/>
  <c r="B1111" i="5"/>
  <c r="V42" i="5" s="1"/>
  <c r="Q1102" i="5"/>
  <c r="C1109" i="5" s="1"/>
  <c r="T42" i="5" s="1"/>
  <c r="F1111" i="5" l="1"/>
  <c r="O1113" i="5" s="1"/>
  <c r="B1109" i="5"/>
  <c r="H1111" i="5"/>
  <c r="F1109" i="5"/>
  <c r="O1111" i="5" s="1"/>
  <c r="H1112" i="5"/>
  <c r="B1116" i="5"/>
  <c r="F1110" i="5"/>
  <c r="O1112" i="5" s="1"/>
  <c r="L1111" i="5" l="1" a="1"/>
  <c r="L1111" i="5" s="1"/>
  <c r="Q1111" i="5" s="1" a="1"/>
  <c r="Q1111" i="5" s="1"/>
  <c r="C1118" i="5" s="1"/>
  <c r="B1118" i="5" l="1"/>
  <c r="F1120" i="5"/>
  <c r="O1122" i="5" s="1"/>
  <c r="H1121" i="5"/>
  <c r="H1120" i="5"/>
  <c r="C1119" i="5"/>
  <c r="B1120" i="5"/>
  <c r="F1119" i="5" l="1"/>
  <c r="O1121" i="5" s="1"/>
  <c r="B1125" i="5"/>
  <c r="F1118" i="5"/>
  <c r="O1120" i="5" s="1"/>
  <c r="B1119" i="5"/>
  <c r="I1121" i="5"/>
  <c r="I1120" i="5"/>
  <c r="L1120" i="5" s="1" a="1"/>
  <c r="L1120" i="5" s="1"/>
  <c r="Q1120" i="5" s="1" a="1"/>
  <c r="Q1120" i="5" s="1"/>
  <c r="C1127" i="5" s="1"/>
  <c r="B1127" i="5" l="1"/>
  <c r="F1129" i="5"/>
  <c r="O1131" i="5" s="1"/>
  <c r="H1130" i="5"/>
  <c r="H1129" i="5"/>
  <c r="C1128" i="5"/>
  <c r="B1129" i="5"/>
  <c r="F1128" i="5" l="1"/>
  <c r="O1130" i="5" s="1"/>
  <c r="F1127" i="5"/>
  <c r="O1129" i="5" s="1"/>
  <c r="B1134" i="5"/>
  <c r="I1130" i="5"/>
  <c r="B1128" i="5"/>
  <c r="I1129" i="5"/>
  <c r="L1129" i="5" l="1" a="1"/>
  <c r="L1129" i="5" s="1"/>
  <c r="Q1129" i="5" s="1" a="1"/>
  <c r="C1137" i="5" s="1"/>
  <c r="B1137" i="5" l="1"/>
  <c r="U43" i="5"/>
  <c r="I1138" i="5"/>
  <c r="I1139" i="5"/>
  <c r="Q1129" i="5"/>
  <c r="C1136" i="5" s="1"/>
  <c r="B1138" i="5"/>
  <c r="V43" i="5" s="1"/>
  <c r="F1138" i="5" l="1"/>
  <c r="T43" i="5"/>
  <c r="F1137" i="5"/>
  <c r="O1139" i="5" s="1"/>
  <c r="F1136" i="5"/>
  <c r="O1138" i="5" s="1"/>
  <c r="B1143" i="5"/>
  <c r="H1139" i="5"/>
  <c r="O1140" i="5"/>
  <c r="H1138" i="5"/>
  <c r="B1136" i="5"/>
  <c r="L1138" i="5" l="1" a="1"/>
  <c r="L1138" i="5" s="1"/>
  <c r="Q1138" i="5" s="1" a="1"/>
  <c r="C1146" i="5" s="1"/>
  <c r="B1146" i="5" s="1"/>
  <c r="I1148" i="5" l="1"/>
  <c r="I1147" i="5"/>
  <c r="Q1138" i="5"/>
  <c r="C1145" i="5" s="1"/>
  <c r="H1148" i="5" s="1"/>
  <c r="B1147" i="5"/>
  <c r="B1145" i="5" l="1"/>
  <c r="H1147" i="5"/>
  <c r="L1147" i="5" s="1" a="1"/>
  <c r="L1147" i="5" s="1"/>
  <c r="F1147" i="5"/>
  <c r="O1149" i="5" s="1"/>
  <c r="B1152" i="5"/>
  <c r="F1146" i="5"/>
  <c r="O1148" i="5" s="1"/>
  <c r="F1145" i="5"/>
  <c r="O1147" i="5" s="1"/>
  <c r="Q1147" i="5" l="1" a="1"/>
  <c r="Q1147" i="5" s="1"/>
  <c r="C1154" i="5" s="1"/>
  <c r="C1155" i="5" l="1"/>
  <c r="B1156" i="5"/>
  <c r="B1161" i="5" s="1"/>
  <c r="I1156" i="5"/>
  <c r="B1155" i="5"/>
  <c r="I1157" i="5"/>
  <c r="F1155" i="5"/>
  <c r="O1157" i="5" s="1"/>
  <c r="F1156" i="5"/>
  <c r="O1158" i="5" s="1"/>
  <c r="B1154" i="5"/>
  <c r="H1156" i="5"/>
  <c r="H1157" i="5"/>
  <c r="F1154" i="5" l="1"/>
  <c r="O1156" i="5" s="1"/>
  <c r="L1156" i="5" a="1"/>
  <c r="L1156" i="5" s="1"/>
  <c r="Q1156" i="5" s="1" a="1"/>
  <c r="B1165" i="5" l="1"/>
  <c r="Q1156" i="5"/>
  <c r="C1163" i="5" s="1"/>
  <c r="C1164" i="5"/>
  <c r="F1165" i="5" l="1"/>
  <c r="O1167" i="5" s="1"/>
  <c r="T44" i="5"/>
  <c r="H1166" i="5"/>
  <c r="H1165" i="5"/>
  <c r="B1163" i="5"/>
  <c r="U44" i="5"/>
  <c r="B1164" i="5"/>
  <c r="I1165" i="5"/>
  <c r="I1166" i="5"/>
  <c r="V44" i="5"/>
  <c r="F1163" i="5"/>
  <c r="O1165" i="5" s="1"/>
  <c r="F1164" i="5"/>
  <c r="O1166" i="5" s="1"/>
  <c r="B1170" i="5"/>
  <c r="L1165" i="5" l="1" a="1"/>
  <c r="L1165" i="5" s="1"/>
  <c r="Q1165" i="5" s="1" a="1"/>
  <c r="Q1165" i="5" l="1"/>
  <c r="C1172" i="5" s="1"/>
  <c r="B1174" i="5"/>
  <c r="C1173" i="5"/>
  <c r="B1173" i="5" l="1"/>
  <c r="I1175" i="5"/>
  <c r="I1174" i="5"/>
  <c r="B1179" i="5"/>
  <c r="F1173" i="5"/>
  <c r="O1175" i="5" s="1"/>
  <c r="F1172" i="5"/>
  <c r="O1174" i="5" s="1"/>
  <c r="F1174" i="5"/>
  <c r="O1176" i="5" s="1"/>
  <c r="H1174" i="5"/>
  <c r="H1175" i="5"/>
  <c r="B1172" i="5"/>
  <c r="L1174" i="5" l="1" a="1"/>
  <c r="L1174" i="5" s="1"/>
  <c r="Q1174" i="5" s="1" a="1"/>
  <c r="Q1174" i="5" l="1"/>
  <c r="C1181" i="5" s="1"/>
  <c r="C1182" i="5"/>
  <c r="B1183" i="5"/>
  <c r="B1188" i="5" l="1"/>
  <c r="F1181" i="5"/>
  <c r="O1183" i="5" s="1"/>
  <c r="F1182" i="5"/>
  <c r="O1184" i="5" s="1"/>
  <c r="I1183" i="5"/>
  <c r="B1182" i="5"/>
  <c r="I1184" i="5"/>
  <c r="H1183" i="5"/>
  <c r="H1184" i="5"/>
  <c r="F1183" i="5"/>
  <c r="O1185" i="5" s="1"/>
  <c r="B1181" i="5"/>
  <c r="L1183" i="5" l="1" a="1"/>
  <c r="L1183" i="5" s="1"/>
  <c r="Q1183" i="5" s="1" a="1"/>
  <c r="C1191" i="5" s="1"/>
  <c r="B1192" i="5" l="1"/>
  <c r="B1197" i="5" s="1"/>
  <c r="Q1183" i="5"/>
  <c r="C1190" i="5" s="1"/>
  <c r="H1193" i="5" s="1"/>
  <c r="F1190" i="5"/>
  <c r="O1192" i="5" s="1"/>
  <c r="F1191" i="5"/>
  <c r="O1193" i="5" s="1"/>
  <c r="T45" i="5"/>
  <c r="I1192" i="5"/>
  <c r="U45" i="5"/>
  <c r="I1193" i="5"/>
  <c r="B1191" i="5"/>
  <c r="V45" i="5" l="1"/>
  <c r="H1192" i="5"/>
  <c r="F1192" i="5"/>
  <c r="O1194" i="5" s="1"/>
  <c r="B1190" i="5"/>
  <c r="L1192" i="5" a="1"/>
  <c r="L1192" i="5" s="1"/>
  <c r="Q1192" i="5" s="1" a="1"/>
  <c r="Q1192" i="5" l="1"/>
  <c r="C1199" i="5" s="1"/>
  <c r="C1200" i="5"/>
  <c r="B1201" i="5"/>
  <c r="I1202" i="5" l="1"/>
  <c r="B1200" i="5"/>
  <c r="I1201" i="5"/>
  <c r="F1199" i="5"/>
  <c r="O1201" i="5" s="1"/>
  <c r="F1200" i="5"/>
  <c r="O1202" i="5" s="1"/>
  <c r="B1206" i="5"/>
  <c r="F1201" i="5"/>
  <c r="O1203" i="5" s="1"/>
  <c r="H1202" i="5"/>
  <c r="H1201" i="5"/>
  <c r="B1199" i="5"/>
  <c r="L1201" i="5" l="1" a="1"/>
  <c r="L1201" i="5" s="1"/>
  <c r="Q1201" i="5" s="1" a="1"/>
  <c r="Q1201" i="5" l="1"/>
  <c r="C1208" i="5" s="1"/>
  <c r="B1210" i="5"/>
  <c r="C1209" i="5"/>
  <c r="I1210" i="5" l="1"/>
  <c r="I1211" i="5"/>
  <c r="B1209" i="5"/>
  <c r="F1208" i="5"/>
  <c r="O1210" i="5" s="1"/>
  <c r="F1209" i="5"/>
  <c r="O1211" i="5" s="1"/>
  <c r="B1215" i="5"/>
  <c r="F1210" i="5"/>
  <c r="O1212" i="5" s="1"/>
  <c r="H1211" i="5"/>
  <c r="H1210" i="5"/>
  <c r="B1208" i="5"/>
  <c r="L1210" i="5" l="1" a="1"/>
  <c r="L1210" i="5" s="1"/>
  <c r="Q1210" i="5" s="1" a="1"/>
  <c r="C1218" i="5" s="1"/>
  <c r="Q1210" i="5" l="1"/>
  <c r="C1217" i="5" s="1"/>
  <c r="B1219" i="5"/>
  <c r="B1224" i="5" s="1"/>
  <c r="F1219" i="5"/>
  <c r="O1221" i="5" s="1"/>
  <c r="T46" i="5"/>
  <c r="H1219" i="5"/>
  <c r="B1217" i="5"/>
  <c r="H1220" i="5"/>
  <c r="V46" i="5"/>
  <c r="U46" i="5"/>
  <c r="I1219" i="5"/>
  <c r="I1220" i="5"/>
  <c r="B1218" i="5"/>
  <c r="F1217" i="5" l="1"/>
  <c r="O1219" i="5" s="1"/>
  <c r="F1218" i="5"/>
  <c r="O1220" i="5" s="1"/>
  <c r="L1219" i="5" a="1"/>
  <c r="L1219" i="5" s="1"/>
  <c r="Q1219" i="5" s="1" a="1"/>
  <c r="C1227" i="5" s="1"/>
  <c r="B1227" i="5" s="1"/>
  <c r="I1228" i="5" l="1"/>
  <c r="I1229" i="5"/>
  <c r="Q1219" i="5"/>
  <c r="C1226" i="5" s="1"/>
  <c r="B1228" i="5"/>
  <c r="B1233" i="5" l="1"/>
  <c r="F1226" i="5"/>
  <c r="O1228" i="5" s="1"/>
  <c r="F1227" i="5"/>
  <c r="O1229" i="5" s="1"/>
  <c r="F1228" i="5"/>
  <c r="O1230" i="5" s="1"/>
  <c r="H1228" i="5"/>
  <c r="H1229" i="5"/>
  <c r="B1226" i="5"/>
  <c r="L1228" i="5" l="1" a="1"/>
  <c r="L1228" i="5" s="1"/>
  <c r="Q1228" i="5" s="1" a="1"/>
  <c r="C1236" i="5" s="1"/>
  <c r="I1237" i="5" s="1"/>
  <c r="Q1228" i="5" l="1"/>
  <c r="C1235" i="5" s="1"/>
  <c r="B1237" i="5"/>
  <c r="B1236" i="5"/>
  <c r="I1238" i="5"/>
  <c r="F1237" i="5"/>
  <c r="O1239" i="5" s="1"/>
  <c r="H1237" i="5"/>
  <c r="H1238" i="5"/>
  <c r="B1235" i="5"/>
  <c r="F1235" i="5"/>
  <c r="O1237" i="5" s="1"/>
  <c r="F1236" i="5"/>
  <c r="O1238" i="5" s="1"/>
  <c r="B1242" i="5"/>
  <c r="L1237" i="5" l="1" a="1"/>
  <c r="L1237" i="5" s="1"/>
  <c r="Q1237" i="5" s="1" a="1"/>
  <c r="Q1237" i="5" s="1"/>
  <c r="C1244" i="5" s="1"/>
  <c r="T47" i="5" s="1"/>
  <c r="F1246" i="5" l="1"/>
  <c r="O1248" i="5" s="1"/>
  <c r="B1244" i="5"/>
  <c r="C1245" i="5"/>
  <c r="B1246" i="5"/>
  <c r="H1247" i="5"/>
  <c r="H1246" i="5"/>
  <c r="I1247" i="5"/>
  <c r="U47" i="5"/>
  <c r="V47" i="5" l="1"/>
  <c r="F1244" i="5"/>
  <c r="O1246" i="5" s="1"/>
  <c r="F1245" i="5"/>
  <c r="O1247" i="5" s="1"/>
  <c r="B1251" i="5"/>
  <c r="I1246" i="5"/>
  <c r="L1246" i="5" s="1" a="1"/>
  <c r="L1246" i="5" s="1"/>
  <c r="Q1246" i="5" s="1" a="1"/>
  <c r="B1245" i="5"/>
  <c r="B1255" i="5" l="1"/>
  <c r="C1254" i="5"/>
  <c r="Q1246" i="5"/>
  <c r="C1253" i="5" s="1"/>
  <c r="H1256" i="5" s="1"/>
  <c r="B1260" i="5"/>
  <c r="F1255" i="5" l="1"/>
  <c r="O1257" i="5" s="1"/>
  <c r="B1253" i="5"/>
  <c r="H1255" i="5"/>
  <c r="I1256" i="5"/>
  <c r="I1255" i="5"/>
  <c r="B1254" i="5"/>
  <c r="F1253" i="5"/>
  <c r="O1255" i="5" s="1"/>
  <c r="F1254" i="5"/>
  <c r="O1256" i="5" s="1"/>
  <c r="L1255" i="5" l="1" a="1"/>
  <c r="L1255" i="5" s="1"/>
  <c r="Q1255" i="5" s="1" a="1"/>
  <c r="B1264" i="5" l="1"/>
  <c r="Q1255" i="5"/>
  <c r="C1262" i="5" s="1"/>
  <c r="C1263" i="5"/>
  <c r="F1264" i="5" l="1"/>
  <c r="O1266" i="5" s="1"/>
  <c r="B1262" i="5"/>
  <c r="H1264" i="5"/>
  <c r="H1265" i="5"/>
  <c r="I1265" i="5"/>
  <c r="B1263" i="5"/>
  <c r="I1264" i="5"/>
  <c r="B1269" i="5"/>
  <c r="F1262" i="5"/>
  <c r="O1264" i="5" s="1"/>
  <c r="F1263" i="5"/>
  <c r="O1265" i="5" s="1"/>
  <c r="L1264" i="5" l="1" a="1"/>
  <c r="L1264" i="5" s="1"/>
  <c r="Q1264" i="5" s="1" a="1"/>
  <c r="Q1264" i="5" l="1"/>
  <c r="C1271" i="5" s="1"/>
  <c r="C1272" i="5"/>
  <c r="B1273" i="5"/>
  <c r="U48" i="5" l="1"/>
  <c r="I1273" i="5"/>
  <c r="I1274" i="5"/>
  <c r="B1272" i="5"/>
  <c r="V48" i="5"/>
  <c r="F1272" i="5"/>
  <c r="O1274" i="5" s="1"/>
  <c r="F1271" i="5"/>
  <c r="O1273" i="5" s="1"/>
  <c r="B1278" i="5"/>
  <c r="B1271" i="5"/>
  <c r="H1274" i="5"/>
  <c r="F1273" i="5"/>
  <c r="O1275" i="5" s="1"/>
  <c r="T48" i="5"/>
  <c r="H1273" i="5"/>
  <c r="L1273" i="5" l="1" a="1"/>
  <c r="L1273" i="5" s="1"/>
  <c r="Q1273" i="5" s="1" a="1"/>
  <c r="Q1273" i="5" l="1"/>
  <c r="C1280" i="5" s="1"/>
  <c r="B1282" i="5"/>
  <c r="C1281" i="5"/>
  <c r="B1287" i="5" l="1"/>
  <c r="F1281" i="5"/>
  <c r="O1283" i="5" s="1"/>
  <c r="F1280" i="5"/>
  <c r="O1282" i="5" s="1"/>
  <c r="B1281" i="5"/>
  <c r="I1283" i="5"/>
  <c r="I1282" i="5"/>
  <c r="F1282" i="5"/>
  <c r="O1284" i="5" s="1"/>
  <c r="B1280" i="5"/>
  <c r="H1282" i="5"/>
  <c r="H1283" i="5"/>
  <c r="L1282" i="5" l="1" a="1"/>
  <c r="L1282" i="5" s="1"/>
  <c r="Q1282" i="5" s="1" a="1"/>
  <c r="Q1282" i="5" l="1"/>
  <c r="C1289" i="5" s="1"/>
  <c r="C1290" i="5"/>
  <c r="B1291" i="5"/>
  <c r="I1292" i="5" l="1"/>
  <c r="I1291" i="5"/>
  <c r="B1290" i="5"/>
  <c r="F1289" i="5"/>
  <c r="O1291" i="5" s="1"/>
  <c r="F1290" i="5"/>
  <c r="O1292" i="5" s="1"/>
  <c r="B1296" i="5"/>
  <c r="F1291" i="5"/>
  <c r="O1293" i="5" s="1"/>
  <c r="H1292" i="5"/>
  <c r="H1291" i="5"/>
  <c r="B1289" i="5"/>
  <c r="L1291" i="5" l="1" a="1"/>
  <c r="L1291" i="5" s="1"/>
  <c r="Q1291" i="5" s="1" a="1"/>
  <c r="Q1291" i="5" l="1"/>
  <c r="C1298" i="5" s="1"/>
  <c r="B1300" i="5"/>
  <c r="C1299" i="5"/>
  <c r="U49" i="5" l="1"/>
  <c r="I1301" i="5"/>
  <c r="I1300" i="5"/>
  <c r="B1299" i="5"/>
  <c r="V49" i="5"/>
  <c r="F1299" i="5"/>
  <c r="O1301" i="5" s="1"/>
  <c r="F1298" i="5"/>
  <c r="O1300" i="5" s="1"/>
  <c r="B1305" i="5"/>
  <c r="B1298" i="5"/>
  <c r="F1300" i="5"/>
  <c r="O1302" i="5" s="1"/>
  <c r="H1300" i="5"/>
  <c r="T49" i="5"/>
  <c r="H1301" i="5"/>
  <c r="L1300" i="5" l="1" a="1"/>
  <c r="L1300" i="5" s="1"/>
  <c r="Q1300" i="5" s="1" a="1"/>
  <c r="Q1300" i="5" l="1"/>
  <c r="C1307" i="5" s="1"/>
  <c r="B1309" i="5"/>
  <c r="C1308" i="5"/>
  <c r="B1314" i="5" l="1"/>
  <c r="F1308" i="5"/>
  <c r="O1310" i="5" s="1"/>
  <c r="F1307" i="5"/>
  <c r="O1309" i="5" s="1"/>
  <c r="I1309" i="5"/>
  <c r="B1308" i="5"/>
  <c r="I1310" i="5"/>
  <c r="F1309" i="5"/>
  <c r="O1311" i="5" s="1"/>
  <c r="H1309" i="5"/>
  <c r="H1310" i="5"/>
  <c r="B1307" i="5"/>
  <c r="L1309" i="5" l="1" a="1"/>
  <c r="L1309" i="5" s="1"/>
  <c r="Q1309" i="5" s="1" a="1"/>
  <c r="C1317" i="5" l="1"/>
  <c r="Q1309" i="5"/>
  <c r="C1316" i="5" s="1"/>
  <c r="B1318" i="5"/>
  <c r="F1317" i="5" l="1"/>
  <c r="O1319" i="5" s="1"/>
  <c r="F1316" i="5"/>
  <c r="O1318" i="5" s="1"/>
  <c r="B1323" i="5"/>
  <c r="F1318" i="5"/>
  <c r="O1320" i="5" s="1"/>
  <c r="H1319" i="5"/>
  <c r="B1316" i="5"/>
  <c r="H1318" i="5"/>
  <c r="B1317" i="5"/>
  <c r="I1318" i="5"/>
  <c r="I1319" i="5"/>
  <c r="L1318" i="5" l="1" a="1"/>
  <c r="L1318" i="5" s="1"/>
  <c r="Q1318" i="5" s="1" a="1"/>
  <c r="Q1318" i="5" l="1"/>
  <c r="C1325" i="5" s="1"/>
  <c r="B1327" i="5"/>
  <c r="C1326" i="5"/>
  <c r="U50" i="5" l="1"/>
  <c r="I1328" i="5"/>
  <c r="B1326" i="5"/>
  <c r="I1327" i="5"/>
  <c r="V50" i="5"/>
  <c r="F1325" i="5"/>
  <c r="O1327" i="5" s="1"/>
  <c r="F1326" i="5"/>
  <c r="O1328" i="5" s="1"/>
  <c r="B1332" i="5"/>
  <c r="B1325" i="5"/>
  <c r="F1327" i="5"/>
  <c r="O1329" i="5" s="1"/>
  <c r="H1328" i="5"/>
  <c r="H1327" i="5"/>
  <c r="L1327" i="5" s="1" a="1"/>
  <c r="L1327" i="5" s="1"/>
  <c r="Q1327" i="5" s="1" a="1"/>
  <c r="Q1327" i="5" s="1"/>
  <c r="C1334" i="5" s="1"/>
  <c r="T50" i="5"/>
  <c r="F1336" i="5" l="1"/>
  <c r="O1338" i="5" s="1"/>
  <c r="H1337" i="5"/>
  <c r="B1334" i="5"/>
  <c r="H1336" i="5"/>
  <c r="C1335" i="5"/>
  <c r="B1336" i="5"/>
  <c r="B1341" i="5" s="1"/>
  <c r="I1337" i="5" l="1"/>
  <c r="B1335" i="5"/>
  <c r="I1336" i="5"/>
  <c r="L1336" i="5" a="1"/>
  <c r="L1336" i="5" s="1"/>
  <c r="F1334" i="5"/>
  <c r="O1336" i="5" s="1"/>
  <c r="F1335" i="5"/>
  <c r="O1337" i="5" s="1"/>
  <c r="Q1336" i="5" l="1" a="1"/>
  <c r="Q1336" i="5" s="1"/>
  <c r="C1343" i="5" s="1"/>
  <c r="F1345" i="5" s="1"/>
  <c r="O1347" i="5" s="1"/>
  <c r="H1345" i="5" l="1"/>
  <c r="H1346" i="5"/>
  <c r="B1343" i="5"/>
  <c r="B1345" i="5"/>
  <c r="B1350" i="5" s="1"/>
  <c r="C1344" i="5"/>
  <c r="B1344" i="5" s="1"/>
  <c r="F1343" i="5"/>
  <c r="O1345" i="5" s="1"/>
  <c r="F1344" i="5"/>
  <c r="O1346" i="5" s="1"/>
  <c r="I1345" i="5" l="1"/>
  <c r="L1345" i="5" s="1" a="1"/>
  <c r="L1345" i="5" s="1"/>
  <c r="Q1345" i="5" s="1" a="1"/>
  <c r="Q1345" i="5" s="1"/>
  <c r="C1352" i="5" s="1"/>
  <c r="I1346" i="5"/>
  <c r="B1354" i="5" l="1"/>
  <c r="B1359" i="5" s="1"/>
  <c r="C1353" i="5"/>
  <c r="B1353" i="5"/>
  <c r="I1354" i="5"/>
  <c r="I1355" i="5"/>
  <c r="U51" i="5"/>
  <c r="V51" i="5"/>
  <c r="F1352" i="5"/>
  <c r="O1354" i="5" s="1"/>
  <c r="F1353" i="5"/>
  <c r="O1355" i="5" s="1"/>
  <c r="T51" i="5"/>
  <c r="H1354" i="5"/>
  <c r="B1352" i="5"/>
  <c r="H1355" i="5"/>
  <c r="F1354" i="5"/>
  <c r="O1356" i="5" s="1"/>
  <c r="L1354" i="5" l="1" a="1"/>
  <c r="L1354" i="5" s="1"/>
  <c r="Q1354" i="5" s="1" a="1"/>
  <c r="B1363" i="5" s="1"/>
  <c r="C1362" i="5" l="1"/>
  <c r="Q1354" i="5"/>
  <c r="C1361" i="5" s="1"/>
  <c r="F1361" i="5" s="1"/>
  <c r="O1363" i="5" s="1"/>
  <c r="B1368" i="5"/>
  <c r="I1363" i="5"/>
  <c r="B1362" i="5"/>
  <c r="I1364" i="5"/>
  <c r="H1363" i="5" l="1"/>
  <c r="H1364" i="5"/>
  <c r="B1361" i="5"/>
  <c r="F1363" i="5"/>
  <c r="O1365" i="5" s="1"/>
  <c r="F1362" i="5"/>
  <c r="O1364" i="5" s="1"/>
  <c r="L1363" i="5" l="1" a="1"/>
  <c r="L1363" i="5" s="1"/>
  <c r="Q1363" i="5" s="1" a="1"/>
  <c r="B1372" i="5" s="1"/>
  <c r="B1377" i="5"/>
  <c r="Q1363" i="5" l="1"/>
  <c r="C1370" i="5" s="1"/>
  <c r="C1371" i="5"/>
  <c r="F1372" i="5"/>
  <c r="O1374" i="5" s="1"/>
  <c r="B1371" i="5" l="1"/>
  <c r="I1372" i="5"/>
  <c r="I1373" i="5"/>
  <c r="H1372" i="5"/>
  <c r="F1371" i="5"/>
  <c r="O1373" i="5" s="1"/>
  <c r="H1373" i="5"/>
  <c r="B1370" i="5"/>
  <c r="F1370" i="5"/>
  <c r="O1372" i="5" s="1"/>
  <c r="L1372" i="5" l="1" a="1"/>
  <c r="L1372" i="5" s="1"/>
  <c r="Q1372" i="5" s="1" a="1"/>
  <c r="B1381" i="5" l="1"/>
  <c r="Q1372" i="5"/>
  <c r="C1379" i="5" s="1"/>
  <c r="C1380" i="5"/>
  <c r="U52" i="5" l="1"/>
  <c r="I1381" i="5"/>
  <c r="B1380" i="5"/>
  <c r="I1382" i="5"/>
  <c r="B1379" i="5"/>
  <c r="H1381" i="5"/>
  <c r="L1381" i="5" s="1" a="1"/>
  <c r="L1381" i="5" s="1"/>
  <c r="Q1381" i="5" s="1" a="1"/>
  <c r="F1381" i="5"/>
  <c r="O1383" i="5" s="1"/>
  <c r="T52" i="5"/>
  <c r="H1382" i="5"/>
  <c r="B1386" i="5"/>
  <c r="F1379" i="5"/>
  <c r="O1381" i="5" s="1"/>
  <c r="F1380" i="5"/>
  <c r="O1382" i="5" s="1"/>
  <c r="V52" i="5"/>
  <c r="B1390" i="5" l="1"/>
  <c r="Q1381" i="5"/>
  <c r="C1388" i="5" s="1"/>
  <c r="C1389" i="5"/>
  <c r="B1389" i="5" l="1"/>
  <c r="I1390" i="5"/>
  <c r="I1391" i="5"/>
  <c r="F1390" i="5"/>
  <c r="O1392" i="5" s="1"/>
  <c r="B1388" i="5"/>
  <c r="H1390" i="5"/>
  <c r="H1391" i="5"/>
  <c r="B1395" i="5"/>
  <c r="F1388" i="5"/>
  <c r="O1390" i="5" s="1"/>
  <c r="F1389" i="5"/>
  <c r="O1391" i="5" s="1"/>
  <c r="L1390" i="5" l="1" a="1"/>
  <c r="L1390" i="5" s="1"/>
  <c r="Q1390" i="5" s="1" a="1"/>
  <c r="Q1390" i="5" l="1"/>
  <c r="C1397" i="5" s="1"/>
  <c r="B1399" i="5"/>
  <c r="C1398" i="5"/>
  <c r="I1400" i="5" l="1"/>
  <c r="I1399" i="5"/>
  <c r="B1398" i="5"/>
  <c r="B1404" i="5"/>
  <c r="F1398" i="5"/>
  <c r="O1400" i="5" s="1"/>
  <c r="F1397" i="5"/>
  <c r="O1399" i="5" s="1"/>
  <c r="F1399" i="5"/>
  <c r="O1401" i="5" s="1"/>
  <c r="H1400" i="5"/>
  <c r="H1399" i="5"/>
  <c r="B1397" i="5"/>
  <c r="L1399" i="5" l="1" a="1"/>
  <c r="L1399" i="5" s="1"/>
  <c r="Q1399" i="5" s="1" a="1"/>
  <c r="C1407" i="5" l="1"/>
  <c r="Q1399" i="5"/>
  <c r="C1406" i="5" s="1"/>
  <c r="B1408" i="5"/>
  <c r="B1413" i="5" l="1"/>
  <c r="V53" i="5"/>
  <c r="F1407" i="5"/>
  <c r="O1409" i="5" s="1"/>
  <c r="F1406" i="5"/>
  <c r="O1408" i="5" s="1"/>
  <c r="H1409" i="5"/>
  <c r="B1406" i="5"/>
  <c r="H1408" i="5"/>
  <c r="F1408" i="5"/>
  <c r="O1410" i="5" s="1"/>
  <c r="T53" i="5"/>
  <c r="U53" i="5"/>
  <c r="B1407" i="5"/>
  <c r="I1409" i="5"/>
  <c r="I1408" i="5"/>
  <c r="L1408" i="5" l="1" a="1"/>
  <c r="L1408" i="5" s="1"/>
  <c r="Q1408" i="5" s="1" a="1"/>
  <c r="Q1408" i="5" l="1"/>
  <c r="C1415" i="5" s="1"/>
  <c r="C1416" i="5"/>
  <c r="B1417" i="5"/>
  <c r="B1416" i="5" l="1"/>
  <c r="I1417" i="5"/>
  <c r="I1418" i="5"/>
  <c r="F1415" i="5"/>
  <c r="O1417" i="5" s="1"/>
  <c r="F1416" i="5"/>
  <c r="O1418" i="5" s="1"/>
  <c r="B1422" i="5"/>
  <c r="F1417" i="5"/>
  <c r="O1419" i="5" s="1"/>
  <c r="B1415" i="5"/>
  <c r="H1417" i="5"/>
  <c r="H1418" i="5"/>
  <c r="L1417" i="5" l="1" a="1"/>
  <c r="L1417" i="5" s="1"/>
  <c r="Q1417" i="5" s="1" a="1"/>
  <c r="Q1417" i="5" l="1"/>
  <c r="C1424" i="5" s="1"/>
  <c r="C1425" i="5"/>
  <c r="B1426" i="5"/>
  <c r="F1425" i="5" l="1"/>
  <c r="O1427" i="5" s="1"/>
  <c r="F1424" i="5"/>
  <c r="O1426" i="5" s="1"/>
  <c r="B1431" i="5"/>
  <c r="I1427" i="5"/>
  <c r="B1425" i="5"/>
  <c r="I1426" i="5"/>
  <c r="F1426" i="5"/>
  <c r="O1428" i="5" s="1"/>
  <c r="H1427" i="5"/>
  <c r="B1424" i="5"/>
  <c r="H1426" i="5"/>
  <c r="L1426" i="5" l="1" a="1"/>
  <c r="L1426" i="5" s="1"/>
  <c r="Q1426" i="5" s="1" a="1"/>
  <c r="Q1426" i="5" l="1"/>
  <c r="C1433" i="5" s="1"/>
  <c r="B1435" i="5"/>
  <c r="C1434" i="5"/>
  <c r="U54" i="5" l="1"/>
  <c r="I1435" i="5"/>
  <c r="I1436" i="5"/>
  <c r="B1434" i="5"/>
  <c r="V54" i="5"/>
  <c r="F1433" i="5"/>
  <c r="O1435" i="5" s="1"/>
  <c r="F1434" i="5"/>
  <c r="O1436" i="5" s="1"/>
  <c r="B1440" i="5"/>
  <c r="H1435" i="5"/>
  <c r="H1436" i="5"/>
  <c r="F1435" i="5"/>
  <c r="O1437" i="5" s="1"/>
  <c r="B1433" i="5"/>
  <c r="T54" i="5"/>
  <c r="L1435" i="5" l="1" a="1"/>
  <c r="L1435" i="5" s="1"/>
  <c r="Q1435" i="5" s="1" a="1"/>
  <c r="Q1435" i="5" l="1"/>
  <c r="C1442" i="5" s="1"/>
  <c r="C1443" i="5"/>
  <c r="B1444" i="5"/>
  <c r="I1445" i="5" l="1"/>
  <c r="B1443" i="5"/>
  <c r="I1444" i="5"/>
  <c r="L1444" i="5" s="1" a="1"/>
  <c r="L1444" i="5" s="1"/>
  <c r="Q1444" i="5" s="1" a="1"/>
  <c r="Q1444" i="5" s="1"/>
  <c r="C1451" i="5" s="1"/>
  <c r="B1449" i="5"/>
  <c r="F1443" i="5"/>
  <c r="O1445" i="5" s="1"/>
  <c r="F1442" i="5"/>
  <c r="O1444" i="5" s="1"/>
  <c r="F1444" i="5"/>
  <c r="O1446" i="5" s="1"/>
  <c r="B1442" i="5"/>
  <c r="H1444" i="5"/>
  <c r="H1445" i="5"/>
  <c r="B1453" i="5" l="1"/>
  <c r="C1452" i="5"/>
  <c r="F1453" i="5"/>
  <c r="O1455" i="5" s="1"/>
  <c r="H1453" i="5"/>
  <c r="H1454" i="5"/>
  <c r="B1451" i="5"/>
  <c r="B1458" i="5"/>
  <c r="I1453" i="5" l="1"/>
  <c r="L1453" i="5" s="1" a="1"/>
  <c r="L1453" i="5" s="1"/>
  <c r="Q1453" i="5" s="1" a="1"/>
  <c r="B1452" i="5"/>
  <c r="I1454" i="5"/>
  <c r="F1452" i="5"/>
  <c r="O1454" i="5" s="1"/>
  <c r="F1451" i="5"/>
  <c r="O1453" i="5" s="1"/>
  <c r="Q1453" i="5" l="1"/>
  <c r="C1460" i="5" s="1"/>
  <c r="B1462" i="5"/>
  <c r="C1461" i="5"/>
  <c r="U55" i="5" l="1"/>
  <c r="I1462" i="5"/>
  <c r="I1463" i="5"/>
  <c r="B1461" i="5"/>
  <c r="V55" i="5"/>
  <c r="F1460" i="5"/>
  <c r="O1462" i="5" s="1"/>
  <c r="F1461" i="5"/>
  <c r="O1463" i="5" s="1"/>
  <c r="B1467" i="5"/>
  <c r="T55" i="5"/>
  <c r="H1463" i="5"/>
  <c r="H1462" i="5"/>
  <c r="L1462" i="5" s="1" a="1"/>
  <c r="L1462" i="5" s="1"/>
  <c r="Q1462" i="5" s="1" a="1"/>
  <c r="C1470" i="5" s="1"/>
  <c r="F1462" i="5"/>
  <c r="O1464" i="5" s="1"/>
  <c r="B1460" i="5"/>
  <c r="I1472" i="5" l="1"/>
  <c r="B1470" i="5"/>
  <c r="I1471" i="5"/>
  <c r="Q1462" i="5"/>
  <c r="C1469" i="5" s="1"/>
  <c r="B1471" i="5"/>
  <c r="F1471" i="5" l="1"/>
  <c r="O1473" i="5" s="1"/>
  <c r="H1472" i="5"/>
  <c r="B1469" i="5"/>
  <c r="H1471" i="5"/>
  <c r="L1471" i="5" s="1" a="1"/>
  <c r="L1471" i="5" s="1"/>
  <c r="B1476" i="5"/>
  <c r="F1470" i="5"/>
  <c r="O1472" i="5" s="1"/>
  <c r="F1469" i="5"/>
  <c r="O1471" i="5" s="1"/>
  <c r="Q1471" i="5" l="1" a="1"/>
  <c r="Q1471" i="5" l="1"/>
  <c r="C1478" i="5" s="1"/>
  <c r="B1480" i="5"/>
  <c r="C1479" i="5"/>
  <c r="I1481" i="5" l="1"/>
  <c r="B1479" i="5"/>
  <c r="I1480" i="5"/>
  <c r="F1478" i="5"/>
  <c r="O1480" i="5" s="1"/>
  <c r="F1479" i="5"/>
  <c r="O1481" i="5" s="1"/>
  <c r="B1485" i="5"/>
  <c r="F1480" i="5"/>
  <c r="O1482" i="5" s="1"/>
  <c r="H1481" i="5"/>
  <c r="B1478" i="5"/>
  <c r="H1480" i="5"/>
  <c r="L1480" i="5" l="1" a="1"/>
  <c r="L1480" i="5" s="1"/>
  <c r="Q1480" i="5" s="1" a="1"/>
  <c r="Q1480" i="5" l="1"/>
  <c r="C1487" i="5" s="1"/>
  <c r="C1488" i="5"/>
  <c r="B1489" i="5"/>
  <c r="V56" i="5" l="1"/>
  <c r="F1487" i="5"/>
  <c r="O1489" i="5" s="1"/>
  <c r="F1488" i="5"/>
  <c r="O1490" i="5" s="1"/>
  <c r="B1494" i="5"/>
  <c r="U56" i="5"/>
  <c r="I1489" i="5"/>
  <c r="I1490" i="5"/>
  <c r="B1488" i="5"/>
  <c r="B1487" i="5"/>
  <c r="F1489" i="5"/>
  <c r="O1491" i="5" s="1"/>
  <c r="H1490" i="5"/>
  <c r="T56" i="5"/>
  <c r="H1489" i="5"/>
  <c r="L1489" i="5" s="1" a="1"/>
  <c r="L1489" i="5" s="1"/>
  <c r="Q1489" i="5" s="1" a="1"/>
  <c r="B1498" i="5" l="1"/>
  <c r="Q1489" i="5"/>
  <c r="C1496" i="5" s="1"/>
  <c r="C1497" i="5"/>
  <c r="F1498" i="5" l="1"/>
  <c r="O1500" i="5" s="1"/>
  <c r="H1499" i="5"/>
  <c r="B1496" i="5"/>
  <c r="H1498" i="5"/>
  <c r="I1498" i="5"/>
  <c r="I1499" i="5"/>
  <c r="B1497" i="5"/>
  <c r="F1497" i="5"/>
  <c r="O1499" i="5" s="1"/>
  <c r="F1496" i="5"/>
  <c r="O1498" i="5" s="1"/>
  <c r="B1503" i="5"/>
  <c r="L1498" i="5" l="1" a="1"/>
  <c r="L1498" i="5" s="1"/>
  <c r="Q1498" i="5" s="1" a="1"/>
  <c r="Q1498" i="5" l="1"/>
  <c r="C1505" i="5" s="1"/>
  <c r="B1507" i="5"/>
  <c r="C1506" i="5"/>
  <c r="F1506" i="5" l="1"/>
  <c r="O1508" i="5" s="1"/>
  <c r="F1505" i="5"/>
  <c r="O1507" i="5" s="1"/>
  <c r="B1512" i="5"/>
  <c r="I1507" i="5"/>
  <c r="I1508" i="5"/>
  <c r="B1506" i="5"/>
  <c r="F1507" i="5"/>
  <c r="O1509" i="5" s="1"/>
  <c r="H1508" i="5"/>
  <c r="H1507" i="5"/>
  <c r="B1505" i="5"/>
  <c r="L1507" i="5" l="1" a="1"/>
  <c r="L1507" i="5" s="1"/>
  <c r="Q1507" i="5" s="1" a="1"/>
  <c r="Q1507" i="5" l="1"/>
  <c r="C1514" i="5" s="1"/>
  <c r="C1515" i="5"/>
  <c r="B1516" i="5"/>
  <c r="B1521" i="5" l="1"/>
  <c r="F1514" i="5"/>
  <c r="O1516" i="5" s="1"/>
  <c r="F1515" i="5"/>
  <c r="O1517" i="5" s="1"/>
  <c r="V57" i="5"/>
  <c r="B1515" i="5"/>
  <c r="U57" i="5"/>
  <c r="I1516" i="5"/>
  <c r="I1517" i="5"/>
  <c r="T57" i="5"/>
  <c r="H1517" i="5"/>
  <c r="B1514" i="5"/>
  <c r="F1516" i="5"/>
  <c r="O1518" i="5" s="1"/>
  <c r="H1516" i="5"/>
  <c r="L1516" i="5" s="1" a="1"/>
  <c r="L1516" i="5" s="1"/>
  <c r="Q1516" i="5" s="1" a="1"/>
  <c r="B1525" i="5" s="1"/>
  <c r="Q1516" i="5" l="1"/>
  <c r="C1523" i="5" s="1"/>
  <c r="F1525" i="5" s="1"/>
  <c r="C1524" i="5"/>
  <c r="I1526" i="5"/>
  <c r="B1524" i="5"/>
  <c r="I1525" i="5"/>
  <c r="H1525" i="5"/>
  <c r="B1523" i="5"/>
  <c r="O1527" i="5"/>
  <c r="H1526" i="5"/>
  <c r="F1524" i="5"/>
  <c r="O1526" i="5" s="1"/>
  <c r="F1523" i="5"/>
  <c r="O1525" i="5" s="1"/>
  <c r="B1530" i="5"/>
  <c r="L1525" i="5" l="1" a="1"/>
  <c r="L1525" i="5" s="1"/>
  <c r="Q1525" i="5" s="1" a="1"/>
  <c r="Q1525" i="5" s="1"/>
  <c r="C1532" i="5" s="1"/>
  <c r="F1534" i="5" s="1"/>
  <c r="C1533" i="5" l="1"/>
  <c r="B1534" i="5"/>
  <c r="B1539" i="5" s="1"/>
  <c r="B1533" i="5"/>
  <c r="I1534" i="5"/>
  <c r="I1535" i="5"/>
  <c r="H1534" i="5"/>
  <c r="B1532" i="5"/>
  <c r="H1535" i="5"/>
  <c r="O1536" i="5"/>
  <c r="F1533" i="5" l="1"/>
  <c r="O1535" i="5" s="1"/>
  <c r="F1532" i="5"/>
  <c r="O1534" i="5" s="1"/>
  <c r="L1534" i="5" a="1"/>
  <c r="L1534" i="5" s="1"/>
  <c r="Q1534" i="5" s="1" a="1"/>
  <c r="Q1534" i="5" s="1"/>
  <c r="C1541" i="5" s="1"/>
  <c r="F1543" i="5" l="1"/>
  <c r="T58" i="5"/>
  <c r="C1542" i="5"/>
  <c r="B1543" i="5"/>
  <c r="V58" i="5" s="1"/>
  <c r="H1543" i="5"/>
  <c r="H1544" i="5"/>
  <c r="B1541" i="5"/>
  <c r="O1545" i="5"/>
  <c r="B1548" i="5" l="1"/>
  <c r="F1541" i="5"/>
  <c r="O1543" i="5" s="1"/>
  <c r="U58" i="5"/>
  <c r="I1544" i="5"/>
  <c r="B1542" i="5"/>
  <c r="I1543" i="5"/>
  <c r="L1543" i="5" s="1" a="1"/>
  <c r="L1543" i="5" s="1"/>
  <c r="Q1543" i="5" s="1" a="1"/>
  <c r="Q1543" i="5" s="1"/>
  <c r="C1550" i="5" s="1"/>
  <c r="F1552" i="5" s="1"/>
  <c r="F1542" i="5"/>
  <c r="O1544" i="5" s="1"/>
  <c r="C1551" i="5" l="1"/>
  <c r="B1552" i="5"/>
  <c r="B1557" i="5" s="1"/>
  <c r="F1550" i="5"/>
  <c r="O1552" i="5" s="1"/>
  <c r="H1552" i="5"/>
  <c r="O1554" i="5"/>
  <c r="B1550" i="5"/>
  <c r="H1553" i="5"/>
  <c r="F1551" i="5" l="1"/>
  <c r="O1553" i="5" s="1"/>
  <c r="I1553" i="5"/>
  <c r="I1552" i="5"/>
  <c r="L1552" i="5" s="1" a="1"/>
  <c r="L1552" i="5" s="1"/>
  <c r="Q1552" i="5" s="1" a="1"/>
  <c r="B1551" i="5"/>
  <c r="Q1552" i="5" l="1"/>
  <c r="C1559" i="5" s="1"/>
  <c r="F1561" i="5" s="1"/>
  <c r="C1560" i="5"/>
  <c r="B1561" i="5"/>
  <c r="I1562" i="5" l="1"/>
  <c r="I1561" i="5"/>
  <c r="B1560" i="5"/>
  <c r="F1560" i="5"/>
  <c r="O1562" i="5" s="1"/>
  <c r="B1566" i="5"/>
  <c r="F1559" i="5"/>
  <c r="O1561" i="5" s="1"/>
  <c r="H1561" i="5"/>
  <c r="L1561" i="5" s="1" a="1"/>
  <c r="L1561" i="5" s="1"/>
  <c r="Q1561" i="5" s="1" a="1"/>
  <c r="B1559" i="5"/>
  <c r="O1563" i="5"/>
  <c r="H1562" i="5"/>
  <c r="C1569" i="5" l="1"/>
  <c r="U59" i="5" s="1"/>
  <c r="B1570" i="5"/>
  <c r="V59" i="5" s="1"/>
  <c r="Q1561" i="5"/>
  <c r="C1568" i="5" s="1"/>
  <c r="B1575" i="5"/>
  <c r="F1570" i="5" l="1"/>
  <c r="T59" i="5"/>
  <c r="F1569" i="5"/>
  <c r="O1571" i="5" s="1"/>
  <c r="F1568" i="5"/>
  <c r="O1570" i="5" s="1"/>
  <c r="O1572" i="5"/>
  <c r="H1571" i="5"/>
  <c r="H1570" i="5"/>
  <c r="B1568" i="5"/>
  <c r="B1569" i="5"/>
  <c r="I1571" i="5"/>
  <c r="I1570" i="5"/>
  <c r="L1570" i="5" l="1" a="1"/>
  <c r="L1570" i="5" s="1"/>
  <c r="Q1570" i="5" s="1" a="1"/>
  <c r="Q1570" i="5" s="1"/>
  <c r="C1577" i="5" s="1"/>
  <c r="F1579" i="5" l="1"/>
  <c r="O1581" i="5" s="1"/>
  <c r="H1580" i="5"/>
  <c r="H1579" i="5"/>
  <c r="C1578" i="5"/>
  <c r="B1577" i="5"/>
  <c r="B1579" i="5"/>
  <c r="F1578" i="5" l="1"/>
  <c r="O1580" i="5" s="1"/>
  <c r="F1577" i="5"/>
  <c r="O1579" i="5" s="1"/>
  <c r="B1584" i="5"/>
  <c r="I1579" i="5"/>
  <c r="I1580" i="5"/>
  <c r="B1578" i="5"/>
  <c r="L1579" i="5" l="1" a="1"/>
  <c r="L1579" i="5" s="1"/>
  <c r="Q1579" i="5" s="1" a="1"/>
  <c r="C1587" i="5" l="1"/>
  <c r="B1588" i="5"/>
  <c r="Q1579" i="5"/>
  <c r="C1586" i="5" s="1"/>
  <c r="F1588" i="5" s="1"/>
  <c r="B1593" i="5" l="1"/>
  <c r="F1587" i="5"/>
  <c r="O1589" i="5" s="1"/>
  <c r="F1586" i="5"/>
  <c r="O1588" i="5" s="1"/>
  <c r="H1589" i="5"/>
  <c r="H1588" i="5"/>
  <c r="O1590" i="5"/>
  <c r="B1586" i="5"/>
  <c r="I1589" i="5"/>
  <c r="I1588" i="5"/>
  <c r="B1587" i="5"/>
  <c r="L1588" i="5" l="1" a="1"/>
  <c r="L1588" i="5" s="1"/>
  <c r="Q1588" i="5" s="1" a="1"/>
  <c r="C1596" i="5" s="1"/>
  <c r="I1598" i="5" l="1"/>
  <c r="U60" i="5"/>
  <c r="Q1588" i="5"/>
  <c r="C1595" i="5" s="1"/>
  <c r="B1596" i="5"/>
  <c r="I1597" i="5"/>
  <c r="B1597" i="5"/>
  <c r="V60" i="5" s="1"/>
  <c r="F1597" i="5" l="1"/>
  <c r="O1599" i="5" s="1"/>
  <c r="T60" i="5"/>
  <c r="B1602" i="5"/>
  <c r="F1595" i="5"/>
  <c r="O1597" i="5" s="1"/>
  <c r="F1596" i="5"/>
  <c r="O1598" i="5" s="1"/>
  <c r="B1595" i="5"/>
  <c r="H1598" i="5"/>
  <c r="H1597" i="5"/>
  <c r="L1597" i="5" l="1" a="1"/>
  <c r="L1597" i="5" s="1"/>
  <c r="Q1597" i="5" s="1" a="1"/>
  <c r="Q1597" i="5" s="1"/>
  <c r="C1604" i="5" s="1"/>
  <c r="H1606" i="5" l="1"/>
  <c r="F1606" i="5"/>
  <c r="O1608" i="5" s="1"/>
  <c r="B1604" i="5"/>
  <c r="C1605" i="5"/>
  <c r="H1607" i="5"/>
  <c r="B1606" i="5"/>
  <c r="I1607" i="5" l="1"/>
  <c r="I1606" i="5"/>
  <c r="L1606" i="5" s="1" a="1"/>
  <c r="L1606" i="5" s="1"/>
  <c r="B1605" i="5"/>
  <c r="F1604" i="5"/>
  <c r="O1606" i="5" s="1"/>
  <c r="B1611" i="5"/>
  <c r="F1605" i="5"/>
  <c r="O1607" i="5" s="1"/>
  <c r="Q1606" i="5" l="1" a="1"/>
  <c r="C1614" i="5" s="1"/>
  <c r="B1614" i="5" s="1"/>
  <c r="I1615" i="5" l="1"/>
  <c r="I1616" i="5"/>
  <c r="B1615" i="5"/>
  <c r="Q1606" i="5"/>
  <c r="C1613" i="5" s="1"/>
  <c r="F1615" i="5" s="1"/>
  <c r="O1617" i="5" l="1"/>
  <c r="B1613" i="5"/>
  <c r="H1615" i="5"/>
  <c r="H1616" i="5"/>
  <c r="F1614" i="5"/>
  <c r="O1616" i="5" s="1"/>
  <c r="F1613" i="5"/>
  <c r="O1615" i="5" s="1"/>
  <c r="B1620" i="5"/>
  <c r="L1615" i="5" l="1" a="1"/>
  <c r="L1615" i="5" s="1"/>
  <c r="Q1615" i="5" s="1" a="1"/>
  <c r="Q1615" i="5" l="1"/>
  <c r="C1622" i="5" s="1"/>
  <c r="C1623" i="5"/>
  <c r="U61" i="5" s="1"/>
  <c r="B1624" i="5"/>
  <c r="V61" i="5" s="1"/>
  <c r="F1624" i="5" l="1"/>
  <c r="T61" i="5"/>
  <c r="B1623" i="5"/>
  <c r="I1624" i="5"/>
  <c r="I1625" i="5"/>
  <c r="B1629" i="5"/>
  <c r="F1623" i="5"/>
  <c r="O1625" i="5" s="1"/>
  <c r="F1622" i="5"/>
  <c r="O1624" i="5" s="1"/>
  <c r="H1624" i="5"/>
  <c r="B1622" i="5"/>
  <c r="H1625" i="5"/>
  <c r="O1626" i="5"/>
  <c r="L1624" i="5" l="1" a="1"/>
  <c r="L1624" i="5" s="1"/>
  <c r="Q1624" i="5" s="1" a="1"/>
  <c r="B1633" i="5" s="1"/>
  <c r="C1632" i="5" l="1"/>
  <c r="Q1624" i="5"/>
  <c r="C1631" i="5" s="1"/>
  <c r="F1633" i="5" s="1"/>
  <c r="O1635" i="5" s="1"/>
  <c r="B1631" i="5"/>
  <c r="H1633" i="5"/>
  <c r="B1632" i="5"/>
  <c r="I1633" i="5"/>
  <c r="I1634" i="5"/>
  <c r="B1638" i="5"/>
  <c r="H1634" i="5" l="1"/>
  <c r="F1631" i="5"/>
  <c r="O1633" i="5" s="1"/>
  <c r="F1632" i="5"/>
  <c r="O1634" i="5" s="1"/>
  <c r="L1633" i="5" a="1"/>
  <c r="L1633" i="5" s="1"/>
  <c r="Q1633" i="5" s="1" a="1"/>
  <c r="Q1633" i="5" l="1"/>
  <c r="C1640" i="5" s="1"/>
  <c r="F1642" i="5" s="1"/>
  <c r="C1641" i="5"/>
  <c r="B1642" i="5"/>
  <c r="I1642" i="5" l="1"/>
  <c r="B1641" i="5"/>
  <c r="I1643" i="5"/>
  <c r="B1647" i="5"/>
  <c r="F1640" i="5"/>
  <c r="O1642" i="5" s="1"/>
  <c r="F1641" i="5"/>
  <c r="O1643" i="5" s="1"/>
  <c r="O1644" i="5"/>
  <c r="B1640" i="5"/>
  <c r="H1643" i="5"/>
  <c r="H1642" i="5"/>
  <c r="L1642" i="5" l="1" a="1"/>
  <c r="L1642" i="5" s="1"/>
  <c r="Q1642" i="5" s="1" a="1"/>
  <c r="Q1642" i="5" s="1"/>
  <c r="C1649" i="5" s="1"/>
  <c r="T62" i="5" s="1"/>
  <c r="B1649" i="5" l="1"/>
  <c r="F1651" i="5"/>
  <c r="O1653" i="5" s="1"/>
  <c r="H1651" i="5"/>
  <c r="H1652" i="5"/>
  <c r="C1650" i="5"/>
  <c r="U62" i="5" s="1"/>
  <c r="B1651" i="5"/>
  <c r="V62" i="5" s="1"/>
  <c r="B1656" i="5" l="1"/>
  <c r="F1649" i="5"/>
  <c r="O1651" i="5" s="1"/>
  <c r="F1650" i="5"/>
  <c r="O1652" i="5" s="1"/>
  <c r="I1651" i="5"/>
  <c r="B1650" i="5"/>
  <c r="I1652" i="5"/>
  <c r="L1651" i="5" l="1" a="1"/>
  <c r="L1651" i="5" s="1"/>
  <c r="Q1651" i="5" s="1" a="1"/>
  <c r="C1659" i="5" s="1"/>
  <c r="B1659" i="5" s="1"/>
  <c r="Q1651" i="5" l="1"/>
  <c r="C1658" i="5" s="1"/>
  <c r="B1660" i="5"/>
  <c r="I1660" i="5"/>
  <c r="I1661" i="5"/>
  <c r="H1661" i="5"/>
  <c r="B1658" i="5"/>
  <c r="H1660" i="5" l="1"/>
  <c r="F1660" i="5"/>
  <c r="O1662" i="5" s="1"/>
  <c r="L1660" i="5" a="1"/>
  <c r="L1660" i="5" s="1"/>
  <c r="F1658" i="5"/>
  <c r="O1660" i="5" s="1"/>
  <c r="F1659" i="5"/>
  <c r="O1661" i="5" s="1"/>
  <c r="B1665" i="5"/>
  <c r="Q1660" i="5" l="1" a="1"/>
  <c r="Q1660" i="5" s="1"/>
  <c r="C1667" i="5" s="1"/>
  <c r="F1669" i="5" s="1"/>
  <c r="C1668" i="5" l="1"/>
  <c r="B1668" i="5" s="1"/>
  <c r="B1669" i="5"/>
  <c r="B1667" i="5"/>
  <c r="O1671" i="5"/>
  <c r="H1670" i="5"/>
  <c r="H1669" i="5"/>
  <c r="F1667" i="5" l="1"/>
  <c r="O1669" i="5" s="1"/>
  <c r="F1668" i="5"/>
  <c r="O1670" i="5" s="1"/>
  <c r="B1674" i="5"/>
  <c r="I1670" i="5"/>
  <c r="I1669" i="5"/>
  <c r="L1669" i="5" l="1" a="1"/>
  <c r="L1669" i="5" s="1"/>
  <c r="Q1669" i="5" s="1" a="1"/>
  <c r="B1678" i="5" s="1"/>
  <c r="V63" i="5" s="1"/>
  <c r="C1677" i="5" l="1"/>
  <c r="U63" i="5" s="1"/>
  <c r="Q1669" i="5"/>
  <c r="C1676" i="5" s="1"/>
  <c r="T63" i="5" s="1"/>
  <c r="B1676" i="5"/>
  <c r="F1678" i="5"/>
  <c r="O1680" i="5" s="1"/>
  <c r="H1679" i="5"/>
  <c r="H1678" i="5"/>
  <c r="B1677" i="5"/>
  <c r="I1679" i="5"/>
  <c r="I1678" i="5"/>
  <c r="B1683" i="5"/>
  <c r="F1676" i="5"/>
  <c r="O1678" i="5" s="1"/>
  <c r="F1677" i="5"/>
  <c r="O1679" i="5" s="1"/>
  <c r="L1678" i="5" l="1" a="1"/>
  <c r="L1678" i="5" s="1"/>
  <c r="Q1678" i="5" s="1" a="1"/>
  <c r="Q1678" i="5" s="1"/>
  <c r="C1685" i="5" s="1"/>
  <c r="F1687" i="5" s="1"/>
  <c r="C1686" i="5" l="1"/>
  <c r="B1686" i="5" s="1"/>
  <c r="B1687" i="5"/>
  <c r="H1688" i="5"/>
  <c r="H1687" i="5"/>
  <c r="O1689" i="5"/>
  <c r="F1686" i="5"/>
  <c r="O1688" i="5" s="1"/>
  <c r="B1685" i="5"/>
  <c r="F1685" i="5"/>
  <c r="O1687" i="5" s="1"/>
  <c r="I1688" i="5"/>
  <c r="I1687" i="5"/>
  <c r="L1687" i="5" l="1" a="1"/>
  <c r="L1687" i="5" s="1"/>
  <c r="Q1687" i="5" s="1" a="1"/>
  <c r="Q1687" i="5" s="1"/>
  <c r="C1694" i="5" s="1"/>
  <c r="F1696" i="5" s="1"/>
  <c r="B1692" i="5"/>
  <c r="C1695" i="5" l="1"/>
  <c r="B1696" i="5"/>
  <c r="B1701" i="5" s="1"/>
  <c r="F1695" i="5"/>
  <c r="O1697" i="5" s="1"/>
  <c r="B1695" i="5"/>
  <c r="I1697" i="5"/>
  <c r="I1696" i="5"/>
  <c r="B1694" i="5"/>
  <c r="H1696" i="5"/>
  <c r="O1698" i="5"/>
  <c r="H1697" i="5"/>
  <c r="F1694" i="5" l="1"/>
  <c r="O1696" i="5" s="1"/>
  <c r="L1696" i="5" a="1"/>
  <c r="L1696" i="5" s="1"/>
  <c r="Q1696" i="5" s="1" a="1"/>
  <c r="Q1696" i="5" l="1"/>
  <c r="C1703" i="5" s="1"/>
  <c r="F1705" i="5" s="1"/>
  <c r="C1704" i="5"/>
  <c r="B1705" i="5"/>
  <c r="F1703" i="5" l="1"/>
  <c r="O1705" i="5" s="1"/>
  <c r="B1710" i="5"/>
  <c r="F1704" i="5"/>
  <c r="O1706" i="5" s="1"/>
  <c r="I1705" i="5"/>
  <c r="B1704" i="5"/>
  <c r="I1706" i="5"/>
  <c r="H1705" i="5"/>
  <c r="B1703" i="5"/>
  <c r="O1707" i="5"/>
  <c r="H1706" i="5"/>
  <c r="L1705" i="5" l="1" a="1"/>
  <c r="L1705" i="5" s="1"/>
  <c r="Q1705" i="5" s="1" a="1"/>
  <c r="Q1705" i="5" s="1"/>
  <c r="C1712" i="5" s="1"/>
  <c r="B1712" i="5" l="1"/>
  <c r="F1714" i="5"/>
  <c r="O1716" i="5" s="1"/>
  <c r="H1714" i="5"/>
  <c r="C1713" i="5"/>
  <c r="I1715" i="5" s="1"/>
  <c r="B1714" i="5"/>
  <c r="B1719" i="5" s="1"/>
  <c r="H1715" i="5"/>
  <c r="F1712" i="5" l="1"/>
  <c r="O1714" i="5" s="1"/>
  <c r="F1713" i="5"/>
  <c r="O1715" i="5" s="1"/>
  <c r="I1714" i="5"/>
  <c r="L1714" i="5" s="1" a="1"/>
  <c r="L1714" i="5" s="1"/>
  <c r="Q1714" i="5" s="1" a="1"/>
  <c r="B1713" i="5"/>
  <c r="B1723" i="5" l="1"/>
  <c r="C1722" i="5"/>
  <c r="Q1714" i="5"/>
  <c r="C1721" i="5" s="1"/>
  <c r="B1722" i="5"/>
  <c r="F1723" i="5" l="1"/>
  <c r="O1725" i="5" s="1"/>
  <c r="H1723" i="5"/>
  <c r="H1724" i="5"/>
  <c r="B1721" i="5"/>
  <c r="I1723" i="5"/>
  <c r="I1724" i="5"/>
  <c r="F1722" i="5"/>
  <c r="O1724" i="5" s="1"/>
  <c r="F1721" i="5"/>
  <c r="O1723" i="5" s="1"/>
  <c r="B1728" i="5"/>
  <c r="L1723" i="5" l="1" a="1"/>
  <c r="L1723" i="5" s="1"/>
  <c r="Q1723" i="5" s="1" a="1"/>
  <c r="C1731" i="5" s="1"/>
  <c r="I1732" i="5" l="1"/>
  <c r="B1731" i="5"/>
  <c r="I1733" i="5"/>
  <c r="Q1723" i="5"/>
  <c r="C1730" i="5" s="1"/>
  <c r="F1732" i="5" s="1"/>
  <c r="B1732" i="5"/>
  <c r="F1731" i="5" l="1"/>
  <c r="O1733" i="5" s="1"/>
  <c r="B1737" i="5"/>
  <c r="F1730" i="5"/>
  <c r="O1732" i="5" s="1"/>
  <c r="B1730" i="5"/>
  <c r="O1734" i="5"/>
  <c r="H1733" i="5"/>
  <c r="H1732" i="5"/>
  <c r="L1732" i="5" l="1" a="1"/>
  <c r="L1732" i="5" s="1"/>
  <c r="Q1732" i="5" s="1" a="1"/>
  <c r="Q1732" i="5" s="1"/>
  <c r="C1739" i="5" s="1"/>
  <c r="H1742" i="5" l="1"/>
  <c r="F1741" i="5"/>
  <c r="O1743" i="5" s="1"/>
  <c r="C1740" i="5"/>
  <c r="B1740" i="5" s="1"/>
  <c r="H1741" i="5"/>
  <c r="B1739" i="5"/>
  <c r="B1741" i="5"/>
  <c r="I1741" i="5" l="1"/>
  <c r="I1742" i="5"/>
  <c r="B1746" i="5"/>
  <c r="F1740" i="5"/>
  <c r="O1742" i="5" s="1"/>
  <c r="F1739" i="5"/>
  <c r="O1741" i="5" s="1"/>
  <c r="L1741" i="5" a="1"/>
  <c r="L1741" i="5" s="1"/>
  <c r="Q1741" i="5" s="1" a="1"/>
  <c r="Q1741" i="5" l="1"/>
  <c r="C1748" i="5" s="1"/>
  <c r="F1750" i="5" s="1"/>
  <c r="B1750" i="5"/>
  <c r="C1749" i="5"/>
  <c r="B1749" i="5" l="1"/>
  <c r="I1751" i="5"/>
  <c r="I1750" i="5"/>
  <c r="F1748" i="5"/>
  <c r="O1750" i="5" s="1"/>
  <c r="B1755" i="5"/>
  <c r="F1749" i="5"/>
  <c r="O1751" i="5" s="1"/>
  <c r="H1751" i="5"/>
  <c r="B1748" i="5"/>
  <c r="O1752" i="5"/>
  <c r="H1750" i="5"/>
  <c r="L1750" i="5" l="1" a="1"/>
  <c r="L1750" i="5" s="1"/>
  <c r="Q1750" i="5" s="1" a="1"/>
  <c r="C1758" i="5" s="1"/>
  <c r="B1758" i="5" s="1"/>
  <c r="B1759" i="5" l="1"/>
  <c r="I1759" i="5"/>
  <c r="Q1750" i="5"/>
  <c r="C1757" i="5" s="1"/>
  <c r="I1760" i="5"/>
  <c r="B1764" i="5"/>
  <c r="B1757" i="5" l="1"/>
  <c r="F1759" i="5"/>
  <c r="O1761" i="5" s="1"/>
  <c r="F1757" i="5"/>
  <c r="O1759" i="5" s="1"/>
  <c r="F1758" i="5"/>
  <c r="O1760" i="5" s="1"/>
  <c r="H1759" i="5"/>
  <c r="H1760" i="5"/>
  <c r="L1759" i="5" l="1" a="1"/>
  <c r="L1759" i="5" s="1"/>
  <c r="Q1759" i="5" s="1" a="1"/>
  <c r="Q1759" i="5" s="1"/>
  <c r="C1766" i="5" s="1"/>
  <c r="H1769" i="5" s="1"/>
  <c r="C1767" i="5" l="1"/>
  <c r="B1768" i="5"/>
  <c r="B1766" i="5"/>
  <c r="F1768" i="5"/>
  <c r="O1770" i="5" s="1"/>
  <c r="H1768" i="5"/>
  <c r="F1767" i="5"/>
  <c r="O1769" i="5" s="1"/>
  <c r="B1767" i="5"/>
  <c r="I1768" i="5"/>
  <c r="I1769" i="5"/>
  <c r="B1773" i="5" l="1"/>
  <c r="F1766" i="5"/>
  <c r="O1768" i="5" s="1"/>
  <c r="L1768" i="5" a="1"/>
  <c r="L1768" i="5" s="1"/>
  <c r="Q1768" i="5" s="1" a="1"/>
  <c r="B1777" i="5" s="1"/>
  <c r="C1776" i="5" l="1"/>
  <c r="Q1768" i="5"/>
  <c r="C1775" i="5" s="1"/>
  <c r="H1777" i="5"/>
  <c r="H1778" i="5"/>
  <c r="I1777" i="5"/>
  <c r="B1776" i="5"/>
  <c r="I1778" i="5"/>
  <c r="B1782" i="5"/>
  <c r="F1775" i="5"/>
  <c r="O1777" i="5" s="1"/>
  <c r="F1776" i="5"/>
  <c r="O1778" i="5" s="1"/>
  <c r="F1777" i="5" l="1"/>
  <c r="O1779" i="5" s="1"/>
  <c r="B1775" i="5"/>
  <c r="L1777" i="5" a="1"/>
  <c r="L1777" i="5" s="1"/>
  <c r="Q1777" i="5" l="1" a="1"/>
  <c r="Q1777" i="5" s="1"/>
  <c r="C1784" i="5" s="1"/>
  <c r="F1786" i="5" s="1"/>
  <c r="B1786" i="5" l="1"/>
  <c r="C1785" i="5"/>
  <c r="I1786" i="5"/>
  <c r="B1785" i="5"/>
  <c r="I1787" i="5"/>
  <c r="F1785" i="5"/>
  <c r="O1787" i="5" s="1"/>
  <c r="F1784" i="5"/>
  <c r="O1786" i="5" s="1"/>
  <c r="B1791" i="5"/>
  <c r="B1784" i="5"/>
  <c r="H1787" i="5"/>
  <c r="H1786" i="5"/>
  <c r="O1788" i="5"/>
  <c r="L1786" i="5" l="1" a="1"/>
  <c r="L1786" i="5" s="1"/>
  <c r="Q1786" i="5" s="1" a="1"/>
  <c r="Q1786" i="5" s="1"/>
  <c r="C1793" i="5" s="1"/>
  <c r="F1795" i="5" s="1"/>
  <c r="B1795" i="5" l="1"/>
  <c r="B1800" i="5" s="1"/>
  <c r="C1794" i="5"/>
  <c r="B1794" i="5" s="1"/>
  <c r="I1795" i="5"/>
  <c r="I1796" i="5"/>
  <c r="F1793" i="5"/>
  <c r="O1795" i="5" s="1"/>
  <c r="F1794" i="5"/>
  <c r="O1796" i="5" s="1"/>
  <c r="O1797" i="5"/>
  <c r="H1796" i="5"/>
  <c r="B1793" i="5"/>
  <c r="H1795" i="5"/>
  <c r="L1795" i="5" l="1" a="1"/>
  <c r="L1795" i="5" s="1"/>
  <c r="Q1795" i="5" s="1" a="1"/>
  <c r="C1803" i="5" l="1"/>
  <c r="B1804" i="5"/>
  <c r="Q1795" i="5"/>
  <c r="C1802" i="5" s="1"/>
  <c r="F1804" i="5" s="1"/>
  <c r="H1805" i="5" l="1"/>
  <c r="O1806" i="5"/>
  <c r="B1802" i="5"/>
  <c r="H1804" i="5"/>
  <c r="B1809" i="5"/>
  <c r="F1802" i="5"/>
  <c r="O1804" i="5" s="1"/>
  <c r="F1803" i="5"/>
  <c r="O1805" i="5" s="1"/>
  <c r="B1803" i="5"/>
  <c r="I1805" i="5"/>
  <c r="I1804" i="5"/>
  <c r="L1804" i="5" l="1" a="1"/>
  <c r="L1804" i="5" s="1"/>
  <c r="Q1804" i="5" s="1" a="1"/>
  <c r="C1812" i="5" l="1"/>
  <c r="B1813" i="5"/>
  <c r="Q1804" i="5"/>
  <c r="C1811" i="5" s="1"/>
  <c r="F1813" i="5" s="1"/>
  <c r="O1815" i="5" l="1"/>
  <c r="H1814" i="5"/>
  <c r="B1811" i="5"/>
  <c r="H1813" i="5"/>
  <c r="B1818" i="5"/>
  <c r="F1812" i="5"/>
  <c r="O1814" i="5" s="1"/>
  <c r="F1811" i="5"/>
  <c r="O1813" i="5" s="1"/>
  <c r="I1814" i="5"/>
  <c r="B1812" i="5"/>
  <c r="I1813" i="5"/>
  <c r="L1813" i="5" l="1" a="1"/>
  <c r="L1813" i="5" s="1"/>
  <c r="Q1813" i="5" s="1" a="1"/>
  <c r="B1822" i="5" s="1"/>
  <c r="B1827" i="5" s="1"/>
  <c r="Q1813" i="5" l="1"/>
  <c r="C1820" i="5" s="1"/>
  <c r="B1820" i="5" s="1"/>
  <c r="C1821" i="5"/>
  <c r="H1822" i="5"/>
  <c r="H1823" i="5"/>
  <c r="F1822" i="5" l="1"/>
  <c r="O1824" i="5" s="1"/>
  <c r="I1822" i="5"/>
  <c r="B1821" i="5"/>
  <c r="I1823" i="5"/>
  <c r="F1820" i="5"/>
  <c r="O1822" i="5" s="1"/>
  <c r="F1821" i="5"/>
  <c r="O1823" i="5" s="1"/>
  <c r="L1822" i="5" l="1" a="1"/>
  <c r="L1822" i="5" s="1"/>
  <c r="Q1822" i="5" s="1" a="1"/>
  <c r="C1830" i="5" s="1"/>
  <c r="I1831" i="5" l="1"/>
  <c r="B1830" i="5"/>
  <c r="I1832" i="5"/>
  <c r="Q1822" i="5"/>
  <c r="C1829" i="5" s="1"/>
  <c r="F1831" i="5" s="1"/>
  <c r="B1831" i="5"/>
  <c r="H1831" i="5" l="1"/>
  <c r="B1829" i="5"/>
  <c r="O1833" i="5"/>
  <c r="H1832" i="5"/>
  <c r="L1831" i="5" s="1" a="1"/>
  <c r="L1831" i="5" s="1"/>
  <c r="Q1831" i="5" s="1" a="1"/>
  <c r="F1829" i="5"/>
  <c r="O1831" i="5" s="1"/>
  <c r="F1830" i="5"/>
  <c r="O1832" i="5" s="1"/>
  <c r="B1836" i="5"/>
  <c r="Q1831" i="5" l="1"/>
  <c r="C1838" i="5" s="1"/>
  <c r="F1840" i="5" s="1"/>
  <c r="B1840" i="5"/>
  <c r="C1839" i="5"/>
  <c r="I1840" i="5" s="1"/>
  <c r="F1838" i="5"/>
  <c r="O1840" i="5" s="1"/>
  <c r="I1841" i="5"/>
  <c r="F1839" i="5"/>
  <c r="O1841" i="5" s="1"/>
  <c r="B1839" i="5"/>
  <c r="B1845" i="5" l="1"/>
  <c r="O1842" i="5"/>
  <c r="B1838" i="5"/>
  <c r="H1840" i="5"/>
  <c r="H1841" i="5"/>
  <c r="L1840" i="5" l="1" a="1"/>
  <c r="L1840" i="5" s="1"/>
  <c r="Q1840" i="5" s="1" a="1"/>
  <c r="C1848" i="5" s="1"/>
  <c r="B1848" i="5" s="1"/>
  <c r="B1849" i="5" l="1"/>
  <c r="Q1840" i="5"/>
  <c r="C1847" i="5" s="1"/>
  <c r="F1849" i="5" s="1"/>
  <c r="I1849" i="5"/>
  <c r="I1850" i="5"/>
  <c r="F1847" i="5"/>
  <c r="O1849" i="5" s="1"/>
  <c r="H1850" i="5"/>
  <c r="H1849" i="5"/>
  <c r="B1854" i="5"/>
  <c r="L1849" i="5" l="1" a="1"/>
  <c r="L1849" i="5" s="1"/>
  <c r="F1848" i="5"/>
  <c r="O1850" i="5" s="1"/>
  <c r="O1851" i="5"/>
  <c r="B1847" i="5"/>
  <c r="Q1849" i="5" l="1" a="1"/>
  <c r="Q1849" i="5" s="1"/>
  <c r="C1856" i="5" s="1"/>
  <c r="C1857" i="5" l="1"/>
  <c r="B1858" i="5"/>
  <c r="B1863" i="5" s="1"/>
  <c r="F1858" i="5"/>
  <c r="O1860" i="5" s="1"/>
  <c r="F1857" i="5"/>
  <c r="O1859" i="5" s="1"/>
  <c r="F1856" i="5"/>
  <c r="O1858" i="5" s="1"/>
  <c r="B1856" i="5"/>
  <c r="H1859" i="5"/>
  <c r="H1858" i="5"/>
  <c r="I1859" i="5" l="1"/>
  <c r="I1858" i="5"/>
  <c r="L1858" i="5" s="1" a="1"/>
  <c r="L1858" i="5" s="1"/>
  <c r="Q1858" i="5" s="1" a="1"/>
  <c r="B1857" i="5"/>
  <c r="Q1858" i="5" l="1"/>
  <c r="C1865" i="5" s="1"/>
  <c r="B1867" i="5"/>
  <c r="C1866" i="5"/>
  <c r="I1868" i="5" s="1"/>
  <c r="I1867" i="5"/>
  <c r="F1865" i="5"/>
  <c r="O1867" i="5" s="1"/>
  <c r="B1866" i="5"/>
  <c r="F1866" i="5"/>
  <c r="O1868" i="5" s="1"/>
  <c r="H1867" i="5" l="1"/>
  <c r="H1868" i="5"/>
  <c r="B1865" i="5"/>
  <c r="F1867" i="5"/>
  <c r="O1869" i="5" s="1"/>
  <c r="L1867" i="5" l="1" a="1"/>
  <c r="L1867" i="5" s="1"/>
  <c r="Q1867" i="5" s="1" a="1"/>
  <c r="Q1867" i="5" l="1"/>
  <c r="C1874" i="5" s="1"/>
  <c r="C1875" i="5"/>
  <c r="B1876" i="5"/>
  <c r="I1876" i="5" l="1"/>
  <c r="B1875" i="5"/>
  <c r="I1877" i="5"/>
  <c r="F1875" i="5"/>
  <c r="O1877" i="5" s="1"/>
  <c r="F1874" i="5"/>
  <c r="O1876" i="5" s="1"/>
  <c r="B1881" i="5"/>
  <c r="H1877" i="5"/>
  <c r="H1876" i="5"/>
  <c r="B1874" i="5"/>
  <c r="F1876" i="5"/>
  <c r="O1878" i="5" s="1"/>
  <c r="L1876" i="5" l="1" a="1"/>
  <c r="L1876" i="5" s="1"/>
  <c r="Q1876" i="5" s="1" a="1"/>
  <c r="Q1876" i="5" s="1"/>
  <c r="C1883" i="5" s="1"/>
  <c r="H1885" i="5" s="1"/>
  <c r="F1885" i="5" l="1"/>
  <c r="O1887" i="5" s="1"/>
  <c r="B1883" i="5"/>
  <c r="C1884" i="5"/>
  <c r="B1885" i="5"/>
  <c r="F1883" i="5" s="1"/>
  <c r="O1885" i="5" s="1"/>
  <c r="H1886" i="5"/>
  <c r="I1885" i="5"/>
  <c r="I1886" i="5"/>
  <c r="B1884" i="5"/>
  <c r="B1890" i="5" l="1"/>
  <c r="F1884" i="5"/>
  <c r="O1886" i="5" s="1"/>
  <c r="L1885" i="5" a="1"/>
  <c r="L1885" i="5" s="1"/>
  <c r="Q1885" i="5" s="1" a="1"/>
  <c r="Q1885" i="5" s="1"/>
  <c r="C1892" i="5" s="1"/>
  <c r="H1895" i="5" s="1"/>
  <c r="B1892" i="5" l="1"/>
  <c r="B1894" i="5"/>
  <c r="B1899" i="5" s="1"/>
  <c r="C1893" i="5"/>
  <c r="F1894" i="5"/>
  <c r="O1896" i="5" s="1"/>
  <c r="H1894" i="5"/>
  <c r="B1893" i="5"/>
  <c r="I1894" i="5"/>
  <c r="I1895" i="5"/>
  <c r="F1892" i="5" l="1"/>
  <c r="O1894" i="5" s="1"/>
  <c r="F1893" i="5"/>
  <c r="O1895" i="5" s="1"/>
  <c r="L1894" i="5" a="1"/>
  <c r="L1894" i="5" s="1"/>
  <c r="Q1894" i="5" s="1" a="1"/>
  <c r="Q1894" i="5" l="1"/>
  <c r="C1901" i="5" s="1"/>
  <c r="B1903" i="5"/>
  <c r="C1902" i="5"/>
  <c r="I1904" i="5" l="1"/>
  <c r="B1902" i="5"/>
  <c r="I1903" i="5"/>
  <c r="F1902" i="5"/>
  <c r="O1904" i="5" s="1"/>
  <c r="F1901" i="5"/>
  <c r="O1903" i="5" s="1"/>
  <c r="B1908" i="5"/>
  <c r="H1904" i="5"/>
  <c r="H1903" i="5"/>
  <c r="B1901" i="5"/>
  <c r="F1903" i="5"/>
  <c r="O1905" i="5" s="1"/>
  <c r="L1903" i="5" l="1" a="1"/>
  <c r="L1903" i="5" s="1"/>
  <c r="Q1903" i="5" s="1" a="1"/>
  <c r="Q1903" i="5" l="1"/>
  <c r="C1910" i="5" s="1"/>
  <c r="B1912" i="5"/>
  <c r="C1911" i="5"/>
  <c r="I1913" i="5" l="1"/>
  <c r="B1911" i="5"/>
  <c r="I1912" i="5"/>
  <c r="B1917" i="5"/>
  <c r="F1910" i="5"/>
  <c r="O1912" i="5" s="1"/>
  <c r="F1911" i="5"/>
  <c r="O1913" i="5" s="1"/>
  <c r="B1910" i="5"/>
  <c r="H1913" i="5"/>
  <c r="H1912" i="5"/>
  <c r="F1912" i="5"/>
  <c r="O1914" i="5" s="1"/>
  <c r="L1912" i="5" l="1" a="1"/>
  <c r="L1912" i="5" s="1"/>
  <c r="Q1912" i="5" s="1" a="1"/>
  <c r="Q1912" i="5" s="1"/>
  <c r="C1919" i="5" s="1"/>
  <c r="H1921" i="5" s="1"/>
  <c r="F1921" i="5" l="1"/>
  <c r="O1923" i="5" s="1"/>
  <c r="C1920" i="5"/>
  <c r="H1922" i="5"/>
  <c r="B1919" i="5"/>
  <c r="B1921" i="5"/>
  <c r="B1926" i="5" s="1"/>
  <c r="I1921" i="5"/>
  <c r="B1920" i="5"/>
  <c r="I1922" i="5"/>
  <c r="L1921" i="5" s="1" a="1"/>
  <c r="L1921" i="5" s="1"/>
  <c r="F1920" i="5" l="1"/>
  <c r="O1922" i="5" s="1"/>
  <c r="F1919" i="5"/>
  <c r="O1921" i="5" s="1"/>
  <c r="Q1921" i="5" s="1" a="1"/>
  <c r="Q1921" i="5" l="1"/>
  <c r="C1928" i="5" s="1"/>
  <c r="C1929" i="5"/>
  <c r="B1930" i="5"/>
  <c r="F1928" i="5" s="1"/>
  <c r="O1930" i="5" s="1"/>
  <c r="B1929" i="5"/>
  <c r="I1931" i="5"/>
  <c r="I1930" i="5"/>
  <c r="B1935" i="5"/>
  <c r="F1929" i="5"/>
  <c r="O1931" i="5" s="1"/>
  <c r="H1931" i="5" l="1"/>
  <c r="H1930" i="5"/>
  <c r="L1930" i="5" s="1" a="1"/>
  <c r="L1930" i="5" s="1"/>
  <c r="Q1930" i="5" s="1" a="1"/>
  <c r="F1930" i="5"/>
  <c r="O1932" i="5" s="1"/>
  <c r="B1928" i="5"/>
  <c r="Q1930" i="5" l="1"/>
  <c r="C1937" i="5" s="1"/>
  <c r="B1939" i="5"/>
  <c r="B1944" i="5" s="1"/>
  <c r="C1938" i="5"/>
  <c r="B1938" i="5" s="1"/>
  <c r="I1939" i="5"/>
  <c r="I1940" i="5"/>
  <c r="F1938" i="5"/>
  <c r="O1940" i="5" s="1"/>
  <c r="F1937" i="5"/>
  <c r="O1939" i="5" s="1"/>
  <c r="H1939" i="5" l="1"/>
  <c r="B1937" i="5"/>
  <c r="H1940" i="5"/>
  <c r="F1939" i="5"/>
  <c r="O1941" i="5" s="1"/>
  <c r="L1939" i="5" l="1" a="1"/>
  <c r="L1939" i="5" s="1"/>
  <c r="Q1939" i="5" s="1" a="1"/>
  <c r="B1948" i="5" l="1"/>
  <c r="Q1939" i="5"/>
  <c r="C1946" i="5" s="1"/>
  <c r="C1947" i="5"/>
  <c r="I1949" i="5" l="1"/>
  <c r="I1948" i="5"/>
  <c r="B1947" i="5"/>
  <c r="B1946" i="5"/>
  <c r="H1948" i="5"/>
  <c r="H1949" i="5"/>
  <c r="F1948" i="5"/>
  <c r="O1950" i="5" s="1"/>
  <c r="F1946" i="5"/>
  <c r="O1948" i="5" s="1"/>
  <c r="B1953" i="5"/>
  <c r="F1947" i="5"/>
  <c r="O1949" i="5" s="1"/>
  <c r="L1948" i="5" l="1" a="1"/>
  <c r="L1948" i="5" s="1"/>
  <c r="Q1948" i="5" s="1" a="1"/>
  <c r="B1957" i="5" l="1"/>
  <c r="C1956" i="5"/>
  <c r="Q1948" i="5"/>
  <c r="C1955" i="5" s="1"/>
  <c r="H1957" i="5" l="1"/>
  <c r="B1955" i="5"/>
  <c r="F1957" i="5"/>
  <c r="O1959" i="5" s="1"/>
  <c r="H1958" i="5"/>
  <c r="I1958" i="5"/>
  <c r="I1957" i="5"/>
  <c r="B1956" i="5"/>
  <c r="F1956" i="5"/>
  <c r="O1958" i="5" s="1"/>
  <c r="B1962" i="5"/>
  <c r="F1955" i="5"/>
  <c r="O1957" i="5" s="1"/>
  <c r="L1957" i="5" l="1" a="1"/>
  <c r="L1957" i="5" s="1"/>
  <c r="Q1957" i="5" s="1" a="1"/>
  <c r="Q1957" i="5" l="1"/>
  <c r="C1964" i="5" s="1"/>
  <c r="B1966" i="5"/>
  <c r="C1965" i="5"/>
  <c r="I1966" i="5" l="1"/>
  <c r="B1965" i="5"/>
  <c r="I1967" i="5"/>
  <c r="F1964" i="5"/>
  <c r="O1966" i="5" s="1"/>
  <c r="B1971" i="5"/>
  <c r="F1965" i="5"/>
  <c r="O1967" i="5" s="1"/>
  <c r="H1966" i="5"/>
  <c r="L1966" i="5" s="1" a="1"/>
  <c r="L1966" i="5" s="1"/>
  <c r="Q1966" i="5" s="1" a="1"/>
  <c r="B1964" i="5"/>
  <c r="F1966" i="5"/>
  <c r="O1968" i="5" s="1"/>
  <c r="H1967" i="5"/>
  <c r="Q1966" i="5" l="1"/>
  <c r="C1973" i="5" s="1"/>
  <c r="B1975" i="5"/>
  <c r="C1974" i="5"/>
  <c r="B1980" i="5"/>
  <c r="I1975" i="5" l="1"/>
  <c r="I1976" i="5"/>
  <c r="B1974" i="5"/>
  <c r="F1974" i="5"/>
  <c r="O1976" i="5" s="1"/>
  <c r="F1973" i="5"/>
  <c r="O1975" i="5" s="1"/>
  <c r="F1975" i="5"/>
  <c r="O1977" i="5" s="1"/>
  <c r="H1976" i="5"/>
  <c r="H1975" i="5"/>
  <c r="B1973" i="5"/>
  <c r="L1975" i="5" l="1" a="1"/>
  <c r="L1975" i="5" s="1"/>
  <c r="Q1975" i="5" s="1" a="1"/>
  <c r="Q1975" i="5" l="1"/>
  <c r="C1982" i="5" s="1"/>
  <c r="C1983" i="5"/>
  <c r="B1984" i="5"/>
  <c r="B1989" i="5" l="1"/>
  <c r="F1983" i="5"/>
  <c r="O1985" i="5" s="1"/>
  <c r="F1982" i="5"/>
  <c r="O1984" i="5" s="1"/>
  <c r="B1983" i="5"/>
  <c r="I1984" i="5"/>
  <c r="I1985" i="5"/>
  <c r="F1984" i="5"/>
  <c r="O1986" i="5" s="1"/>
  <c r="H1985" i="5"/>
  <c r="H1984" i="5"/>
  <c r="B1982" i="5"/>
  <c r="L1984" i="5" l="1" a="1"/>
  <c r="L1984" i="5" s="1"/>
  <c r="Q1984" i="5" s="1" a="1"/>
  <c r="B1993" i="5" l="1"/>
  <c r="Q1984" i="5"/>
  <c r="C1991" i="5" s="1"/>
  <c r="C1992" i="5"/>
  <c r="H1994" i="5" l="1"/>
  <c r="H1993" i="5"/>
  <c r="F1993" i="5"/>
  <c r="O1995" i="5" s="1"/>
  <c r="B1991" i="5"/>
  <c r="I1994" i="5"/>
  <c r="B1992" i="5"/>
  <c r="I1993" i="5"/>
  <c r="F1991" i="5"/>
  <c r="O1993" i="5" s="1"/>
  <c r="F1992" i="5"/>
  <c r="O1994" i="5" s="1"/>
  <c r="B1998" i="5"/>
  <c r="L1993" i="5" l="1" a="1"/>
  <c r="L1993" i="5" s="1"/>
  <c r="Q1993" i="5" s="1" a="1"/>
  <c r="Q1993" i="5" l="1"/>
  <c r="C2000" i="5" s="1"/>
  <c r="C2001" i="5"/>
  <c r="B2002" i="5"/>
  <c r="F2001" i="5" l="1"/>
  <c r="O2003" i="5" s="1"/>
  <c r="F2000" i="5"/>
  <c r="O2002" i="5" s="1"/>
  <c r="B2007" i="5"/>
  <c r="I2003" i="5"/>
  <c r="B2001" i="5"/>
  <c r="I2002" i="5"/>
  <c r="H2003" i="5"/>
  <c r="H2002" i="5"/>
  <c r="F2002" i="5"/>
  <c r="O2004" i="5" s="1"/>
  <c r="B2000" i="5"/>
  <c r="L2002" i="5" l="1" a="1"/>
  <c r="L2002" i="5" s="1"/>
  <c r="Q2002" i="5" s="1" a="1"/>
  <c r="Q2002" i="5" s="1"/>
  <c r="C2009" i="5" s="1"/>
  <c r="H2012" i="5" s="1"/>
  <c r="C2010" i="5" l="1"/>
  <c r="B2009" i="5"/>
  <c r="B2011" i="5"/>
  <c r="B2016" i="5" s="1"/>
  <c r="H2011" i="5"/>
  <c r="F2011" i="5"/>
  <c r="O2013" i="5" s="1"/>
  <c r="F2010" i="5"/>
  <c r="O2012" i="5" s="1"/>
  <c r="F2009" i="5"/>
  <c r="O2011" i="5" s="1"/>
  <c r="B2010" i="5"/>
  <c r="I2011" i="5"/>
  <c r="I2012" i="5"/>
  <c r="L2011" i="5" l="1" a="1"/>
  <c r="L2011" i="5" s="1"/>
  <c r="Q2011" i="5" s="1" a="1"/>
  <c r="Q2011" i="5" s="1"/>
  <c r="C2018" i="5" s="1"/>
  <c r="C2019" i="5" l="1"/>
  <c r="B2020" i="5"/>
  <c r="I2021" i="5"/>
  <c r="I2020" i="5"/>
  <c r="B2019" i="5"/>
  <c r="F2019" i="5"/>
  <c r="O2021" i="5" s="1"/>
  <c r="F2018" i="5"/>
  <c r="O2020" i="5" s="1"/>
  <c r="B2025" i="5"/>
  <c r="H2021" i="5"/>
  <c r="B2018" i="5"/>
  <c r="H2020" i="5"/>
  <c r="F2020" i="5"/>
  <c r="O2022" i="5" s="1"/>
  <c r="L2020" i="5" l="1" a="1"/>
  <c r="L2020" i="5" s="1"/>
  <c r="Q2020" i="5" s="1" a="1"/>
  <c r="Q2020" i="5" s="1"/>
  <c r="C2027" i="5" s="1"/>
  <c r="H2029" i="5" s="1"/>
  <c r="F2029" i="5" l="1"/>
  <c r="O2031" i="5" s="1"/>
  <c r="H2030" i="5"/>
  <c r="B2027" i="5"/>
  <c r="C2028" i="5"/>
  <c r="B2029" i="5"/>
  <c r="B2034" i="5" s="1"/>
  <c r="I2030" i="5"/>
  <c r="B2028" i="5"/>
  <c r="I2029" i="5"/>
  <c r="L2029" i="5" s="1" a="1"/>
  <c r="L2029" i="5" s="1"/>
  <c r="F2027" i="5" l="1"/>
  <c r="O2029" i="5" s="1"/>
  <c r="F2028" i="5"/>
  <c r="O2030" i="5" s="1"/>
  <c r="Q2029" i="5" l="1" a="1"/>
  <c r="Q2029" i="5" s="1"/>
  <c r="C2036" i="5" s="1"/>
  <c r="B2038" i="5" l="1"/>
  <c r="C2037" i="5"/>
  <c r="B2036" i="5"/>
  <c r="H2038" i="5"/>
  <c r="H2039" i="5"/>
  <c r="F2038" i="5"/>
  <c r="O2040" i="5" s="1"/>
  <c r="I2038" i="5" l="1"/>
  <c r="L2038" i="5" s="1" a="1"/>
  <c r="L2038" i="5" s="1"/>
  <c r="I2039" i="5"/>
  <c r="B2037" i="5"/>
  <c r="B2043" i="5"/>
  <c r="F2037" i="5"/>
  <c r="O2039" i="5" s="1"/>
  <c r="F2036" i="5"/>
  <c r="O2038" i="5" s="1"/>
  <c r="Q2038" i="5" l="1" a="1"/>
  <c r="Q2038" i="5" s="1"/>
  <c r="C2045" i="5" s="1"/>
  <c r="C2046" i="5"/>
  <c r="I2047" i="5"/>
  <c r="I2048" i="5"/>
  <c r="B2046" i="5"/>
  <c r="H2047" i="5"/>
  <c r="H2048" i="5"/>
  <c r="B2045" i="5"/>
  <c r="F2047" i="5"/>
  <c r="O2049" i="5" s="1"/>
  <c r="B2047" i="5" l="1"/>
  <c r="L2047" i="5" a="1"/>
  <c r="L2047" i="5" s="1"/>
  <c r="F2046" i="5" l="1"/>
  <c r="O2048" i="5" s="1"/>
  <c r="F2045" i="5"/>
  <c r="O2047" i="5" s="1"/>
  <c r="Q2047" i="5" s="1" a="1"/>
  <c r="B2052" i="5"/>
  <c r="Q2047" i="5" l="1"/>
  <c r="C2054" i="5" s="1"/>
  <c r="C2055" i="5"/>
  <c r="B2056" i="5"/>
  <c r="B2055" i="5"/>
  <c r="B2061" i="5" l="1"/>
  <c r="F2054" i="5"/>
  <c r="O2056" i="5" s="1"/>
  <c r="F2055" i="5"/>
  <c r="O2057" i="5" s="1"/>
  <c r="I2057" i="5"/>
  <c r="I2056" i="5"/>
  <c r="B2054" i="5"/>
  <c r="H2057" i="5"/>
  <c r="H2056" i="5"/>
  <c r="L2056" i="5" s="1" a="1"/>
  <c r="L2056" i="5" s="1"/>
  <c r="Q2056" i="5" s="1" a="1"/>
  <c r="Q2056" i="5" s="1"/>
  <c r="C2063" i="5" s="1"/>
  <c r="B2063" i="5" s="1"/>
  <c r="F2056" i="5"/>
  <c r="O2058" i="5" s="1"/>
  <c r="B2065" i="5" l="1"/>
  <c r="C2064" i="5"/>
  <c r="F2065" i="5"/>
  <c r="O2067" i="5" s="1"/>
  <c r="H2066" i="5"/>
  <c r="H2065" i="5"/>
  <c r="B2064" i="5"/>
  <c r="I2065" i="5" l="1"/>
  <c r="L2065" i="5" s="1" a="1"/>
  <c r="L2065" i="5" s="1"/>
  <c r="Q2065" i="5" s="1" a="1"/>
  <c r="Q2065" i="5" s="1"/>
  <c r="C2072" i="5" s="1"/>
  <c r="H2074" i="5" s="1"/>
  <c r="I2066" i="5"/>
  <c r="B2070" i="5"/>
  <c r="F2064" i="5"/>
  <c r="O2066" i="5" s="1"/>
  <c r="F2063" i="5"/>
  <c r="O2065" i="5" s="1"/>
  <c r="B2072" i="5" l="1"/>
  <c r="B2074" i="5"/>
  <c r="H2075" i="5"/>
  <c r="F2074" i="5"/>
  <c r="O2076" i="5" s="1"/>
  <c r="C2073" i="5"/>
  <c r="I2074" i="5" l="1"/>
  <c r="B2073" i="5"/>
  <c r="I2075" i="5"/>
  <c r="F2073" i="5"/>
  <c r="O2075" i="5" s="1"/>
  <c r="F2072" i="5"/>
  <c r="O2074" i="5" s="1"/>
  <c r="B2079" i="5"/>
  <c r="L2074" i="5" l="1" a="1"/>
  <c r="L2074" i="5" s="1"/>
  <c r="Q2074" i="5" s="1" a="1"/>
  <c r="B2083" i="5" l="1"/>
  <c r="Q2074" i="5"/>
  <c r="C2081" i="5" s="1"/>
  <c r="C2082" i="5"/>
  <c r="I2083" i="5" l="1"/>
  <c r="I2084" i="5"/>
  <c r="B2082" i="5"/>
  <c r="H2084" i="5"/>
  <c r="B2081" i="5"/>
  <c r="F2083" i="5"/>
  <c r="O2085" i="5" s="1"/>
  <c r="H2083" i="5"/>
  <c r="L2083" i="5" s="1" a="1"/>
  <c r="L2083" i="5" s="1"/>
  <c r="Q2083" i="5" s="1" a="1"/>
  <c r="Q2083" i="5" s="1"/>
  <c r="C2090" i="5" s="1"/>
  <c r="F2092" i="5" s="1"/>
  <c r="O2094" i="5" s="1"/>
  <c r="F2081" i="5"/>
  <c r="O2083" i="5" s="1"/>
  <c r="F2082" i="5"/>
  <c r="O2084" i="5" s="1"/>
  <c r="B2088" i="5"/>
  <c r="B2090" i="5" l="1"/>
  <c r="C2091" i="5"/>
  <c r="H2092" i="5"/>
  <c r="H2093" i="5"/>
  <c r="B2092" i="5"/>
  <c r="F2091" i="5" s="1"/>
  <c r="O2093" i="5" s="1"/>
  <c r="B2097" i="5"/>
  <c r="F2090" i="5"/>
  <c r="O2092" i="5" s="1"/>
  <c r="I2092" i="5" l="1"/>
  <c r="B2091" i="5"/>
  <c r="I2093" i="5"/>
  <c r="L2092" i="5" l="1" a="1"/>
  <c r="L2092" i="5" s="1"/>
  <c r="Q2092" i="5" s="1" a="1"/>
  <c r="C2100" i="5" l="1"/>
  <c r="Q2092" i="5"/>
  <c r="C2099" i="5" s="1"/>
  <c r="B2101" i="5"/>
  <c r="B2106" i="5" l="1"/>
  <c r="F2100" i="5"/>
  <c r="O2102" i="5" s="1"/>
  <c r="F2099" i="5"/>
  <c r="O2101" i="5" s="1"/>
  <c r="H2101" i="5"/>
  <c r="H2102" i="5"/>
  <c r="B2099" i="5"/>
  <c r="F2101" i="5"/>
  <c r="O2103" i="5" s="1"/>
  <c r="I2101" i="5"/>
  <c r="I2102" i="5"/>
  <c r="B2100" i="5"/>
  <c r="L2101" i="5" l="1" a="1"/>
  <c r="L2101" i="5" s="1"/>
  <c r="Q2101" i="5" s="1" a="1"/>
  <c r="C2109" i="5" l="1"/>
  <c r="Q2101" i="5"/>
  <c r="C2108" i="5" s="1"/>
  <c r="B2110" i="5"/>
  <c r="F2108" i="5" l="1"/>
  <c r="O2110" i="5" s="1"/>
  <c r="F2109" i="5"/>
  <c r="O2111" i="5" s="1"/>
  <c r="B2115" i="5"/>
  <c r="F2110" i="5"/>
  <c r="O2112" i="5" s="1"/>
  <c r="H2111" i="5"/>
  <c r="H2110" i="5"/>
  <c r="L2110" i="5" s="1" a="1"/>
  <c r="L2110" i="5" s="1"/>
  <c r="Q2110" i="5" s="1" a="1"/>
  <c r="B2108" i="5"/>
  <c r="I2111" i="5"/>
  <c r="I2110" i="5"/>
  <c r="B2109" i="5"/>
  <c r="Q2110" i="5" l="1"/>
  <c r="C2117" i="5" s="1"/>
  <c r="B2119" i="5"/>
  <c r="C2118" i="5"/>
  <c r="I2120" i="5" l="1"/>
  <c r="B2118" i="5"/>
  <c r="I2119" i="5"/>
  <c r="F2119" i="5"/>
  <c r="O2121" i="5" s="1"/>
  <c r="H2120" i="5"/>
  <c r="B2117" i="5"/>
  <c r="H2119" i="5"/>
  <c r="F2117" i="5"/>
  <c r="O2119" i="5" s="1"/>
  <c r="F2118" i="5"/>
  <c r="O2120" i="5" s="1"/>
  <c r="B2124" i="5"/>
  <c r="L2119" i="5" l="1" a="1"/>
  <c r="L2119" i="5" s="1"/>
  <c r="Q2119" i="5" s="1" a="1"/>
  <c r="Q2119" i="5" l="1"/>
  <c r="C2126" i="5" s="1"/>
  <c r="B2128" i="5"/>
  <c r="C2127" i="5"/>
  <c r="B2127" i="5" l="1"/>
  <c r="I2128" i="5"/>
  <c r="I2129" i="5"/>
  <c r="B2133" i="5"/>
  <c r="F2126" i="5"/>
  <c r="O2128" i="5" s="1"/>
  <c r="F2127" i="5"/>
  <c r="O2129" i="5" s="1"/>
  <c r="H2129" i="5"/>
  <c r="H2128" i="5"/>
  <c r="F2128" i="5"/>
  <c r="O2130" i="5" s="1"/>
  <c r="B2126" i="5"/>
  <c r="L2128" i="5" l="1" a="1"/>
  <c r="L2128" i="5" s="1"/>
  <c r="Q2128" i="5" s="1" a="1"/>
  <c r="Q2128" i="5" l="1"/>
  <c r="C2135" i="5" s="1"/>
  <c r="B2137" i="5"/>
  <c r="C2136" i="5"/>
  <c r="I2137" i="5" l="1"/>
  <c r="I2138" i="5"/>
  <c r="B2136" i="5"/>
  <c r="F2136" i="5"/>
  <c r="O2138" i="5" s="1"/>
  <c r="F2135" i="5"/>
  <c r="O2137" i="5" s="1"/>
  <c r="B2142" i="5"/>
  <c r="F2137" i="5"/>
  <c r="O2139" i="5" s="1"/>
  <c r="H2137" i="5"/>
  <c r="H2138" i="5"/>
  <c r="B2135" i="5"/>
  <c r="L2137" i="5" l="1" a="1"/>
  <c r="L2137" i="5" s="1"/>
  <c r="Q2137" i="5" s="1" a="1"/>
  <c r="Q2137" i="5" l="1"/>
  <c r="C2144" i="5" s="1"/>
  <c r="C2145" i="5"/>
  <c r="B2146" i="5"/>
  <c r="B2145" i="5" l="1"/>
  <c r="I2147" i="5"/>
  <c r="I2146" i="5"/>
  <c r="F2144" i="5"/>
  <c r="O2146" i="5" s="1"/>
  <c r="F2145" i="5"/>
  <c r="O2147" i="5" s="1"/>
  <c r="B2151" i="5"/>
  <c r="H2147" i="5"/>
  <c r="B2144" i="5"/>
  <c r="F2146" i="5"/>
  <c r="O2148" i="5" s="1"/>
  <c r="H2146" i="5"/>
  <c r="L2146" i="5" s="1" a="1"/>
  <c r="L2146" i="5" s="1"/>
  <c r="Q2146" i="5" s="1" a="1"/>
  <c r="Q2146" i="5" s="1"/>
  <c r="C2153" i="5" s="1"/>
  <c r="B2153" i="5" l="1"/>
  <c r="H2155" i="5"/>
  <c r="F2155" i="5"/>
  <c r="O2157" i="5" s="1"/>
  <c r="H2156" i="5"/>
  <c r="B2155" i="5"/>
  <c r="C2154" i="5"/>
  <c r="I2155" i="5" l="1"/>
  <c r="I2156" i="5"/>
  <c r="B2154" i="5"/>
  <c r="F2153" i="5"/>
  <c r="O2155" i="5" s="1"/>
  <c r="F2154" i="5"/>
  <c r="O2156" i="5" s="1"/>
  <c r="B2160" i="5"/>
  <c r="L2155" i="5" l="1" a="1"/>
  <c r="L2155" i="5" s="1"/>
  <c r="Q2155" i="5" s="1" a="1"/>
  <c r="Q2155" i="5" l="1"/>
  <c r="C2162" i="5" s="1"/>
  <c r="B2164" i="5"/>
  <c r="C2163" i="5"/>
  <c r="I2164" i="5" l="1"/>
  <c r="I2165" i="5"/>
  <c r="B2163" i="5"/>
  <c r="F2163" i="5"/>
  <c r="O2165" i="5" s="1"/>
  <c r="F2162" i="5"/>
  <c r="O2164" i="5" s="1"/>
  <c r="B2169" i="5"/>
  <c r="H2164" i="5"/>
  <c r="L2164" i="5" s="1" a="1"/>
  <c r="L2164" i="5" s="1"/>
  <c r="Q2164" i="5" s="1" a="1"/>
  <c r="B2162" i="5"/>
  <c r="F2164" i="5"/>
  <c r="O2166" i="5" s="1"/>
  <c r="H2165" i="5"/>
  <c r="Q2164" i="5" l="1"/>
  <c r="C2171" i="5" s="1"/>
  <c r="C2172" i="5"/>
  <c r="B2173" i="5"/>
  <c r="F2171" i="5" l="1"/>
  <c r="O2173" i="5" s="1"/>
  <c r="F2172" i="5"/>
  <c r="O2174" i="5" s="1"/>
  <c r="B2172" i="5"/>
  <c r="I2174" i="5"/>
  <c r="I2173" i="5"/>
  <c r="H2173" i="5"/>
  <c r="H2174" i="5"/>
  <c r="F2173" i="5"/>
  <c r="O2175" i="5" s="1"/>
  <c r="B2171" i="5"/>
  <c r="B2178" i="5"/>
  <c r="L2173" i="5" l="1" a="1"/>
  <c r="L2173" i="5" s="1"/>
  <c r="Q2173" i="5" s="1" a="1"/>
  <c r="Q2173" i="5" l="1"/>
  <c r="C2180" i="5" s="1"/>
  <c r="C2181" i="5"/>
  <c r="B2182" i="5"/>
  <c r="B2187" i="5" l="1"/>
  <c r="F2181" i="5"/>
  <c r="O2183" i="5" s="1"/>
  <c r="F2180" i="5"/>
  <c r="O2182" i="5" s="1"/>
  <c r="I2182" i="5"/>
  <c r="B2181" i="5"/>
  <c r="I2183" i="5"/>
  <c r="H2183" i="5"/>
  <c r="B2180" i="5"/>
  <c r="F2182" i="5"/>
  <c r="O2184" i="5" s="1"/>
  <c r="H2182" i="5"/>
  <c r="L2182" i="5" l="1" a="1"/>
  <c r="L2182" i="5" s="1"/>
  <c r="Q2182" i="5" s="1" a="1"/>
  <c r="Q2182" i="5" l="1"/>
  <c r="C2189" i="5" s="1"/>
  <c r="B2191" i="5"/>
  <c r="C2190" i="5"/>
  <c r="B2190" i="5" l="1"/>
  <c r="I2191" i="5"/>
  <c r="I2192" i="5"/>
  <c r="F2189" i="5"/>
  <c r="O2191" i="5" s="1"/>
  <c r="F2190" i="5"/>
  <c r="O2192" i="5" s="1"/>
  <c r="B2196" i="5"/>
  <c r="H2192" i="5"/>
  <c r="F2191" i="5"/>
  <c r="O2193" i="5" s="1"/>
  <c r="B2189" i="5"/>
  <c r="H2191" i="5"/>
  <c r="L2191" i="5" s="1" a="1"/>
  <c r="L2191" i="5" s="1"/>
  <c r="Q2191" i="5" s="1" a="1"/>
  <c r="Q2191" i="5" s="1"/>
  <c r="C2198" i="5" s="1"/>
  <c r="B2200" i="5" l="1"/>
  <c r="C2199" i="5"/>
  <c r="F2200" i="5"/>
  <c r="O2202" i="5" s="1"/>
  <c r="B2198" i="5"/>
  <c r="H2200" i="5"/>
  <c r="H2201" i="5"/>
  <c r="B2199" i="5" l="1"/>
  <c r="I2200" i="5"/>
  <c r="L2200" i="5" s="1" a="1"/>
  <c r="L2200" i="5" s="1"/>
  <c r="Q2200" i="5" s="1" a="1"/>
  <c r="I2201" i="5"/>
  <c r="F2199" i="5"/>
  <c r="O2201" i="5" s="1"/>
  <c r="F2198" i="5"/>
  <c r="O2200" i="5" s="1"/>
  <c r="B2205" i="5"/>
  <c r="Q2200" i="5" l="1"/>
  <c r="C2207" i="5" s="1"/>
  <c r="C2208" i="5"/>
  <c r="B2209" i="5"/>
  <c r="I2210" i="5" l="1"/>
  <c r="B2208" i="5"/>
  <c r="I2209" i="5"/>
  <c r="L2209" i="5" s="1" a="1"/>
  <c r="L2209" i="5" s="1"/>
  <c r="Q2209" i="5" s="1" a="1"/>
  <c r="F2208" i="5"/>
  <c r="O2210" i="5" s="1"/>
  <c r="B2214" i="5"/>
  <c r="F2207" i="5"/>
  <c r="O2209" i="5" s="1"/>
  <c r="F2209" i="5"/>
  <c r="O2211" i="5" s="1"/>
  <c r="B2207" i="5"/>
  <c r="H2210" i="5"/>
  <c r="H2209" i="5"/>
  <c r="Q2209" i="5" l="1"/>
  <c r="C2216" i="5" s="1"/>
  <c r="C2217" i="5"/>
  <c r="B2218" i="5"/>
  <c r="F2217" i="5" l="1"/>
  <c r="O2219" i="5" s="1"/>
  <c r="F2216" i="5"/>
  <c r="O2218" i="5" s="1"/>
  <c r="I2218" i="5"/>
  <c r="B2217" i="5"/>
  <c r="I2219" i="5"/>
  <c r="H2219" i="5"/>
  <c r="H2218" i="5"/>
  <c r="B2216" i="5"/>
  <c r="F2218" i="5"/>
  <c r="O2220" i="5" s="1"/>
  <c r="B2223" i="5"/>
  <c r="L2218" i="5" l="1" a="1"/>
  <c r="L2218" i="5" s="1"/>
  <c r="Q2218" i="5" s="1" a="1"/>
  <c r="Q2218" i="5" l="1"/>
  <c r="C2225" i="5" s="1"/>
  <c r="B2227" i="5"/>
  <c r="C2226" i="5"/>
  <c r="I2228" i="5" l="1"/>
  <c r="I2227" i="5"/>
  <c r="B2226" i="5"/>
  <c r="F2226" i="5"/>
  <c r="O2228" i="5" s="1"/>
  <c r="F2225" i="5"/>
  <c r="O2227" i="5" s="1"/>
  <c r="B2232" i="5"/>
  <c r="F2227" i="5"/>
  <c r="O2229" i="5" s="1"/>
  <c r="H2227" i="5"/>
  <c r="L2227" i="5" s="1" a="1"/>
  <c r="L2227" i="5" s="1"/>
  <c r="Q2227" i="5" s="1" a="1"/>
  <c r="H2228" i="5"/>
  <c r="B2225" i="5"/>
  <c r="C2235" i="5" l="1"/>
  <c r="Q2227" i="5"/>
  <c r="C2234" i="5" s="1"/>
  <c r="B2236" i="5"/>
  <c r="F2235" i="5" l="1"/>
  <c r="O2237" i="5" s="1"/>
  <c r="F2234" i="5"/>
  <c r="O2236" i="5" s="1"/>
  <c r="I2236" i="5"/>
  <c r="B2235" i="5"/>
  <c r="I2237" i="5"/>
  <c r="F2236" i="5"/>
  <c r="O2238" i="5" s="1"/>
  <c r="H2236" i="5"/>
  <c r="H2237" i="5"/>
  <c r="B2234" i="5"/>
  <c r="B2241" i="5"/>
  <c r="L2236" i="5" l="1" a="1"/>
  <c r="L2236" i="5" s="1"/>
  <c r="Q2236" i="5" s="1" a="1"/>
  <c r="Q2236" i="5" l="1"/>
  <c r="C2243" i="5" s="1"/>
  <c r="B2245" i="5"/>
  <c r="C2244" i="5"/>
  <c r="I2246" i="5" l="1"/>
  <c r="I2245" i="5"/>
  <c r="B2244" i="5"/>
  <c r="F2243" i="5"/>
  <c r="O2245" i="5" s="1"/>
  <c r="F2244" i="5"/>
  <c r="O2246" i="5" s="1"/>
  <c r="B2250" i="5"/>
  <c r="H2246" i="5"/>
  <c r="H2245" i="5"/>
  <c r="B2243" i="5"/>
  <c r="F2245" i="5"/>
  <c r="O2247" i="5" s="1"/>
  <c r="L2245" i="5" l="1" a="1"/>
  <c r="L2245" i="5" s="1"/>
  <c r="Q2245" i="5" s="1" a="1"/>
  <c r="Q2245" i="5" l="1"/>
  <c r="C2252" i="5" s="1"/>
  <c r="C2253" i="5"/>
  <c r="B2254" i="5"/>
  <c r="I2255" i="5" l="1"/>
  <c r="B2253" i="5"/>
  <c r="I2254" i="5"/>
  <c r="F2253" i="5"/>
  <c r="O2255" i="5" s="1"/>
  <c r="F2252" i="5"/>
  <c r="O2254" i="5" s="1"/>
  <c r="B2259" i="5"/>
  <c r="B2252" i="5"/>
  <c r="F2254" i="5"/>
  <c r="O2256" i="5" s="1"/>
  <c r="H2255" i="5"/>
  <c r="H2254" i="5"/>
  <c r="L2254" i="5" l="1" a="1"/>
  <c r="L2254" i="5" s="1"/>
  <c r="Q2254" i="5" s="1" a="1"/>
  <c r="Q2254" i="5" l="1"/>
  <c r="C2261" i="5" s="1"/>
  <c r="C2262" i="5"/>
  <c r="B2263" i="5"/>
  <c r="I2263" i="5" l="1"/>
  <c r="I2264" i="5"/>
  <c r="B2262" i="5"/>
  <c r="F2262" i="5"/>
  <c r="O2264" i="5" s="1"/>
  <c r="F2261" i="5"/>
  <c r="O2263" i="5" s="1"/>
  <c r="B2268" i="5"/>
  <c r="B2261" i="5"/>
  <c r="H2263" i="5"/>
  <c r="F2263" i="5"/>
  <c r="O2265" i="5" s="1"/>
  <c r="H2264" i="5"/>
  <c r="L2263" i="5" l="1" a="1"/>
  <c r="L2263" i="5" s="1"/>
  <c r="Q2263" i="5" s="1" a="1"/>
  <c r="Q2263" i="5" l="1"/>
  <c r="C2270" i="5" s="1"/>
  <c r="C2271" i="5"/>
  <c r="B2272" i="5"/>
  <c r="I2273" i="5" l="1"/>
  <c r="B2271" i="5"/>
  <c r="I2272" i="5"/>
  <c r="L2272" i="5" s="1" a="1"/>
  <c r="L2272" i="5" s="1"/>
  <c r="Q2272" i="5" s="1" a="1"/>
  <c r="Q2272" i="5" s="1"/>
  <c r="C2279" i="5" s="1"/>
  <c r="F2271" i="5"/>
  <c r="O2273" i="5" s="1"/>
  <c r="F2270" i="5"/>
  <c r="O2272" i="5" s="1"/>
  <c r="B2277" i="5"/>
  <c r="H2273" i="5"/>
  <c r="H2272" i="5"/>
  <c r="B2270" i="5"/>
  <c r="F2272" i="5"/>
  <c r="O2274" i="5" s="1"/>
  <c r="H2281" i="5" l="1"/>
  <c r="F2281" i="5"/>
  <c r="O2283" i="5" s="1"/>
  <c r="H2282" i="5"/>
  <c r="B2279" i="5"/>
  <c r="B2281" i="5"/>
  <c r="C2280" i="5"/>
  <c r="B2280" i="5" l="1"/>
  <c r="I2281" i="5"/>
  <c r="I2282" i="5"/>
  <c r="F2280" i="5"/>
  <c r="O2282" i="5" s="1"/>
  <c r="F2279" i="5"/>
  <c r="O2281" i="5" s="1"/>
  <c r="B2286" i="5"/>
  <c r="L2281" i="5" l="1" a="1"/>
  <c r="L2281" i="5" s="1"/>
  <c r="Q2281" i="5" s="1" a="1"/>
  <c r="Q2281" i="5" l="1"/>
  <c r="C2288" i="5" s="1"/>
  <c r="C2289" i="5"/>
  <c r="B2290" i="5"/>
  <c r="B2289" i="5" l="1"/>
  <c r="I2290" i="5"/>
  <c r="I2291" i="5"/>
  <c r="F2289" i="5"/>
  <c r="O2291" i="5" s="1"/>
  <c r="F2288" i="5"/>
  <c r="O2290" i="5" s="1"/>
  <c r="B2295" i="5"/>
  <c r="H2291" i="5"/>
  <c r="H2290" i="5"/>
  <c r="F2290" i="5"/>
  <c r="O2292" i="5" s="1"/>
  <c r="B2288" i="5"/>
  <c r="L2290" i="5" l="1" a="1"/>
  <c r="L2290" i="5" s="1"/>
  <c r="Q2290" i="5" s="1" a="1"/>
  <c r="Q2290" i="5" l="1"/>
  <c r="C2297" i="5" s="1"/>
  <c r="C2298" i="5"/>
  <c r="B2299" i="5"/>
  <c r="B2298" i="5" l="1"/>
  <c r="I2299" i="5"/>
  <c r="I2300" i="5"/>
  <c r="F2298" i="5"/>
  <c r="O2300" i="5" s="1"/>
  <c r="F2297" i="5"/>
  <c r="O2299" i="5" s="1"/>
  <c r="B2304" i="5"/>
  <c r="F2299" i="5"/>
  <c r="O2301" i="5" s="1"/>
  <c r="B2297" i="5"/>
  <c r="H2299" i="5"/>
  <c r="H2300" i="5"/>
  <c r="L2299" i="5" l="1" a="1"/>
  <c r="L2299" i="5" s="1"/>
  <c r="Q2299" i="5" s="1" a="1"/>
  <c r="Q2299" i="5" l="1"/>
  <c r="C2306" i="5" s="1"/>
  <c r="C2307" i="5"/>
  <c r="B2308" i="5"/>
  <c r="F2306" i="5" l="1"/>
  <c r="O2308" i="5" s="1"/>
  <c r="F2307" i="5"/>
  <c r="O2309" i="5" s="1"/>
  <c r="B2313" i="5"/>
  <c r="B2307" i="5"/>
  <c r="I2308" i="5"/>
  <c r="I2309" i="5"/>
  <c r="H2309" i="5"/>
  <c r="F2308" i="5"/>
  <c r="O2310" i="5" s="1"/>
  <c r="B2306" i="5"/>
  <c r="H2308" i="5"/>
  <c r="L2308" i="5" l="1" a="1"/>
  <c r="L2308" i="5" s="1"/>
  <c r="Q2308" i="5" s="1" a="1"/>
  <c r="Q2308" i="5" l="1"/>
  <c r="C2315" i="5" s="1"/>
  <c r="B2317" i="5"/>
  <c r="C2316" i="5"/>
  <c r="B2316" i="5" l="1"/>
  <c r="I2318" i="5"/>
  <c r="I2317" i="5"/>
  <c r="F2315" i="5"/>
  <c r="O2317" i="5" s="1"/>
  <c r="F2316" i="5"/>
  <c r="O2318" i="5" s="1"/>
  <c r="B2322" i="5"/>
  <c r="B2315" i="5"/>
  <c r="H2317" i="5"/>
  <c r="H2318" i="5"/>
  <c r="F2317" i="5"/>
  <c r="O2319" i="5" s="1"/>
  <c r="L2317" i="5" l="1" a="1"/>
  <c r="L2317" i="5" s="1"/>
  <c r="Q2317" i="5" s="1" a="1"/>
  <c r="Q2317" i="5" l="1"/>
  <c r="C2324" i="5" s="1"/>
  <c r="B2326" i="5"/>
  <c r="C2325" i="5"/>
  <c r="F2324" i="5" l="1"/>
  <c r="O2326" i="5" s="1"/>
  <c r="F2325" i="5"/>
  <c r="O2327" i="5" s="1"/>
  <c r="B2331" i="5"/>
  <c r="B2325" i="5"/>
  <c r="I2327" i="5"/>
  <c r="I2326" i="5"/>
  <c r="L2326" i="5" s="1" a="1"/>
  <c r="L2326" i="5" s="1"/>
  <c r="Q2326" i="5" s="1" a="1"/>
  <c r="Q2326" i="5" s="1"/>
  <c r="C2333" i="5" s="1"/>
  <c r="H2327" i="5"/>
  <c r="B2324" i="5"/>
  <c r="H2326" i="5"/>
  <c r="F2326" i="5"/>
  <c r="O2328" i="5" s="1"/>
  <c r="C2334" i="5" l="1"/>
  <c r="B2335" i="5"/>
  <c r="H2335" i="5"/>
  <c r="F2335" i="5"/>
  <c r="O2337" i="5" s="1"/>
  <c r="B2333" i="5"/>
  <c r="H2336" i="5"/>
  <c r="B2340" i="5"/>
  <c r="F2333" i="5" l="1"/>
  <c r="O2335" i="5" s="1"/>
  <c r="F2334" i="5"/>
  <c r="O2336" i="5" s="1"/>
  <c r="B2334" i="5"/>
  <c r="I2336" i="5"/>
  <c r="I2335" i="5"/>
  <c r="L2335" i="5" s="1" a="1"/>
  <c r="L2335" i="5" s="1"/>
  <c r="Q2335" i="5" s="1" a="1"/>
  <c r="Q2335" i="5" l="1"/>
  <c r="C2342" i="5" s="1"/>
  <c r="C2343" i="5"/>
  <c r="B2344" i="5"/>
  <c r="F2342" i="5" l="1"/>
  <c r="O2344" i="5" s="1"/>
  <c r="F2343" i="5"/>
  <c r="O2345" i="5" s="1"/>
  <c r="B2349" i="5"/>
  <c r="I2345" i="5"/>
  <c r="B2343" i="5"/>
  <c r="I2344" i="5"/>
  <c r="B2342" i="5"/>
  <c r="H2345" i="5"/>
  <c r="F2344" i="5"/>
  <c r="O2346" i="5" s="1"/>
  <c r="H2344" i="5"/>
  <c r="L2344" i="5" l="1" a="1"/>
  <c r="L2344" i="5" s="1"/>
  <c r="Q2344" i="5" s="1" a="1"/>
  <c r="Q2344" i="5" l="1"/>
  <c r="C2351" i="5" s="1"/>
  <c r="C2352" i="5"/>
  <c r="B2353" i="5"/>
  <c r="F2351" i="5" l="1"/>
  <c r="O2353" i="5" s="1"/>
  <c r="F2352" i="5"/>
  <c r="O2354" i="5" s="1"/>
  <c r="B2358" i="5"/>
  <c r="B2352" i="5"/>
  <c r="I2353" i="5"/>
  <c r="I2354" i="5"/>
  <c r="H2354" i="5"/>
  <c r="B2351" i="5"/>
  <c r="F2353" i="5"/>
  <c r="O2355" i="5" s="1"/>
  <c r="H2353" i="5"/>
  <c r="L2353" i="5" l="1" a="1"/>
  <c r="L2353" i="5" s="1"/>
  <c r="Q2353" i="5" s="1" a="1"/>
  <c r="Q2353" i="5" l="1"/>
  <c r="C2360" i="5" s="1"/>
  <c r="C2361" i="5"/>
  <c r="B2362" i="5"/>
  <c r="F2361" i="5" l="1"/>
  <c r="O2363" i="5" s="1"/>
  <c r="F2360" i="5"/>
  <c r="O2362" i="5" s="1"/>
  <c r="B2367" i="5"/>
  <c r="B2361" i="5"/>
  <c r="I2363" i="5"/>
  <c r="I2362" i="5"/>
  <c r="F2362" i="5"/>
  <c r="O2364" i="5" s="1"/>
  <c r="B2360" i="5"/>
  <c r="H2363" i="5"/>
  <c r="H2362" i="5"/>
  <c r="L2362" i="5" l="1" a="1"/>
  <c r="L2362" i="5" s="1"/>
  <c r="Q2362" i="5" s="1" a="1"/>
  <c r="Q2362" i="5" l="1"/>
  <c r="C2369" i="5" s="1"/>
  <c r="C2370" i="5"/>
  <c r="B2371" i="5"/>
  <c r="F2370" i="5" l="1"/>
  <c r="O2372" i="5" s="1"/>
  <c r="F2369" i="5"/>
  <c r="O2371" i="5" s="1"/>
  <c r="B2376" i="5"/>
  <c r="I2371" i="5"/>
  <c r="L2371" i="5" s="1" a="1"/>
  <c r="L2371" i="5" s="1"/>
  <c r="Q2371" i="5" s="1" a="1"/>
  <c r="Q2371" i="5" s="1"/>
  <c r="C2378" i="5" s="1"/>
  <c r="B2370" i="5"/>
  <c r="I2372" i="5"/>
  <c r="H2372" i="5"/>
  <c r="B2369" i="5"/>
  <c r="F2371" i="5"/>
  <c r="O2373" i="5" s="1"/>
  <c r="H2371" i="5"/>
  <c r="C2379" i="5" l="1"/>
  <c r="B2380" i="5"/>
  <c r="F2380" i="5"/>
  <c r="O2382" i="5" s="1"/>
  <c r="B2378" i="5"/>
  <c r="H2381" i="5"/>
  <c r="H2380" i="5"/>
  <c r="F2378" i="5" l="1"/>
  <c r="O2380" i="5" s="1"/>
  <c r="F2379" i="5"/>
  <c r="O2381" i="5" s="1"/>
  <c r="B2379" i="5"/>
  <c r="I2380" i="5"/>
  <c r="L2380" i="5" s="1" a="1"/>
  <c r="L2380" i="5" s="1"/>
  <c r="Q2380" i="5" s="1" a="1"/>
  <c r="Q2380" i="5" s="1"/>
  <c r="I238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<sst xmlns="http://schemas.openxmlformats.org/spreadsheetml/2006/main" count="4765" uniqueCount="1248">
  <si>
    <t>a</t>
  </si>
  <si>
    <t>b</t>
  </si>
  <si>
    <t>c</t>
  </si>
  <si>
    <t>rad</t>
  </si>
  <si>
    <t>th 4</t>
  </si>
  <si>
    <t>th 1</t>
  </si>
  <si>
    <t>th 2</t>
  </si>
  <si>
    <t>th 3</t>
  </si>
  <si>
    <t>d</t>
  </si>
  <si>
    <t>Tiempo</t>
  </si>
  <si>
    <t>f1</t>
  </si>
  <si>
    <t>f2</t>
  </si>
  <si>
    <t>f3</t>
  </si>
  <si>
    <t>W</t>
  </si>
  <si>
    <t>Jacobiano</t>
  </si>
  <si>
    <t>th3</t>
  </si>
  <si>
    <t>th2</t>
  </si>
  <si>
    <t>J-1</t>
  </si>
  <si>
    <t>fi</t>
  </si>
  <si>
    <t>D=J-1 fi</t>
  </si>
  <si>
    <t>Iteraciones</t>
  </si>
  <si>
    <t>J-2</t>
  </si>
  <si>
    <t>th 5</t>
  </si>
  <si>
    <t>th 6</t>
  </si>
  <si>
    <t>J-3</t>
  </si>
  <si>
    <t>th 7</t>
  </si>
  <si>
    <t>th 8</t>
  </si>
  <si>
    <t>J-4</t>
  </si>
  <si>
    <t>th 9</t>
  </si>
  <si>
    <t>th 10</t>
  </si>
  <si>
    <t>J-5</t>
  </si>
  <si>
    <t>th 11</t>
  </si>
  <si>
    <t>th 12</t>
  </si>
  <si>
    <t>J-6</t>
  </si>
  <si>
    <t>th 13</t>
  </si>
  <si>
    <t>th 14</t>
  </si>
  <si>
    <t>J-7</t>
  </si>
  <si>
    <t>th 15</t>
  </si>
  <si>
    <t>th 16</t>
  </si>
  <si>
    <t>J-8</t>
  </si>
  <si>
    <t>th 17</t>
  </si>
  <si>
    <t>th 18</t>
  </si>
  <si>
    <t>J-9</t>
  </si>
  <si>
    <t>th 19</t>
  </si>
  <si>
    <t>th 20</t>
  </si>
  <si>
    <t>J-10</t>
  </si>
  <si>
    <t>th 21</t>
  </si>
  <si>
    <t>th 22</t>
  </si>
  <si>
    <t>J-11</t>
  </si>
  <si>
    <t>th 23</t>
  </si>
  <si>
    <t>th 24</t>
  </si>
  <si>
    <t>J-12</t>
  </si>
  <si>
    <t>th 25</t>
  </si>
  <si>
    <t>th 26</t>
  </si>
  <si>
    <t>J-13</t>
  </si>
  <si>
    <t>th 27</t>
  </si>
  <si>
    <t>th 28</t>
  </si>
  <si>
    <t>J-14</t>
  </si>
  <si>
    <t>th 29</t>
  </si>
  <si>
    <t>th 30</t>
  </si>
  <si>
    <t>J-15</t>
  </si>
  <si>
    <t>th 31</t>
  </si>
  <si>
    <t>th 32</t>
  </si>
  <si>
    <t>J-16</t>
  </si>
  <si>
    <t>th 33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</si>
  <si>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</si>
  <si>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</si>
  <si>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</si>
  <si>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</si>
  <si>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</si>
  <si>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</si>
  <si>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</si>
  <si>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</si>
  <si>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</si>
  <si>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</si>
  <si>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</si>
  <si>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</si>
  <si>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</si>
  <si>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</si>
  <si>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</si>
  <si>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</si>
  <si>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</si>
  <si>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</si>
  <si>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</si>
  <si>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</si>
  <si>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</si>
  <si>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</si>
  <si>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</si>
  <si>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</si>
  <si>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th 34</t>
  </si>
  <si>
    <t>J-17</t>
  </si>
  <si>
    <t>th 35</t>
  </si>
  <si>
    <t>th 36</t>
  </si>
  <si>
    <t>J-18</t>
  </si>
  <si>
    <t>th 37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</si>
  <si>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</si>
  <si>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</si>
  <si>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</si>
  <si>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</si>
  <si>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</si>
  <si>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</si>
  <si>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</si>
  <si>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</si>
  <si>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</si>
  <si>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</si>
  <si>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</si>
  <si>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</si>
  <si>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</si>
  <si>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</si>
  <si>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</si>
  <si>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</si>
  <si>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</si>
  <si>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</si>
  <si>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</si>
  <si>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</si>
  <si>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</si>
  <si>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</si>
  <si>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</si>
  <si>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</si>
  <si>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</si>
  <si>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</si>
  <si>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</si>
  <si>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th 38</t>
  </si>
  <si>
    <t>f55</t>
  </si>
  <si>
    <t>J-19</t>
  </si>
  <si>
    <t>th 39</t>
  </si>
  <si>
    <t>f56</t>
  </si>
  <si>
    <t>f57</t>
  </si>
  <si>
    <t>th 40</t>
  </si>
  <si>
    <t>f58</t>
  </si>
  <si>
    <t>J-20</t>
  </si>
  <si>
    <t>th 41</t>
  </si>
  <si>
    <t>f59</t>
  </si>
  <si>
    <t>f60</t>
  </si>
  <si>
    <t>th 42</t>
  </si>
  <si>
    <t>f61</t>
  </si>
  <si>
    <t>J-21</t>
  </si>
  <si>
    <t>th 43</t>
  </si>
  <si>
    <t>f62</t>
  </si>
  <si>
    <t>f63</t>
  </si>
  <si>
    <t>th 44</t>
  </si>
  <si>
    <t>f64</t>
  </si>
  <si>
    <t>J-22</t>
  </si>
  <si>
    <t>th 45</t>
  </si>
  <si>
    <t>f65</t>
  </si>
  <si>
    <t>f66</t>
  </si>
  <si>
    <t>th 46</t>
  </si>
  <si>
    <t>f67</t>
  </si>
  <si>
    <t>J-23</t>
  </si>
  <si>
    <t>th 47</t>
  </si>
  <si>
    <t>f68</t>
  </si>
  <si>
    <t>f69</t>
  </si>
  <si>
    <t>th 48</t>
  </si>
  <si>
    <t>f70</t>
  </si>
  <si>
    <t>J-24</t>
  </si>
  <si>
    <t>th 49</t>
  </si>
  <si>
    <t>f71</t>
  </si>
  <si>
    <t>f72</t>
  </si>
  <si>
    <t>th 50</t>
  </si>
  <si>
    <t>f73</t>
  </si>
  <si>
    <t>J-25</t>
  </si>
  <si>
    <t>th 51</t>
  </si>
  <si>
    <t>f74</t>
  </si>
  <si>
    <t>f75</t>
  </si>
  <si>
    <t>th 52</t>
  </si>
  <si>
    <t>f76</t>
  </si>
  <si>
    <t>J-26</t>
  </si>
  <si>
    <t>th 53</t>
  </si>
  <si>
    <t>f77</t>
  </si>
  <si>
    <t>f78</t>
  </si>
  <si>
    <t>th 54</t>
  </si>
  <si>
    <t>f79</t>
  </si>
  <si>
    <t>J-27</t>
  </si>
  <si>
    <t>th 55</t>
  </si>
  <si>
    <t>f80</t>
  </si>
  <si>
    <t>f81</t>
  </si>
  <si>
    <t>th 56</t>
  </si>
  <si>
    <t>f82</t>
  </si>
  <si>
    <t>J-28</t>
  </si>
  <si>
    <t>th 57</t>
  </si>
  <si>
    <t>f83</t>
  </si>
  <si>
    <t>f84</t>
  </si>
  <si>
    <t>th 58</t>
  </si>
  <si>
    <t>f85</t>
  </si>
  <si>
    <t>J-29</t>
  </si>
  <si>
    <t>th 59</t>
  </si>
  <si>
    <t>f86</t>
  </si>
  <si>
    <t>f87</t>
  </si>
  <si>
    <t>th 60</t>
  </si>
  <si>
    <t>f88</t>
  </si>
  <si>
    <t>J-30</t>
  </si>
  <si>
    <t>th 61</t>
  </si>
  <si>
    <t>f89</t>
  </si>
  <si>
    <t>f90</t>
  </si>
  <si>
    <t>th 62</t>
  </si>
  <si>
    <t>f91</t>
  </si>
  <si>
    <t>J-31</t>
  </si>
  <si>
    <t>th 63</t>
  </si>
  <si>
    <t>f92</t>
  </si>
  <si>
    <t>f93</t>
  </si>
  <si>
    <t>th 64</t>
  </si>
  <si>
    <t>f94</t>
  </si>
  <si>
    <t>J-32</t>
  </si>
  <si>
    <t>th 65</t>
  </si>
  <si>
    <t>f95</t>
  </si>
  <si>
    <t>f96</t>
  </si>
  <si>
    <t>th 66</t>
  </si>
  <si>
    <t>f97</t>
  </si>
  <si>
    <t>J-33</t>
  </si>
  <si>
    <t>th 67</t>
  </si>
  <si>
    <t>f98</t>
  </si>
  <si>
    <t>f99</t>
  </si>
  <si>
    <t>th 68</t>
  </si>
  <si>
    <t>f100</t>
  </si>
  <si>
    <t>J-34</t>
  </si>
  <si>
    <t>th 69</t>
  </si>
  <si>
    <t>f101</t>
  </si>
  <si>
    <t>f102</t>
  </si>
  <si>
    <t>th 70</t>
  </si>
  <si>
    <t>f103</t>
  </si>
  <si>
    <t>J-35</t>
  </si>
  <si>
    <t>th 71</t>
  </si>
  <si>
    <t>f104</t>
  </si>
  <si>
    <t>f105</t>
  </si>
  <si>
    <t>th 72</t>
  </si>
  <si>
    <t>f106</t>
  </si>
  <si>
    <t>J-36</t>
  </si>
  <si>
    <t>th 73</t>
  </si>
  <si>
    <t>f107</t>
  </si>
  <si>
    <t>f108</t>
  </si>
  <si>
    <t>th 74</t>
  </si>
  <si>
    <t>f109</t>
  </si>
  <si>
    <t>J-37</t>
  </si>
  <si>
    <t>th 75</t>
  </si>
  <si>
    <t>f110</t>
  </si>
  <si>
    <t>f111</t>
  </si>
  <si>
    <t>th 76</t>
  </si>
  <si>
    <t>f112</t>
  </si>
  <si>
    <t>J-38</t>
  </si>
  <si>
    <t>th 77</t>
  </si>
  <si>
    <t>f113</t>
  </si>
  <si>
    <t>f114</t>
  </si>
  <si>
    <t>th 78</t>
  </si>
  <si>
    <t>f115</t>
  </si>
  <si>
    <t>J-39</t>
  </si>
  <si>
    <t>th 79</t>
  </si>
  <si>
    <t>f116</t>
  </si>
  <si>
    <t>f117</t>
  </si>
  <si>
    <t>th 80</t>
  </si>
  <si>
    <t>f118</t>
  </si>
  <si>
    <t>J-40</t>
  </si>
  <si>
    <t>th 81</t>
  </si>
  <si>
    <t>f119</t>
  </si>
  <si>
    <t>f120</t>
  </si>
  <si>
    <t>th 82</t>
  </si>
  <si>
    <t>f121</t>
  </si>
  <si>
    <t>J-41</t>
  </si>
  <si>
    <t>th 83</t>
  </si>
  <si>
    <t>f122</t>
  </si>
  <si>
    <t>f123</t>
  </si>
  <si>
    <t>th 84</t>
  </si>
  <si>
    <t>f124</t>
  </si>
  <si>
    <t>J-42</t>
  </si>
  <si>
    <t>th 85</t>
  </si>
  <si>
    <t>f125</t>
  </si>
  <si>
    <t>f126</t>
  </si>
  <si>
    <t>th 86</t>
  </si>
  <si>
    <t>f127</t>
  </si>
  <si>
    <t>J-43</t>
  </si>
  <si>
    <t>th 87</t>
  </si>
  <si>
    <t>f128</t>
  </si>
  <si>
    <t>f129</t>
  </si>
  <si>
    <t>th 88</t>
  </si>
  <si>
    <t>f130</t>
  </si>
  <si>
    <t>J-44</t>
  </si>
  <si>
    <t>th 89</t>
  </si>
  <si>
    <t>f131</t>
  </si>
  <si>
    <t>f132</t>
  </si>
  <si>
    <t>th 90</t>
  </si>
  <si>
    <t>f133</t>
  </si>
  <si>
    <t>J-45</t>
  </si>
  <si>
    <t>th 91</t>
  </si>
  <si>
    <t>f134</t>
  </si>
  <si>
    <t>f135</t>
  </si>
  <si>
    <t>th 92</t>
  </si>
  <si>
    <t>f136</t>
  </si>
  <si>
    <t>J-46</t>
  </si>
  <si>
    <t>th 93</t>
  </si>
  <si>
    <t>f137</t>
  </si>
  <si>
    <t>f138</t>
  </si>
  <si>
    <t>th 94</t>
  </si>
  <si>
    <t>f139</t>
  </si>
  <si>
    <t>J-47</t>
  </si>
  <si>
    <t>th 95</t>
  </si>
  <si>
    <t>f140</t>
  </si>
  <si>
    <t>f141</t>
  </si>
  <si>
    <t>th 96</t>
  </si>
  <si>
    <t>f142</t>
  </si>
  <si>
    <t>J-48</t>
  </si>
  <si>
    <t>th 97</t>
  </si>
  <si>
    <t>f143</t>
  </si>
  <si>
    <t>f144</t>
  </si>
  <si>
    <t>th 98</t>
  </si>
  <si>
    <t>f145</t>
  </si>
  <si>
    <t>J-49</t>
  </si>
  <si>
    <t>th 99</t>
  </si>
  <si>
    <t>f146</t>
  </si>
  <si>
    <t>f147</t>
  </si>
  <si>
    <t>th 100</t>
  </si>
  <si>
    <t>f148</t>
  </si>
  <si>
    <t>J-50</t>
  </si>
  <si>
    <t>th 101</t>
  </si>
  <si>
    <t>f149</t>
  </si>
  <si>
    <t>f150</t>
  </si>
  <si>
    <t>th 102</t>
  </si>
  <si>
    <t>f151</t>
  </si>
  <si>
    <t>J-51</t>
  </si>
  <si>
    <t>th 103</t>
  </si>
  <si>
    <t>f152</t>
  </si>
  <si>
    <t>f153</t>
  </si>
  <si>
    <t>th 104</t>
  </si>
  <si>
    <t>f154</t>
  </si>
  <si>
    <t>J-52</t>
  </si>
  <si>
    <t>th 105</t>
  </si>
  <si>
    <t>f155</t>
  </si>
  <si>
    <t>f156</t>
  </si>
  <si>
    <t>th 106</t>
  </si>
  <si>
    <t>f157</t>
  </si>
  <si>
    <t>J-53</t>
  </si>
  <si>
    <t>th 107</t>
  </si>
  <si>
    <t>f158</t>
  </si>
  <si>
    <t>f159</t>
  </si>
  <si>
    <t>th 108</t>
  </si>
  <si>
    <t>f160</t>
  </si>
  <si>
    <t>J-54</t>
  </si>
  <si>
    <t>th 109</t>
  </si>
  <si>
    <t>f161</t>
  </si>
  <si>
    <t>f162</t>
  </si>
  <si>
    <t>th 110</t>
  </si>
  <si>
    <t>f163</t>
  </si>
  <si>
    <t>J-55</t>
  </si>
  <si>
    <t>th 111</t>
  </si>
  <si>
    <t>f164</t>
  </si>
  <si>
    <t>f165</t>
  </si>
  <si>
    <t>th 112</t>
  </si>
  <si>
    <t>f166</t>
  </si>
  <si>
    <t>J-56</t>
  </si>
  <si>
    <t>th 113</t>
  </si>
  <si>
    <t>f167</t>
  </si>
  <si>
    <t>f168</t>
  </si>
  <si>
    <t>th 114</t>
  </si>
  <si>
    <t>f169</t>
  </si>
  <si>
    <t>J-57</t>
  </si>
  <si>
    <t>th 115</t>
  </si>
  <si>
    <t>f170</t>
  </si>
  <si>
    <t>f171</t>
  </si>
  <si>
    <t>th 116</t>
  </si>
  <si>
    <t>f172</t>
  </si>
  <si>
    <t>J-58</t>
  </si>
  <si>
    <t>th 117</t>
  </si>
  <si>
    <t>f173</t>
  </si>
  <si>
    <t>f174</t>
  </si>
  <si>
    <t>th 118</t>
  </si>
  <si>
    <t>f175</t>
  </si>
  <si>
    <t>J-59</t>
  </si>
  <si>
    <t>th 119</t>
  </si>
  <si>
    <t>f176</t>
  </si>
  <si>
    <t>f177</t>
  </si>
  <si>
    <t>th 120</t>
  </si>
  <si>
    <t>f178</t>
  </si>
  <si>
    <t>J-60</t>
  </si>
  <si>
    <t>th 121</t>
  </si>
  <si>
    <t>f179</t>
  </si>
  <si>
    <t>f180</t>
  </si>
  <si>
    <t>th 122</t>
  </si>
  <si>
    <t>f181</t>
  </si>
  <si>
    <t>J-61</t>
  </si>
  <si>
    <t>th 123</t>
  </si>
  <si>
    <t>f182</t>
  </si>
  <si>
    <t>f183</t>
  </si>
  <si>
    <t>th 124</t>
  </si>
  <si>
    <t>f184</t>
  </si>
  <si>
    <t>J-62</t>
  </si>
  <si>
    <t>th 125</t>
  </si>
  <si>
    <t>f185</t>
  </si>
  <si>
    <t>f186</t>
  </si>
  <si>
    <t>th 126</t>
  </si>
  <si>
    <t>f187</t>
  </si>
  <si>
    <t>J-63</t>
  </si>
  <si>
    <t>th 127</t>
  </si>
  <si>
    <t>f188</t>
  </si>
  <si>
    <t>f189</t>
  </si>
  <si>
    <t>th 128</t>
  </si>
  <si>
    <t>f190</t>
  </si>
  <si>
    <t>J-64</t>
  </si>
  <si>
    <t>th 129</t>
  </si>
  <si>
    <t>f191</t>
  </si>
  <si>
    <t>f192</t>
  </si>
  <si>
    <t>th 130</t>
  </si>
  <si>
    <t>f193</t>
  </si>
  <si>
    <t>J-65</t>
  </si>
  <si>
    <t>th 131</t>
  </si>
  <si>
    <t>f194</t>
  </si>
  <si>
    <t>f195</t>
  </si>
  <si>
    <t>th 132</t>
  </si>
  <si>
    <t>f196</t>
  </si>
  <si>
    <t>J-66</t>
  </si>
  <si>
    <t>th 133</t>
  </si>
  <si>
    <t>f197</t>
  </si>
  <si>
    <t>f198</t>
  </si>
  <si>
    <t>th 134</t>
  </si>
  <si>
    <t>f199</t>
  </si>
  <si>
    <t>J-67</t>
  </si>
  <si>
    <t>th 135</t>
  </si>
  <si>
    <t>f200</t>
  </si>
  <si>
    <t>f201</t>
  </si>
  <si>
    <t>th 136</t>
  </si>
  <si>
    <t>f202</t>
  </si>
  <si>
    <t>J-68</t>
  </si>
  <si>
    <t>th 137</t>
  </si>
  <si>
    <t>f203</t>
  </si>
  <si>
    <t>f204</t>
  </si>
  <si>
    <t>th 138</t>
  </si>
  <si>
    <t>f205</t>
  </si>
  <si>
    <t>J-69</t>
  </si>
  <si>
    <t>th 139</t>
  </si>
  <si>
    <t>f206</t>
  </si>
  <si>
    <t>f207</t>
  </si>
  <si>
    <t>th 140</t>
  </si>
  <si>
    <t>f208</t>
  </si>
  <si>
    <t>J-70</t>
  </si>
  <si>
    <t>th 141</t>
  </si>
  <si>
    <t>f209</t>
  </si>
  <si>
    <t>f210</t>
  </si>
  <si>
    <t>th 142</t>
  </si>
  <si>
    <t>f211</t>
  </si>
  <si>
    <t>J-71</t>
  </si>
  <si>
    <t>th 143</t>
  </si>
  <si>
    <t>f212</t>
  </si>
  <si>
    <t>f213</t>
  </si>
  <si>
    <t>th 144</t>
  </si>
  <si>
    <t>f214</t>
  </si>
  <si>
    <t>J-72</t>
  </si>
  <si>
    <t>th 145</t>
  </si>
  <si>
    <t>f215</t>
  </si>
  <si>
    <t>f216</t>
  </si>
  <si>
    <t>th 146</t>
  </si>
  <si>
    <t>f217</t>
  </si>
  <si>
    <t>J-73</t>
  </si>
  <si>
    <t>th 147</t>
  </si>
  <si>
    <t>f218</t>
  </si>
  <si>
    <t>f219</t>
  </si>
  <si>
    <t>th 148</t>
  </si>
  <si>
    <t>f220</t>
  </si>
  <si>
    <t>J-74</t>
  </si>
  <si>
    <t>th 149</t>
  </si>
  <si>
    <t>f221</t>
  </si>
  <si>
    <t>f222</t>
  </si>
  <si>
    <t>th 150</t>
  </si>
  <si>
    <t>f223</t>
  </si>
  <si>
    <t>J-75</t>
  </si>
  <si>
    <t>th 151</t>
  </si>
  <si>
    <t>f224</t>
  </si>
  <si>
    <t>f225</t>
  </si>
  <si>
    <t>th 152</t>
  </si>
  <si>
    <t>f226</t>
  </si>
  <si>
    <t>J-76</t>
  </si>
  <si>
    <t>th 153</t>
  </si>
  <si>
    <t>f227</t>
  </si>
  <si>
    <t>f228</t>
  </si>
  <si>
    <t>th 154</t>
  </si>
  <si>
    <t>f229</t>
  </si>
  <si>
    <t>J-77</t>
  </si>
  <si>
    <t>th 155</t>
  </si>
  <si>
    <t>f230</t>
  </si>
  <si>
    <t>f231</t>
  </si>
  <si>
    <t>th 156</t>
  </si>
  <si>
    <t>f232</t>
  </si>
  <si>
    <t>J-78</t>
  </si>
  <si>
    <t>th 157</t>
  </si>
  <si>
    <t>f233</t>
  </si>
  <si>
    <t>f234</t>
  </si>
  <si>
    <t>th 158</t>
  </si>
  <si>
    <t>f235</t>
  </si>
  <si>
    <t>J-79</t>
  </si>
  <si>
    <t>th 159</t>
  </si>
  <si>
    <t>f236</t>
  </si>
  <si>
    <t>f237</t>
  </si>
  <si>
    <t>th 160</t>
  </si>
  <si>
    <t>f238</t>
  </si>
  <si>
    <t>J-80</t>
  </si>
  <si>
    <t>th 161</t>
  </si>
  <si>
    <t>f239</t>
  </si>
  <si>
    <t>f240</t>
  </si>
  <si>
    <t>th 162</t>
  </si>
  <si>
    <t>f241</t>
  </si>
  <si>
    <t>J-81</t>
  </si>
  <si>
    <t>th 163</t>
  </si>
  <si>
    <t>f242</t>
  </si>
  <si>
    <t>f243</t>
  </si>
  <si>
    <t>th 164</t>
  </si>
  <si>
    <t>f244</t>
  </si>
  <si>
    <t>J-82</t>
  </si>
  <si>
    <t>th 165</t>
  </si>
  <si>
    <t>f245</t>
  </si>
  <si>
    <t>f246</t>
  </si>
  <si>
    <t>th 166</t>
  </si>
  <si>
    <t>f247</t>
  </si>
  <si>
    <t>J-83</t>
  </si>
  <si>
    <t>th 167</t>
  </si>
  <si>
    <t>f248</t>
  </si>
  <si>
    <t>f249</t>
  </si>
  <si>
    <t>th 168</t>
  </si>
  <si>
    <t>f250</t>
  </si>
  <si>
    <t>J-84</t>
  </si>
  <si>
    <t>th 169</t>
  </si>
  <si>
    <t>f251</t>
  </si>
  <si>
    <t>f252</t>
  </si>
  <si>
    <t>th 170</t>
  </si>
  <si>
    <t>f253</t>
  </si>
  <si>
    <t>J-85</t>
  </si>
  <si>
    <t>th 171</t>
  </si>
  <si>
    <t>f254</t>
  </si>
  <si>
    <t>f255</t>
  </si>
  <si>
    <t>th 172</t>
  </si>
  <si>
    <t>f256</t>
  </si>
  <si>
    <t>J-86</t>
  </si>
  <si>
    <t>th 173</t>
  </si>
  <si>
    <t>f257</t>
  </si>
  <si>
    <t>f258</t>
  </si>
  <si>
    <t>th 174</t>
  </si>
  <si>
    <t>f259</t>
  </si>
  <si>
    <t>J-87</t>
  </si>
  <si>
    <t>th 175</t>
  </si>
  <si>
    <t>f260</t>
  </si>
  <si>
    <t>f261</t>
  </si>
  <si>
    <t>th 176</t>
  </si>
  <si>
    <t>f262</t>
  </si>
  <si>
    <t>J-88</t>
  </si>
  <si>
    <t>th 177</t>
  </si>
  <si>
    <t>f263</t>
  </si>
  <si>
    <t>f264</t>
  </si>
  <si>
    <t>th 178</t>
  </si>
  <si>
    <t>f265</t>
  </si>
  <si>
    <t>J-89</t>
  </si>
  <si>
    <t>th 179</t>
  </si>
  <si>
    <t>f266</t>
  </si>
  <si>
    <t>f267</t>
  </si>
  <si>
    <t>th 180</t>
  </si>
  <si>
    <t>f268</t>
  </si>
  <si>
    <t>J-90</t>
  </si>
  <si>
    <t>th 181</t>
  </si>
  <si>
    <t>f269</t>
  </si>
  <si>
    <t>f270</t>
  </si>
  <si>
    <t>th 182</t>
  </si>
  <si>
    <t>f271</t>
  </si>
  <si>
    <t>J-91</t>
  </si>
  <si>
    <t>th 183</t>
  </si>
  <si>
    <t>f272</t>
  </si>
  <si>
    <t>f273</t>
  </si>
  <si>
    <t>th 184</t>
  </si>
  <si>
    <t>f274</t>
  </si>
  <si>
    <t>J-92</t>
  </si>
  <si>
    <t>th 185</t>
  </si>
  <si>
    <t>f275</t>
  </si>
  <si>
    <t>f276</t>
  </si>
  <si>
    <t>th 186</t>
  </si>
  <si>
    <t>f277</t>
  </si>
  <si>
    <t>J-93</t>
  </si>
  <si>
    <t>th 187</t>
  </si>
  <si>
    <t>f278</t>
  </si>
  <si>
    <t>f279</t>
  </si>
  <si>
    <t>th 188</t>
  </si>
  <si>
    <t>f280</t>
  </si>
  <si>
    <t>J-94</t>
  </si>
  <si>
    <t>th 189</t>
  </si>
  <si>
    <t>f281</t>
  </si>
  <si>
    <t>f282</t>
  </si>
  <si>
    <t>th 190</t>
  </si>
  <si>
    <t>f283</t>
  </si>
  <si>
    <t>J-95</t>
  </si>
  <si>
    <t>th 191</t>
  </si>
  <si>
    <t>f284</t>
  </si>
  <si>
    <t>f285</t>
  </si>
  <si>
    <t>th 192</t>
  </si>
  <si>
    <t>f286</t>
  </si>
  <si>
    <t>J-96</t>
  </si>
  <si>
    <t>th 193</t>
  </si>
  <si>
    <t>f287</t>
  </si>
  <si>
    <t>f288</t>
  </si>
  <si>
    <t>th 194</t>
  </si>
  <si>
    <t>f289</t>
  </si>
  <si>
    <t>J-97</t>
  </si>
  <si>
    <t>th 195</t>
  </si>
  <si>
    <t>f290</t>
  </si>
  <si>
    <t>f291</t>
  </si>
  <si>
    <t>th 196</t>
  </si>
  <si>
    <t>f292</t>
  </si>
  <si>
    <t>J-98</t>
  </si>
  <si>
    <t>th 197</t>
  </si>
  <si>
    <t>f293</t>
  </si>
  <si>
    <t>f294</t>
  </si>
  <si>
    <t>th 198</t>
  </si>
  <si>
    <t>f295</t>
  </si>
  <si>
    <t>J-99</t>
  </si>
  <si>
    <t>th 199</t>
  </si>
  <si>
    <t>f296</t>
  </si>
  <si>
    <t>f297</t>
  </si>
  <si>
    <t>th 200</t>
  </si>
  <si>
    <t>f298</t>
  </si>
  <si>
    <t>J-100</t>
  </si>
  <si>
    <t>th 201</t>
  </si>
  <si>
    <t>f299</t>
  </si>
  <si>
    <t>f300</t>
  </si>
  <si>
    <t>th 202</t>
  </si>
  <si>
    <t>f301</t>
  </si>
  <si>
    <t>J-101</t>
  </si>
  <si>
    <t>th 203</t>
  </si>
  <si>
    <t>f302</t>
  </si>
  <si>
    <t>f303</t>
  </si>
  <si>
    <t>th 204</t>
  </si>
  <si>
    <t>f304</t>
  </si>
  <si>
    <t>J-102</t>
  </si>
  <si>
    <t>th 205</t>
  </si>
  <si>
    <t>f305</t>
  </si>
  <si>
    <t>f306</t>
  </si>
  <si>
    <t>th 206</t>
  </si>
  <si>
    <t>f307</t>
  </si>
  <si>
    <t>J-103</t>
  </si>
  <si>
    <t>th 207</t>
  </si>
  <si>
    <t>f308</t>
  </si>
  <si>
    <t>f309</t>
  </si>
  <si>
    <t>th 208</t>
  </si>
  <si>
    <t>f310</t>
  </si>
  <si>
    <t>J-104</t>
  </si>
  <si>
    <t>th 209</t>
  </si>
  <si>
    <t>f311</t>
  </si>
  <si>
    <t>f312</t>
  </si>
  <si>
    <t>th 210</t>
  </si>
  <si>
    <t>f313</t>
  </si>
  <si>
    <t>J-105</t>
  </si>
  <si>
    <t>th 211</t>
  </si>
  <si>
    <t>f314</t>
  </si>
  <si>
    <t>f315</t>
  </si>
  <si>
    <t>th 212</t>
  </si>
  <si>
    <t>f316</t>
  </si>
  <si>
    <t>J-106</t>
  </si>
  <si>
    <t>th 213</t>
  </si>
  <si>
    <t>f317</t>
  </si>
  <si>
    <t>f318</t>
  </si>
  <si>
    <t>th 214</t>
  </si>
  <si>
    <t>f319</t>
  </si>
  <si>
    <t>J-107</t>
  </si>
  <si>
    <t>th 215</t>
  </si>
  <si>
    <t>f320</t>
  </si>
  <si>
    <t>f321</t>
  </si>
  <si>
    <t>th 216</t>
  </si>
  <si>
    <t>f322</t>
  </si>
  <si>
    <t>J-108</t>
  </si>
  <si>
    <t>th 217</t>
  </si>
  <si>
    <t>f323</t>
  </si>
  <si>
    <t>f324</t>
  </si>
  <si>
    <t>th 218</t>
  </si>
  <si>
    <t>f325</t>
  </si>
  <si>
    <t>J-109</t>
  </si>
  <si>
    <t>th 219</t>
  </si>
  <si>
    <t>f326</t>
  </si>
  <si>
    <t>f327</t>
  </si>
  <si>
    <t>th 220</t>
  </si>
  <si>
    <t>f328</t>
  </si>
  <si>
    <t>J-110</t>
  </si>
  <si>
    <t>th 221</t>
  </si>
  <si>
    <t>f329</t>
  </si>
  <si>
    <t>f330</t>
  </si>
  <si>
    <t>th 222</t>
  </si>
  <si>
    <t>f331</t>
  </si>
  <si>
    <t>J-111</t>
  </si>
  <si>
    <t>th 223</t>
  </si>
  <si>
    <t>f332</t>
  </si>
  <si>
    <t>f333</t>
  </si>
  <si>
    <t>th 224</t>
  </si>
  <si>
    <t>f334</t>
  </si>
  <si>
    <t>J-112</t>
  </si>
  <si>
    <t>th 225</t>
  </si>
  <si>
    <t>f335</t>
  </si>
  <si>
    <t>f336</t>
  </si>
  <si>
    <t>th 226</t>
  </si>
  <si>
    <t>f337</t>
  </si>
  <si>
    <t>J-113</t>
  </si>
  <si>
    <t>th 227</t>
  </si>
  <si>
    <t>f338</t>
  </si>
  <si>
    <t>f339</t>
  </si>
  <si>
    <t>th 228</t>
  </si>
  <si>
    <t>f340</t>
  </si>
  <si>
    <t>J-114</t>
  </si>
  <si>
    <t>th 229</t>
  </si>
  <si>
    <t>f341</t>
  </si>
  <si>
    <t>f342</t>
  </si>
  <si>
    <t>th 230</t>
  </si>
  <si>
    <t>f343</t>
  </si>
  <si>
    <t>J-115</t>
  </si>
  <si>
    <t>th 231</t>
  </si>
  <si>
    <t>f344</t>
  </si>
  <si>
    <t>f345</t>
  </si>
  <si>
    <t>th 232</t>
  </si>
  <si>
    <t>f346</t>
  </si>
  <si>
    <t>J-116</t>
  </si>
  <si>
    <t>th 233</t>
  </si>
  <si>
    <t>f347</t>
  </si>
  <si>
    <t>f348</t>
  </si>
  <si>
    <t>th 234</t>
  </si>
  <si>
    <t>f349</t>
  </si>
  <si>
    <t>J-117</t>
  </si>
  <si>
    <t>th 235</t>
  </si>
  <si>
    <t>f350</t>
  </si>
  <si>
    <t>f351</t>
  </si>
  <si>
    <t>th 236</t>
  </si>
  <si>
    <t>f352</t>
  </si>
  <si>
    <t>J-118</t>
  </si>
  <si>
    <t>th 237</t>
  </si>
  <si>
    <t>f353</t>
  </si>
  <si>
    <t>f354</t>
  </si>
  <si>
    <t>th 238</t>
  </si>
  <si>
    <t>f355</t>
  </si>
  <si>
    <t>J-119</t>
  </si>
  <si>
    <t>th 239</t>
  </si>
  <si>
    <t>f356</t>
  </si>
  <si>
    <t>f357</t>
  </si>
  <si>
    <t>th 240</t>
  </si>
  <si>
    <t>f358</t>
  </si>
  <si>
    <t>J-120</t>
  </si>
  <si>
    <t>th 241</t>
  </si>
  <si>
    <t>f359</t>
  </si>
  <si>
    <t>f360</t>
  </si>
  <si>
    <t>th 242</t>
  </si>
  <si>
    <t>f361</t>
  </si>
  <si>
    <t>J-121</t>
  </si>
  <si>
    <t>th 243</t>
  </si>
  <si>
    <t>f362</t>
  </si>
  <si>
    <t>f363</t>
  </si>
  <si>
    <t>th 244</t>
  </si>
  <si>
    <t>f364</t>
  </si>
  <si>
    <t>J-122</t>
  </si>
  <si>
    <t>th 245</t>
  </si>
  <si>
    <t>f365</t>
  </si>
  <si>
    <t>f366</t>
  </si>
  <si>
    <t>th 246</t>
  </si>
  <si>
    <t>f367</t>
  </si>
  <si>
    <t>J-123</t>
  </si>
  <si>
    <t>th 247</t>
  </si>
  <si>
    <t>f368</t>
  </si>
  <si>
    <t>f369</t>
  </si>
  <si>
    <t>th 248</t>
  </si>
  <si>
    <t>f370</t>
  </si>
  <si>
    <t>J-124</t>
  </si>
  <si>
    <t>th 249</t>
  </si>
  <si>
    <t>f371</t>
  </si>
  <si>
    <t>f372</t>
  </si>
  <si>
    <t>th 250</t>
  </si>
  <si>
    <t>f373</t>
  </si>
  <si>
    <t>J-125</t>
  </si>
  <si>
    <t>th 251</t>
  </si>
  <si>
    <t>f374</t>
  </si>
  <si>
    <t>f375</t>
  </si>
  <si>
    <t>th 252</t>
  </si>
  <si>
    <t>f376</t>
  </si>
  <si>
    <t>J-126</t>
  </si>
  <si>
    <t>th 253</t>
  </si>
  <si>
    <t>f377</t>
  </si>
  <si>
    <t>f378</t>
  </si>
  <si>
    <t>th 254</t>
  </si>
  <si>
    <t>f379</t>
  </si>
  <si>
    <t>J-127</t>
  </si>
  <si>
    <t>th 255</t>
  </si>
  <si>
    <t>f380</t>
  </si>
  <si>
    <t>f381</t>
  </si>
  <si>
    <t>th 256</t>
  </si>
  <si>
    <t>f382</t>
  </si>
  <si>
    <t>J-128</t>
  </si>
  <si>
    <t>th 257</t>
  </si>
  <si>
    <t>f383</t>
  </si>
  <si>
    <t>f384</t>
  </si>
  <si>
    <t>th 258</t>
  </si>
  <si>
    <t>f385</t>
  </si>
  <si>
    <t>J-129</t>
  </si>
  <si>
    <t>th 259</t>
  </si>
  <si>
    <t>f386</t>
  </si>
  <si>
    <t>f387</t>
  </si>
  <si>
    <t>th 260</t>
  </si>
  <si>
    <t>f388</t>
  </si>
  <si>
    <t>J-130</t>
  </si>
  <si>
    <t>th 261</t>
  </si>
  <si>
    <t>f389</t>
  </si>
  <si>
    <t>f390</t>
  </si>
  <si>
    <t>th 262</t>
  </si>
  <si>
    <t>f391</t>
  </si>
  <si>
    <t>J-131</t>
  </si>
  <si>
    <t>th 263</t>
  </si>
  <si>
    <t>f392</t>
  </si>
  <si>
    <t>f393</t>
  </si>
  <si>
    <t>th 264</t>
  </si>
  <si>
    <t>f394</t>
  </si>
  <si>
    <t>J-132</t>
  </si>
  <si>
    <t>th 265</t>
  </si>
  <si>
    <t>f395</t>
  </si>
  <si>
    <t>f396</t>
  </si>
  <si>
    <t>th 266</t>
  </si>
  <si>
    <t>f397</t>
  </si>
  <si>
    <t>J-133</t>
  </si>
  <si>
    <t>th 267</t>
  </si>
  <si>
    <t>f398</t>
  </si>
  <si>
    <t>f399</t>
  </si>
  <si>
    <t>th 268</t>
  </si>
  <si>
    <t>f400</t>
  </si>
  <si>
    <t>J-134</t>
  </si>
  <si>
    <t>th 269</t>
  </si>
  <si>
    <t>f401</t>
  </si>
  <si>
    <t>f402</t>
  </si>
  <si>
    <t>th 270</t>
  </si>
  <si>
    <t>f403</t>
  </si>
  <si>
    <t>J-135</t>
  </si>
  <si>
    <t>th 271</t>
  </si>
  <si>
    <t>f404</t>
  </si>
  <si>
    <t>f405</t>
  </si>
  <si>
    <t>th 272</t>
  </si>
  <si>
    <t>f406</t>
  </si>
  <si>
    <t>J-136</t>
  </si>
  <si>
    <t>th 273</t>
  </si>
  <si>
    <t>f407</t>
  </si>
  <si>
    <t>f408</t>
  </si>
  <si>
    <t>th 274</t>
  </si>
  <si>
    <t>f409</t>
  </si>
  <si>
    <t>J-137</t>
  </si>
  <si>
    <t>th 275</t>
  </si>
  <si>
    <t>f410</t>
  </si>
  <si>
    <t>f411</t>
  </si>
  <si>
    <t>th 276</t>
  </si>
  <si>
    <t>f412</t>
  </si>
  <si>
    <t>J-138</t>
  </si>
  <si>
    <t>th 277</t>
  </si>
  <si>
    <t>f413</t>
  </si>
  <si>
    <t>f414</t>
  </si>
  <si>
    <t>th 278</t>
  </si>
  <si>
    <t>f415</t>
  </si>
  <si>
    <t>J-139</t>
  </si>
  <si>
    <t>th 279</t>
  </si>
  <si>
    <t>f416</t>
  </si>
  <si>
    <t>f417</t>
  </si>
  <si>
    <t>th 280</t>
  </si>
  <si>
    <t>f418</t>
  </si>
  <si>
    <t>J-140</t>
  </si>
  <si>
    <t>th 281</t>
  </si>
  <si>
    <t>f419</t>
  </si>
  <si>
    <t>f420</t>
  </si>
  <si>
    <t>th 282</t>
  </si>
  <si>
    <t>f421</t>
  </si>
  <si>
    <t>J-141</t>
  </si>
  <si>
    <t>th 283</t>
  </si>
  <si>
    <t>f422</t>
  </si>
  <si>
    <t>f423</t>
  </si>
  <si>
    <t>th 284</t>
  </si>
  <si>
    <t>f424</t>
  </si>
  <si>
    <t>J-142</t>
  </si>
  <si>
    <t>th 285</t>
  </si>
  <si>
    <t>f425</t>
  </si>
  <si>
    <t>f426</t>
  </si>
  <si>
    <t>th 286</t>
  </si>
  <si>
    <t>f427</t>
  </si>
  <si>
    <t>J-143</t>
  </si>
  <si>
    <t>th 287</t>
  </si>
  <si>
    <t>f428</t>
  </si>
  <si>
    <t>f429</t>
  </si>
  <si>
    <t>th 288</t>
  </si>
  <si>
    <t>f430</t>
  </si>
  <si>
    <t>J-144</t>
  </si>
  <si>
    <t>th 289</t>
  </si>
  <si>
    <t>f431</t>
  </si>
  <si>
    <t>f432</t>
  </si>
  <si>
    <t>th 290</t>
  </si>
  <si>
    <t>f433</t>
  </si>
  <si>
    <t>J-145</t>
  </si>
  <si>
    <t>th 291</t>
  </si>
  <si>
    <t>f434</t>
  </si>
  <si>
    <t>f435</t>
  </si>
  <si>
    <t>th 292</t>
  </si>
  <si>
    <t>f436</t>
  </si>
  <si>
    <t>J-146</t>
  </si>
  <si>
    <t>th 293</t>
  </si>
  <si>
    <t>f437</t>
  </si>
  <si>
    <t>f438</t>
  </si>
  <si>
    <t>th 294</t>
  </si>
  <si>
    <t>f439</t>
  </si>
  <si>
    <t>J-147</t>
  </si>
  <si>
    <t>th 295</t>
  </si>
  <si>
    <t>f440</t>
  </si>
  <si>
    <t>f441</t>
  </si>
  <si>
    <t>th 296</t>
  </si>
  <si>
    <t>f442</t>
  </si>
  <si>
    <t>J-148</t>
  </si>
  <si>
    <t>th 297</t>
  </si>
  <si>
    <t>f443</t>
  </si>
  <si>
    <t>f444</t>
  </si>
  <si>
    <t>th 298</t>
  </si>
  <si>
    <t>f445</t>
  </si>
  <si>
    <t>J-149</t>
  </si>
  <si>
    <t>th 299</t>
  </si>
  <si>
    <t>f446</t>
  </si>
  <si>
    <t>f447</t>
  </si>
  <si>
    <t>th 300</t>
  </si>
  <si>
    <t>f448</t>
  </si>
  <si>
    <t>J-150</t>
  </si>
  <si>
    <t>th 301</t>
  </si>
  <si>
    <t>f449</t>
  </si>
  <si>
    <t>f450</t>
  </si>
  <si>
    <t>th 302</t>
  </si>
  <si>
    <t>f451</t>
  </si>
  <si>
    <t>J-151</t>
  </si>
  <si>
    <t>th 303</t>
  </si>
  <si>
    <t>f452</t>
  </si>
  <si>
    <t>f453</t>
  </si>
  <si>
    <t>th 304</t>
  </si>
  <si>
    <t>f454</t>
  </si>
  <si>
    <t>J-152</t>
  </si>
  <si>
    <t>th 305</t>
  </si>
  <si>
    <t>f455</t>
  </si>
  <si>
    <t>f456</t>
  </si>
  <si>
    <t>th 306</t>
  </si>
  <si>
    <t>f457</t>
  </si>
  <si>
    <t>J-153</t>
  </si>
  <si>
    <t>th 307</t>
  </si>
  <si>
    <t>f458</t>
  </si>
  <si>
    <t>f459</t>
  </si>
  <si>
    <t>th 308</t>
  </si>
  <si>
    <t>f460</t>
  </si>
  <si>
    <t>J-154</t>
  </si>
  <si>
    <t>th 309</t>
  </si>
  <si>
    <t>f461</t>
  </si>
  <si>
    <t>f462</t>
  </si>
  <si>
    <t>th 310</t>
  </si>
  <si>
    <t>f463</t>
  </si>
  <si>
    <t>J-155</t>
  </si>
  <si>
    <t>th 311</t>
  </si>
  <si>
    <t>f464</t>
  </si>
  <si>
    <t>f465</t>
  </si>
  <si>
    <t>th 312</t>
  </si>
  <si>
    <t>f466</t>
  </si>
  <si>
    <t>J-156</t>
  </si>
  <si>
    <t>th 313</t>
  </si>
  <si>
    <t>f467</t>
  </si>
  <si>
    <t>f468</t>
  </si>
  <si>
    <t>th 314</t>
  </si>
  <si>
    <t>f469</t>
  </si>
  <si>
    <t>J-157</t>
  </si>
  <si>
    <t>th 315</t>
  </si>
  <si>
    <t>f470</t>
  </si>
  <si>
    <t>f471</t>
  </si>
  <si>
    <t>th 316</t>
  </si>
  <si>
    <t>f472</t>
  </si>
  <si>
    <t>J-158</t>
  </si>
  <si>
    <t>th 317</t>
  </si>
  <si>
    <t>f473</t>
  </si>
  <si>
    <t>f474</t>
  </si>
  <si>
    <t>th 318</t>
  </si>
  <si>
    <t>f475</t>
  </si>
  <si>
    <t>J-159</t>
  </si>
  <si>
    <t>th 319</t>
  </si>
  <si>
    <t>f476</t>
  </si>
  <si>
    <t>f477</t>
  </si>
  <si>
    <t>th 320</t>
  </si>
  <si>
    <t>f478</t>
  </si>
  <si>
    <t>J-160</t>
  </si>
  <si>
    <t>th 321</t>
  </si>
  <si>
    <t>f479</t>
  </si>
  <si>
    <t>f480</t>
  </si>
  <si>
    <t>th 322</t>
  </si>
  <si>
    <t>f481</t>
  </si>
  <si>
    <t>J-161</t>
  </si>
  <si>
    <t>th 323</t>
  </si>
  <si>
    <t>f482</t>
  </si>
  <si>
    <t>f483</t>
  </si>
  <si>
    <t>th 324</t>
  </si>
  <si>
    <t>f484</t>
  </si>
  <si>
    <t>J-162</t>
  </si>
  <si>
    <t>th 325</t>
  </si>
  <si>
    <t>f485</t>
  </si>
  <si>
    <t>f486</t>
  </si>
  <si>
    <t>th 326</t>
  </si>
  <si>
    <t>f487</t>
  </si>
  <si>
    <t>J-163</t>
  </si>
  <si>
    <t>th 327</t>
  </si>
  <si>
    <t>f488</t>
  </si>
  <si>
    <t>f489</t>
  </si>
  <si>
    <t>th 328</t>
  </si>
  <si>
    <t>f490</t>
  </si>
  <si>
    <t>J-164</t>
  </si>
  <si>
    <t>th 329</t>
  </si>
  <si>
    <t>f491</t>
  </si>
  <si>
    <t>f492</t>
  </si>
  <si>
    <t>th 330</t>
  </si>
  <si>
    <t>f493</t>
  </si>
  <si>
    <t>J-165</t>
  </si>
  <si>
    <t>th 331</t>
  </si>
  <si>
    <t>f494</t>
  </si>
  <si>
    <t>f495</t>
  </si>
  <si>
    <t>th 332</t>
  </si>
  <si>
    <t>f496</t>
  </si>
  <si>
    <t>J-166</t>
  </si>
  <si>
    <t>th 333</t>
  </si>
  <si>
    <t>f497</t>
  </si>
  <si>
    <t>f498</t>
  </si>
  <si>
    <t>th 334</t>
  </si>
  <si>
    <t>f499</t>
  </si>
  <si>
    <t>J-167</t>
  </si>
  <si>
    <t>th 335</t>
  </si>
  <si>
    <t>f500</t>
  </si>
  <si>
    <t>f501</t>
  </si>
  <si>
    <t>th 336</t>
  </si>
  <si>
    <t>f502</t>
  </si>
  <si>
    <t>J-168</t>
  </si>
  <si>
    <t>th 337</t>
  </si>
  <si>
    <t>f503</t>
  </si>
  <si>
    <t>f504</t>
  </si>
  <si>
    <t>th 338</t>
  </si>
  <si>
    <t>f505</t>
  </si>
  <si>
    <t>J-169</t>
  </si>
  <si>
    <t>th 339</t>
  </si>
  <si>
    <t>f506</t>
  </si>
  <si>
    <t>f507</t>
  </si>
  <si>
    <t>th 340</t>
  </si>
  <si>
    <t>f508</t>
  </si>
  <si>
    <t>J-170</t>
  </si>
  <si>
    <t>th 341</t>
  </si>
  <si>
    <t>f509</t>
  </si>
  <si>
    <t>f510</t>
  </si>
  <si>
    <t>th 342</t>
  </si>
  <si>
    <t>f511</t>
  </si>
  <si>
    <t>J-171</t>
  </si>
  <si>
    <t>th 343</t>
  </si>
  <si>
    <t>f512</t>
  </si>
  <si>
    <t>f513</t>
  </si>
  <si>
    <t>th 344</t>
  </si>
  <si>
    <t>f514</t>
  </si>
  <si>
    <t>J-172</t>
  </si>
  <si>
    <t>th 345</t>
  </si>
  <si>
    <t>f515</t>
  </si>
  <si>
    <t>f516</t>
  </si>
  <si>
    <t>th 346</t>
  </si>
  <si>
    <t>f517</t>
  </si>
  <si>
    <t>J-173</t>
  </si>
  <si>
    <t>th 347</t>
  </si>
  <si>
    <t>f518</t>
  </si>
  <si>
    <t>f519</t>
  </si>
  <si>
    <t>th 348</t>
  </si>
  <si>
    <t>f520</t>
  </si>
  <si>
    <t>J-174</t>
  </si>
  <si>
    <t>th 349</t>
  </si>
  <si>
    <t>f521</t>
  </si>
  <si>
    <t>f522</t>
  </si>
  <si>
    <t>th 350</t>
  </si>
  <si>
    <t>f523</t>
  </si>
  <si>
    <t>J-175</t>
  </si>
  <si>
    <t>th 351</t>
  </si>
  <si>
    <t>f524</t>
  </si>
  <si>
    <t>f525</t>
  </si>
  <si>
    <t>th 352</t>
  </si>
  <si>
    <t>f526</t>
  </si>
  <si>
    <t>J-176</t>
  </si>
  <si>
    <t>th 353</t>
  </si>
  <si>
    <t>f527</t>
  </si>
  <si>
    <t>f528</t>
  </si>
  <si>
    <t>th 354</t>
  </si>
  <si>
    <t>f529</t>
  </si>
  <si>
    <t>J-177</t>
  </si>
  <si>
    <t>th 355</t>
  </si>
  <si>
    <t>f530</t>
  </si>
  <si>
    <t>f531</t>
  </si>
  <si>
    <t>th 356</t>
  </si>
  <si>
    <t>f532</t>
  </si>
  <si>
    <t>J-178</t>
  </si>
  <si>
    <t>th 357</t>
  </si>
  <si>
    <t>f533</t>
  </si>
  <si>
    <t>f534</t>
  </si>
  <si>
    <t>th 358</t>
  </si>
  <si>
    <t>f535</t>
  </si>
  <si>
    <t>J-179</t>
  </si>
  <si>
    <t>th 359</t>
  </si>
  <si>
    <t>f536</t>
  </si>
  <si>
    <t>f537</t>
  </si>
  <si>
    <t>th 360</t>
  </si>
  <si>
    <t>f538</t>
  </si>
  <si>
    <t>J-180</t>
  </si>
  <si>
    <t>th 361</t>
  </si>
  <si>
    <t>f539</t>
  </si>
  <si>
    <t>f540</t>
  </si>
  <si>
    <t>th 362</t>
  </si>
  <si>
    <t>f541</t>
  </si>
  <si>
    <t>J-181</t>
  </si>
  <si>
    <t>th 363</t>
  </si>
  <si>
    <t>f542</t>
  </si>
  <si>
    <t>f543</t>
  </si>
  <si>
    <t>th 364</t>
  </si>
  <si>
    <t>f544</t>
  </si>
  <si>
    <t>J-182</t>
  </si>
  <si>
    <t>th 365</t>
  </si>
  <si>
    <t>f545</t>
  </si>
  <si>
    <t>f546</t>
  </si>
  <si>
    <t>th 366</t>
  </si>
  <si>
    <t>f547</t>
  </si>
  <si>
    <t>J-183</t>
  </si>
  <si>
    <t>th 367</t>
  </si>
  <si>
    <t>f548</t>
  </si>
  <si>
    <t>f549</t>
  </si>
  <si>
    <t>th 368</t>
  </si>
  <si>
    <t>f550</t>
  </si>
  <si>
    <t>J-184</t>
  </si>
  <si>
    <t>th 369</t>
  </si>
  <si>
    <t>f551</t>
  </si>
  <si>
    <t>f552</t>
  </si>
  <si>
    <t>th 370</t>
  </si>
  <si>
    <t>f553</t>
  </si>
  <si>
    <t>J-185</t>
  </si>
  <si>
    <t>th 371</t>
  </si>
  <si>
    <t>f554</t>
  </si>
  <si>
    <t>f555</t>
  </si>
  <si>
    <t>th 372</t>
  </si>
  <si>
    <t>f556</t>
  </si>
  <si>
    <t>J-186</t>
  </si>
  <si>
    <t>th 373</t>
  </si>
  <si>
    <t>f557</t>
  </si>
  <si>
    <t>f558</t>
  </si>
  <si>
    <t>th 374</t>
  </si>
  <si>
    <t>f559</t>
  </si>
  <si>
    <t>J-187</t>
  </si>
  <si>
    <t>th 375</t>
  </si>
  <si>
    <t>f560</t>
  </si>
  <si>
    <t>f561</t>
  </si>
  <si>
    <t>th 376</t>
  </si>
  <si>
    <t>f562</t>
  </si>
  <si>
    <t>J-188</t>
  </si>
  <si>
    <t>th 377</t>
  </si>
  <si>
    <t>f563</t>
  </si>
  <si>
    <t>f564</t>
  </si>
  <si>
    <t>th 378</t>
  </si>
  <si>
    <t>f565</t>
  </si>
  <si>
    <t>J-189</t>
  </si>
  <si>
    <t>th 379</t>
  </si>
  <si>
    <t>f566</t>
  </si>
  <si>
    <t>f567</t>
  </si>
  <si>
    <t>th 380</t>
  </si>
  <si>
    <t>f568</t>
  </si>
  <si>
    <t>J-190</t>
  </si>
  <si>
    <t>th 381</t>
  </si>
  <si>
    <t>f569</t>
  </si>
  <si>
    <t>f570</t>
  </si>
  <si>
    <t>th 382</t>
  </si>
  <si>
    <t>f571</t>
  </si>
  <si>
    <t>J-191</t>
  </si>
  <si>
    <t>th 383</t>
  </si>
  <si>
    <t>f572</t>
  </si>
  <si>
    <t>f573</t>
  </si>
  <si>
    <t>th 384</t>
  </si>
  <si>
    <t>f574</t>
  </si>
  <si>
    <t>J-192</t>
  </si>
  <si>
    <t>th 385</t>
  </si>
  <si>
    <t>f575</t>
  </si>
  <si>
    <t>f576</t>
  </si>
  <si>
    <t>th 386</t>
  </si>
  <si>
    <t>f577</t>
  </si>
  <si>
    <t>J-193</t>
  </si>
  <si>
    <t>th 387</t>
  </si>
  <si>
    <t>f578</t>
  </si>
  <si>
    <t>f579</t>
  </si>
  <si>
    <t>th 388</t>
  </si>
  <si>
    <t>f580</t>
  </si>
  <si>
    <t>J-194</t>
  </si>
  <si>
    <t>th 389</t>
  </si>
  <si>
    <t>f581</t>
  </si>
  <si>
    <t>f582</t>
  </si>
  <si>
    <t>th 390</t>
  </si>
  <si>
    <t>f583</t>
  </si>
  <si>
    <t>J-195</t>
  </si>
  <si>
    <t>th 391</t>
  </si>
  <si>
    <t>f584</t>
  </si>
  <si>
    <t>f585</t>
  </si>
  <si>
    <t>th 392</t>
  </si>
  <si>
    <t>f586</t>
  </si>
  <si>
    <t>J-196</t>
  </si>
  <si>
    <t>th 393</t>
  </si>
  <si>
    <t>f587</t>
  </si>
  <si>
    <t>f588</t>
  </si>
  <si>
    <t>th 394</t>
  </si>
  <si>
    <t>f589</t>
  </si>
  <si>
    <t>J-197</t>
  </si>
  <si>
    <t>th 395</t>
  </si>
  <si>
    <t>f590</t>
  </si>
  <si>
    <t>f591</t>
  </si>
  <si>
    <t>th 396</t>
  </si>
  <si>
    <t>f592</t>
  </si>
  <si>
    <t>J-198</t>
  </si>
  <si>
    <t>th 397</t>
  </si>
  <si>
    <t>f593</t>
  </si>
  <si>
    <t>f594</t>
  </si>
  <si>
    <t>th 398</t>
  </si>
  <si>
    <t>f595</t>
  </si>
  <si>
    <t>J-199</t>
  </si>
  <si>
    <t>th 399</t>
  </si>
  <si>
    <t>f596</t>
  </si>
  <si>
    <t>f597</t>
  </si>
  <si>
    <t>th 400</t>
  </si>
  <si>
    <t>f598</t>
  </si>
  <si>
    <t>J-200</t>
  </si>
  <si>
    <t>th 401</t>
  </si>
  <si>
    <t>f599</t>
  </si>
  <si>
    <t>f600</t>
  </si>
  <si>
    <t>th 402</t>
  </si>
  <si>
    <t>f601</t>
  </si>
  <si>
    <t>J-201</t>
  </si>
  <si>
    <t>th 403</t>
  </si>
  <si>
    <t>f602</t>
  </si>
  <si>
    <t>f603</t>
  </si>
  <si>
    <t>th 404</t>
  </si>
  <si>
    <t>f604</t>
  </si>
  <si>
    <t>J-202</t>
  </si>
  <si>
    <t>th 405</t>
  </si>
  <si>
    <t>f605</t>
  </si>
  <si>
    <t>f606</t>
  </si>
  <si>
    <t>th 406</t>
  </si>
  <si>
    <t>f607</t>
  </si>
  <si>
    <t>J-203</t>
  </si>
  <si>
    <t>th 407</t>
  </si>
  <si>
    <t>f608</t>
  </si>
  <si>
    <t>f609</t>
  </si>
  <si>
    <t>th 408</t>
  </si>
  <si>
    <t>f610</t>
  </si>
  <si>
    <t>J-204</t>
  </si>
  <si>
    <t>th 409</t>
  </si>
  <si>
    <t>f611</t>
  </si>
  <si>
    <t>f612</t>
  </si>
  <si>
    <t>th 410</t>
  </si>
  <si>
    <t>f613</t>
  </si>
  <si>
    <t>J-205</t>
  </si>
  <si>
    <t>th 411</t>
  </si>
  <si>
    <t>f614</t>
  </si>
  <si>
    <t>f615</t>
  </si>
  <si>
    <t>t</t>
  </si>
  <si>
    <t>theta2</t>
  </si>
  <si>
    <t>theta3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</si>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</sst>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Posición vs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Theta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Simulacion!$S$3:$S$63</c:f>
              <c:numCache>
                <c:formatCode>General</c:formatCode>
                <c:ptCount val="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</c:numCache>
            </c:numRef>
          </c:xVal>
          <c:yVal>
            <c:numRef>
              <c:f>Simulacion!$T$3:$T$63</c:f>
              <c:numCache>
                <c:formatCode>General</c:formatCode>
                <c:ptCount val="61"/>
                <c:pt idx="0">
                  <c:v>2.5000000000000005E-3</c:v>
                </c:pt>
                <c:pt idx="1">
                  <c:v>1.0000000000000004E-2</c:v>
                </c:pt>
                <c:pt idx="2">
                  <c:v>2.2500000000000006E-2</c:v>
                </c:pt>
                <c:pt idx="3">
                  <c:v>4.0000000000000008E-2</c:v>
                </c:pt>
                <c:pt idx="4">
                  <c:v>6.25E-2</c:v>
                </c:pt>
                <c:pt idx="5">
                  <c:v>0.09</c:v>
                </c:pt>
                <c:pt idx="6">
                  <c:v>0.09</c:v>
                </c:pt>
                <c:pt idx="7">
                  <c:v>0.12249999999999998</c:v>
                </c:pt>
                <c:pt idx="8">
                  <c:v>0.15999999999999998</c:v>
                </c:pt>
                <c:pt idx="9">
                  <c:v>0.20249999999999996</c:v>
                </c:pt>
                <c:pt idx="10">
                  <c:v>0.20249999999999996</c:v>
                </c:pt>
                <c:pt idx="11">
                  <c:v>0.24999999999999994</c:v>
                </c:pt>
                <c:pt idx="12">
                  <c:v>0.30249999999999994</c:v>
                </c:pt>
                <c:pt idx="13">
                  <c:v>0.36</c:v>
                </c:pt>
                <c:pt idx="14">
                  <c:v>0.36</c:v>
                </c:pt>
                <c:pt idx="15">
                  <c:v>0.42250000000000004</c:v>
                </c:pt>
                <c:pt idx="16">
                  <c:v>0.4900000000000001</c:v>
                </c:pt>
                <c:pt idx="17">
                  <c:v>0.56250000000000022</c:v>
                </c:pt>
                <c:pt idx="18">
                  <c:v>0.56250000000000022</c:v>
                </c:pt>
                <c:pt idx="19">
                  <c:v>0.64000000000000024</c:v>
                </c:pt>
                <c:pt idx="20">
                  <c:v>0.72250000000000036</c:v>
                </c:pt>
                <c:pt idx="21">
                  <c:v>0.81000000000000039</c:v>
                </c:pt>
                <c:pt idx="22">
                  <c:v>0.81000000000000039</c:v>
                </c:pt>
                <c:pt idx="23">
                  <c:v>0.90250000000000052</c:v>
                </c:pt>
                <c:pt idx="24">
                  <c:v>1.0000000000000004</c:v>
                </c:pt>
                <c:pt idx="25">
                  <c:v>1.1025000000000005</c:v>
                </c:pt>
                <c:pt idx="26">
                  <c:v>1.1025000000000005</c:v>
                </c:pt>
                <c:pt idx="27">
                  <c:v>1.2100000000000006</c:v>
                </c:pt>
                <c:pt idx="28">
                  <c:v>1.3225000000000009</c:v>
                </c:pt>
                <c:pt idx="29">
                  <c:v>1.4400000000000011</c:v>
                </c:pt>
                <c:pt idx="30">
                  <c:v>1.4400000000000011</c:v>
                </c:pt>
                <c:pt idx="31">
                  <c:v>1.5625000000000011</c:v>
                </c:pt>
                <c:pt idx="32">
                  <c:v>1.6900000000000013</c:v>
                </c:pt>
                <c:pt idx="33">
                  <c:v>1.8225000000000013</c:v>
                </c:pt>
                <c:pt idx="34">
                  <c:v>1.9600000000000015</c:v>
                </c:pt>
                <c:pt idx="35">
                  <c:v>1.9600000000000015</c:v>
                </c:pt>
                <c:pt idx="36">
                  <c:v>2.1025000000000018</c:v>
                </c:pt>
                <c:pt idx="37">
                  <c:v>2.2500000000000018</c:v>
                </c:pt>
                <c:pt idx="38">
                  <c:v>2.4025000000000021</c:v>
                </c:pt>
                <c:pt idx="39">
                  <c:v>2.4025000000000021</c:v>
                </c:pt>
                <c:pt idx="40">
                  <c:v>2.5600000000000023</c:v>
                </c:pt>
                <c:pt idx="41">
                  <c:v>2.7225000000000028</c:v>
                </c:pt>
                <c:pt idx="42">
                  <c:v>2.8900000000000028</c:v>
                </c:pt>
                <c:pt idx="43">
                  <c:v>2.8900000000000028</c:v>
                </c:pt>
                <c:pt idx="44">
                  <c:v>3.0625000000000031</c:v>
                </c:pt>
                <c:pt idx="45">
                  <c:v>3.2400000000000033</c:v>
                </c:pt>
                <c:pt idx="46">
                  <c:v>3.4225000000000034</c:v>
                </c:pt>
                <c:pt idx="47">
                  <c:v>3.4225000000000034</c:v>
                </c:pt>
                <c:pt idx="48">
                  <c:v>3.6100000000000039</c:v>
                </c:pt>
                <c:pt idx="49">
                  <c:v>3.8025000000000042</c:v>
                </c:pt>
                <c:pt idx="50">
                  <c:v>4.0000000000000036</c:v>
                </c:pt>
                <c:pt idx="51">
                  <c:v>4.0000000000000036</c:v>
                </c:pt>
                <c:pt idx="52">
                  <c:v>4.2025000000000032</c:v>
                </c:pt>
                <c:pt idx="53">
                  <c:v>4.4100000000000019</c:v>
                </c:pt>
                <c:pt idx="54">
                  <c:v>4.4100000000000019</c:v>
                </c:pt>
                <c:pt idx="55">
                  <c:v>4.6225000000000014</c:v>
                </c:pt>
                <c:pt idx="56">
                  <c:v>4.8400000000000007</c:v>
                </c:pt>
                <c:pt idx="57">
                  <c:v>4.8400000000000007</c:v>
                </c:pt>
                <c:pt idx="58">
                  <c:v>5.0625</c:v>
                </c:pt>
                <c:pt idx="59">
                  <c:v>5.0625</c:v>
                </c:pt>
                <c:pt idx="60">
                  <c:v>5.2899999999999991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94-4E93-A2E7-1EB34D385580}"/>
            </c:ext>
          </c:extLst>
        </c:ser>
        <c:ser>
          <c:idx val="1"/>
          <c:order val="1"/>
          <c:tx>
            <c:v>Theta3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Simulacion!$S$3:$S$63</c:f>
              <c:numCache>
                <c:formatCode>General</c:formatCode>
                <c:ptCount val="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</c:numCache>
            </c:numRef>
          </c:xVal>
          <c:yVal>
            <c:numRef>
              <c:f>Simulacion!$U$3:$U$63</c:f>
              <c:numCache>
                <c:formatCode>General</c:formatCode>
                <c:ptCount val="61"/>
                <c:pt idx="0">
                  <c:v>0.42840081759816623</c:v>
                </c:pt>
                <c:pt idx="1">
                  <c:v>0.42428221977402153</c:v>
                </c:pt>
                <c:pt idx="2">
                  <c:v>0.41743562869882966</c:v>
                </c:pt>
                <c:pt idx="3">
                  <c:v>0.40788856454907269</c:v>
                </c:pt>
                <c:pt idx="4">
                  <c:v>0.39568137634917055</c:v>
                </c:pt>
                <c:pt idx="5">
                  <c:v>0.38080910466026524</c:v>
                </c:pt>
                <c:pt idx="6">
                  <c:v>0.38086905734983828</c:v>
                </c:pt>
                <c:pt idx="7">
                  <c:v>0.36352357319280237</c:v>
                </c:pt>
                <c:pt idx="8">
                  <c:v>0.34373671455269056</c:v>
                </c:pt>
                <c:pt idx="9">
                  <c:v>0.32145468165634455</c:v>
                </c:pt>
                <c:pt idx="10">
                  <c:v>0.32162350069873913</c:v>
                </c:pt>
                <c:pt idx="11">
                  <c:v>0.29732610838619761</c:v>
                </c:pt>
                <c:pt idx="12">
                  <c:v>0.27101844329858554</c:v>
                </c:pt>
                <c:pt idx="13">
                  <c:v>0.24253414434967246</c:v>
                </c:pt>
                <c:pt idx="14">
                  <c:v>0.24291138107417384</c:v>
                </c:pt>
                <c:pt idx="15">
                  <c:v>0.21325851639933938</c:v>
                </c:pt>
                <c:pt idx="16">
                  <c:v>0.18236279248670748</c:v>
                </c:pt>
                <c:pt idx="17">
                  <c:v>0.14983894627969482</c:v>
                </c:pt>
                <c:pt idx="18">
                  <c:v>0.15058377812089027</c:v>
                </c:pt>
                <c:pt idx="19">
                  <c:v>0.11834500018744602</c:v>
                </c:pt>
                <c:pt idx="20">
                  <c:v>8.6142047592114621E-2</c:v>
                </c:pt>
                <c:pt idx="21">
                  <c:v>5.3200678496367323E-2</c:v>
                </c:pt>
                <c:pt idx="22">
                  <c:v>5.4550129744856256E-2</c:v>
                </c:pt>
                <c:pt idx="23">
                  <c:v>2.4229794896661591E-2</c:v>
                </c:pt>
                <c:pt idx="24">
                  <c:v>-4.0688271261942735E-3</c:v>
                </c:pt>
                <c:pt idx="25">
                  <c:v>-3.1759559355558943E-2</c:v>
                </c:pt>
                <c:pt idx="26">
                  <c:v>-2.9506896958953935E-2</c:v>
                </c:pt>
                <c:pt idx="27">
                  <c:v>-5.1163653203240858E-2</c:v>
                </c:pt>
                <c:pt idx="28">
                  <c:v>-6.8051787805088207E-2</c:v>
                </c:pt>
                <c:pt idx="29">
                  <c:v>-8.2523581252180359E-2</c:v>
                </c:pt>
                <c:pt idx="30">
                  <c:v>-7.9145108364088543E-2</c:v>
                </c:pt>
                <c:pt idx="31">
                  <c:v>-8.3412819402108956E-2</c:v>
                </c:pt>
                <c:pt idx="32">
                  <c:v>-7.9870049967225784E-2</c:v>
                </c:pt>
                <c:pt idx="33">
                  <c:v>-6.7628971092894952E-2</c:v>
                </c:pt>
                <c:pt idx="34">
                  <c:v>-5.0467919718376025E-2</c:v>
                </c:pt>
                <c:pt idx="35">
                  <c:v>-4.5955267405063512E-2</c:v>
                </c:pt>
                <c:pt idx="36">
                  <c:v>-1.4306098907126726E-2</c:v>
                </c:pt>
                <c:pt idx="37">
                  <c:v>2.7633330892404211E-2</c:v>
                </c:pt>
                <c:pt idx="38">
                  <c:v>7.5550117452240217E-2</c:v>
                </c:pt>
                <c:pt idx="39">
                  <c:v>7.9942996833805929E-2</c:v>
                </c:pt>
                <c:pt idx="40">
                  <c:v>0.14247043283957292</c:v>
                </c:pt>
                <c:pt idx="41">
                  <c:v>0.21484833568924994</c:v>
                </c:pt>
                <c:pt idx="42">
                  <c:v>0.29315233689436782</c:v>
                </c:pt>
                <c:pt idx="43">
                  <c:v>0.29651939392306714</c:v>
                </c:pt>
                <c:pt idx="44">
                  <c:v>0.38672959300381698</c:v>
                </c:pt>
                <c:pt idx="45">
                  <c:v>0.48452689947483657</c:v>
                </c:pt>
                <c:pt idx="46">
                  <c:v>0.58714895328179129</c:v>
                </c:pt>
                <c:pt idx="47">
                  <c:v>0.5887001309440133</c:v>
                </c:pt>
                <c:pt idx="48">
                  <c:v>0.69762522298776086</c:v>
                </c:pt>
                <c:pt idx="49">
                  <c:v>0.80897952611422386</c:v>
                </c:pt>
                <c:pt idx="50">
                  <c:v>0.92192181674070717</c:v>
                </c:pt>
                <c:pt idx="51">
                  <c:v>0.9191195449619749</c:v>
                </c:pt>
                <c:pt idx="52">
                  <c:v>1.0218331844116784</c:v>
                </c:pt>
                <c:pt idx="53">
                  <c:v>1.1059845011869818</c:v>
                </c:pt>
                <c:pt idx="54">
                  <c:v>1.1061509990168454</c:v>
                </c:pt>
                <c:pt idx="55">
                  <c:v>1.1546359739492533</c:v>
                </c:pt>
                <c:pt idx="56">
                  <c:v>1.1787853787975042</c:v>
                </c:pt>
                <c:pt idx="57">
                  <c:v>1.1496014016178533</c:v>
                </c:pt>
                <c:pt idx="58">
                  <c:v>1.0887011907158919</c:v>
                </c:pt>
                <c:pt idx="59">
                  <c:v>1.089367005190724</c:v>
                </c:pt>
                <c:pt idx="60">
                  <c:v>0.98913562039053982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94-4E93-A2E7-1EB34D385580}"/>
            </c:ext>
          </c:extLst>
        </c:ser>
        <c:ser>
          <c:idx val="2"/>
          <c:order val="2"/>
          <c:tx>
            <c:v>R1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Simulacion!$S$3:$S$63</c:f>
              <c:numCache>
                <c:formatCode>General</c:formatCode>
                <c:ptCount val="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</c:numCache>
            </c:numRef>
          </c:xVal>
          <c:yVal>
            <c:numRef>
              <c:f>Simulacion!$V$3:$V$63</c:f>
              <c:numCache>
                <c:formatCode>General</c:formatCode>
                <c:ptCount val="61"/>
                <c:pt idx="0">
                  <c:v>8.4577780623334462</c:v>
                </c:pt>
                <c:pt idx="1">
                  <c:v>8.4678567249630046</c:v>
                </c:pt>
                <c:pt idx="2">
                  <c:v>8.4840301741859054</c:v>
                </c:pt>
                <c:pt idx="3">
                  <c:v>8.5053628157054799</c:v>
                </c:pt>
                <c:pt idx="4">
                  <c:v>8.5305474417289204</c:v>
                </c:pt>
                <c:pt idx="5">
                  <c:v>8.5597884873055854</c:v>
                </c:pt>
                <c:pt idx="6">
                  <c:v>8.5579098016260975</c:v>
                </c:pt>
                <c:pt idx="7">
                  <c:v>8.5854172735393419</c:v>
                </c:pt>
                <c:pt idx="8">
                  <c:v>8.6106935364608077</c:v>
                </c:pt>
                <c:pt idx="9">
                  <c:v>8.6354357035051024</c:v>
                </c:pt>
                <c:pt idx="10">
                  <c:v>8.6310413367774661</c:v>
                </c:pt>
                <c:pt idx="11">
                  <c:v>8.6434768371645117</c:v>
                </c:pt>
                <c:pt idx="12">
                  <c:v>8.6447768352593162</c:v>
                </c:pt>
                <c:pt idx="13">
                  <c:v>8.6391411996373293</c:v>
                </c:pt>
                <c:pt idx="14">
                  <c:v>8.631541368872826</c:v>
                </c:pt>
                <c:pt idx="15">
                  <c:v>8.6002787821028193</c:v>
                </c:pt>
                <c:pt idx="16">
                  <c:v>8.5475072609989233</c:v>
                </c:pt>
                <c:pt idx="17">
                  <c:v>8.480534991585678</c:v>
                </c:pt>
                <c:pt idx="18">
                  <c:v>8.4698755221558901</c:v>
                </c:pt>
                <c:pt idx="19">
                  <c:v>8.3643196723378459</c:v>
                </c:pt>
                <c:pt idx="20">
                  <c:v>8.2282208910922545</c:v>
                </c:pt>
                <c:pt idx="21">
                  <c:v>8.0716406408317987</c:v>
                </c:pt>
                <c:pt idx="22">
                  <c:v>8.059570362392531</c:v>
                </c:pt>
                <c:pt idx="23">
                  <c:v>7.8571879688018234</c:v>
                </c:pt>
                <c:pt idx="24">
                  <c:v>7.6208682895892315</c:v>
                </c:pt>
                <c:pt idx="25">
                  <c:v>7.3614289111980868</c:v>
                </c:pt>
                <c:pt idx="26">
                  <c:v>7.3514882821783516</c:v>
                </c:pt>
                <c:pt idx="27">
                  <c:v>7.0512067583950344</c:v>
                </c:pt>
                <c:pt idx="28">
                  <c:v>6.7233977440967321</c:v>
                </c:pt>
                <c:pt idx="29">
                  <c:v>6.3757767298795747</c:v>
                </c:pt>
                <c:pt idx="30">
                  <c:v>6.3724890888943087</c:v>
                </c:pt>
                <c:pt idx="31">
                  <c:v>6.0040276991362562</c:v>
                </c:pt>
                <c:pt idx="32">
                  <c:v>5.6241077889307105</c:v>
                </c:pt>
                <c:pt idx="33">
                  <c:v>5.2391775639628237</c:v>
                </c:pt>
                <c:pt idx="34">
                  <c:v>4.8465776067042148</c:v>
                </c:pt>
                <c:pt idx="35">
                  <c:v>4.8553101607664848</c:v>
                </c:pt>
                <c:pt idx="36">
                  <c:v>4.4783783726982351</c:v>
                </c:pt>
                <c:pt idx="37">
                  <c:v>4.1132504041983164</c:v>
                </c:pt>
                <c:pt idx="38">
                  <c:v>3.7492763226050565</c:v>
                </c:pt>
                <c:pt idx="39">
                  <c:v>3.7635973583039481</c:v>
                </c:pt>
                <c:pt idx="40">
                  <c:v>3.4324431266625206</c:v>
                </c:pt>
                <c:pt idx="41">
                  <c:v>3.1217189638621767</c:v>
                </c:pt>
                <c:pt idx="42">
                  <c:v>2.8170267404966189</c:v>
                </c:pt>
                <c:pt idx="43">
                  <c:v>2.8326042455935752</c:v>
                </c:pt>
                <c:pt idx="44">
                  <c:v>2.5662634748856563</c:v>
                </c:pt>
                <c:pt idx="45">
                  <c:v>2.3239004590335162</c:v>
                </c:pt>
                <c:pt idx="46">
                  <c:v>2.090875324255336</c:v>
                </c:pt>
                <c:pt idx="47">
                  <c:v>2.1075661629292481</c:v>
                </c:pt>
                <c:pt idx="48">
                  <c:v>1.9213540707575734</c:v>
                </c:pt>
                <c:pt idx="49">
                  <c:v>1.773117392273863</c:v>
                </c:pt>
                <c:pt idx="50">
                  <c:v>1.646473659908402</c:v>
                </c:pt>
                <c:pt idx="51">
                  <c:v>1.6781916165574422</c:v>
                </c:pt>
                <c:pt idx="52">
                  <c:v>1.6665769549468266</c:v>
                </c:pt>
                <c:pt idx="53">
                  <c:v>1.7963423903853823</c:v>
                </c:pt>
                <c:pt idx="54">
                  <c:v>1.7952296334340738</c:v>
                </c:pt>
                <c:pt idx="55">
                  <c:v>2.1562055817498091</c:v>
                </c:pt>
                <c:pt idx="56">
                  <c:v>2.6735415974433709</c:v>
                </c:pt>
                <c:pt idx="57">
                  <c:v>2.8349022670249386</c:v>
                </c:pt>
                <c:pt idx="58">
                  <c:v>3.8117531563519313</c:v>
                </c:pt>
                <c:pt idx="59">
                  <c:v>3.8072853089231784</c:v>
                </c:pt>
                <c:pt idx="60">
                  <c:v>4.9345461079319541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94-4E93-A2E7-1EB34D385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474480"/>
        <c:axId val="1267469904"/>
      </c:scatterChart>
      <c:valAx>
        <c:axId val="12674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69904"/>
        <c:crosses val="autoZero"/>
        <c:crossBetween val="midCat"/>
      </c:valAx>
      <c:valAx>
        <c:axId val="12674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7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274320</xdr:colOff>
      <xdr:row>2</xdr:row>
      <xdr:rowOff>38100</xdr:rowOff>
    </xdr:from>
    <xdr:to>
      <xdr:col>28</xdr:col>
      <xdr:colOff>91440</xdr:colOff>
      <xdr:row>17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268273-EDB8-5387-0197-CDEFC2CBB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2585-2BB3-4742-98B0-A5C538936AAB}">
  <dimension ref="A1:V2382"/>
  <sheetViews>
    <sheetView tabSelected="1" topLeftCell="P1" workbookViewId="0">
      <selection activeCell="F5" sqref="F5"/>
    </sheetView>
  </sheetViews>
  <sheetFormatPr defaultColWidth="10.90625" defaultRowHeight="14.5" x14ac:dyDescent="0.35"/>
  <cols>
    <col min="4" max="4" width="4.1796875" customWidth="1"/>
    <col min="6" max="6" width="12.6328125" bestFit="1" customWidth="1"/>
    <col min="7" max="7" width="4.54296875" customWidth="1"/>
    <col min="11" max="11" width="3.6328125" customWidth="1"/>
    <col min="16" max="16" width="3.6328125" customWidth="1"/>
  </cols>
  <sheetData>
    <row r="1" spans="1:22" x14ac:dyDescent="0.35">
      <c r="A1" s="1" t="s">
        <v>0</v>
      </c>
      <c r="B1" s="2">
        <v>3</v>
      </c>
      <c r="C1" s="3"/>
    </row>
    <row r="2" spans="1:22" x14ac:dyDescent="0.35">
      <c r="A2" s="1" t="s">
        <v>1</v>
      </c>
      <c r="B2" s="2">
        <v>6</v>
      </c>
      <c r="C2" s="3"/>
      <c r="S2" t="s">
        <v>1244</v>
      </c>
      <c r="T2" t="s">
        <v>1245</v>
      </c>
      <c r="U2" t="s">
        <v>1246</v>
      </c>
      <c r="V2" t="s">
        <v>1247</v>
      </c>
    </row>
    <row r="3" spans="1:22" x14ac:dyDescent="0.35">
      <c r="A3" s="1" t="s">
        <v>2</v>
      </c>
      <c r="B3" s="2">
        <v>2.5</v>
      </c>
      <c r="C3" s="1" t="s">
        <v>3</v>
      </c>
      <c r="E3" s="1" t="s">
        <v>13</v>
      </c>
      <c r="F3" s="2">
        <v>0</v>
      </c>
      <c r="Q3">
        <v>27</v>
      </c>
      <c r="R3">
        <v>58</v>
      </c>
      <c r="S3">
        <v>0</v>
      </c>
      <c r="T3">
        <f>C56</f>
        <v>2.5000000000000005E-3</v>
      </c>
      <c r="U3">
        <f>C57</f>
        <v>0.42840081759816623</v>
      </c>
      <c r="V3">
        <f>B58</f>
        <v>8.4577780623334462</v>
      </c>
    </row>
    <row r="4" spans="1:22" x14ac:dyDescent="0.35">
      <c r="A4" s="1" t="s">
        <v>4</v>
      </c>
      <c r="B4" s="2">
        <v>90</v>
      </c>
      <c r="C4" s="2">
        <f>B4*PI()/180</f>
        <v>1.5707963267948966</v>
      </c>
      <c r="E4" s="1" t="s">
        <v>0</v>
      </c>
      <c r="F4" s="2">
        <v>0.5</v>
      </c>
      <c r="R4">
        <v>85</v>
      </c>
      <c r="S4">
        <v>0.1</v>
      </c>
      <c r="T4">
        <f>C83</f>
        <v>1.0000000000000004E-2</v>
      </c>
      <c r="U4">
        <f>C84</f>
        <v>0.42428221977402153</v>
      </c>
      <c r="V4">
        <f>B85</f>
        <v>8.4678567249630046</v>
      </c>
    </row>
    <row r="5" spans="1:22" x14ac:dyDescent="0.35">
      <c r="E5" s="3"/>
      <c r="F5" s="3"/>
      <c r="R5">
        <f>R4+27</f>
        <v>112</v>
      </c>
      <c r="S5">
        <v>0.2</v>
      </c>
      <c r="T5">
        <f>C110</f>
        <v>2.2500000000000006E-2</v>
      </c>
      <c r="U5">
        <f>C111</f>
        <v>0.41743562869882966</v>
      </c>
      <c r="V5">
        <f>B112</f>
        <v>8.4840301741859054</v>
      </c>
    </row>
    <row r="6" spans="1:22" x14ac:dyDescent="0.35">
      <c r="A6" s="1" t="s">
        <v>5</v>
      </c>
      <c r="B6" s="2">
        <v>0</v>
      </c>
      <c r="R6">
        <f>R5+27</f>
        <v>139</v>
      </c>
      <c r="S6">
        <v>0.3</v>
      </c>
      <c r="T6">
        <f>C137</f>
        <v>4.0000000000000008E-2</v>
      </c>
      <c r="U6">
        <f>C138</f>
        <v>0.40788856454907269</v>
      </c>
      <c r="V6">
        <f>B139</f>
        <v>8.5053628157054799</v>
      </c>
    </row>
    <row r="7" spans="1:22" x14ac:dyDescent="0.35">
      <c r="R7">
        <f>R6+$Q$3</f>
        <v>166</v>
      </c>
      <c r="S7">
        <v>0.4</v>
      </c>
      <c r="T7">
        <f>C164</f>
        <v>6.25E-2</v>
      </c>
      <c r="U7">
        <f>C165</f>
        <v>0.39568137634917055</v>
      </c>
      <c r="V7">
        <f>+B166</f>
        <v>8.5305474417289204</v>
      </c>
    </row>
    <row r="8" spans="1:22" x14ac:dyDescent="0.35">
      <c r="A8" s="5" t="s">
        <v>20</v>
      </c>
      <c r="R8">
        <f>R7+$Q$3</f>
        <v>193</v>
      </c>
      <c r="S8">
        <v>0.5</v>
      </c>
      <c r="T8">
        <f>C191</f>
        <v>0.09</v>
      </c>
      <c r="U8">
        <f>C192</f>
        <v>0.38080910466026524</v>
      </c>
      <c r="V8">
        <f>+B193</f>
        <v>8.5597884873055854</v>
      </c>
    </row>
    <row r="9" spans="1:22" x14ac:dyDescent="0.35">
      <c r="A9" s="1" t="s">
        <v>9</v>
      </c>
      <c r="B9" s="2">
        <v>0</v>
      </c>
      <c r="R9">
        <f t="shared" ref="R9:R37" si="0">R8+$Q$3</f>
        <v>220</v>
      </c>
      <c r="S9">
        <v>0.6</v>
      </c>
      <c r="T9">
        <f>C218</f>
        <v>0.09</v>
      </c>
      <c r="U9">
        <f>C219</f>
        <v>0.38086905734983828</v>
      </c>
      <c r="V9">
        <f>+B220</f>
        <v>8.5579098016260975</v>
      </c>
    </row>
    <row r="10" spans="1:22" x14ac:dyDescent="0.35">
      <c r="C10" s="1" t="s">
        <v>3</v>
      </c>
      <c r="R10">
        <f t="shared" si="0"/>
        <v>247</v>
      </c>
      <c r="S10">
        <v>0.7</v>
      </c>
      <c r="T10">
        <f>C245</f>
        <v>0.12249999999999998</v>
      </c>
      <c r="U10">
        <f>C246</f>
        <v>0.36352357319280237</v>
      </c>
      <c r="V10">
        <f>+B247</f>
        <v>8.5854172735393419</v>
      </c>
    </row>
    <row r="11" spans="1:22" x14ac:dyDescent="0.35">
      <c r="A11" s="1" t="s">
        <v>6</v>
      </c>
      <c r="B11" s="4">
        <v>0</v>
      </c>
      <c r="C11" s="2">
        <f>B11*PI()/180</f>
        <v>0</v>
      </c>
      <c r="E11" s="7" t="s">
        <v>10</v>
      </c>
      <c r="F11" s="6">
        <f>-B13*COS(B$6)+B$1*COS(C11)+B$2*COS(C12)-B$3*COS(C$4)</f>
        <v>5.3794288097926593E-2</v>
      </c>
      <c r="H11" s="11" t="s">
        <v>14</v>
      </c>
      <c r="I11" s="12"/>
      <c r="J11" s="13"/>
      <c r="L11" s="11" t="s">
        <v>17</v>
      </c>
      <c r="M11" s="12"/>
      <c r="N11" s="13"/>
      <c r="O11" s="14" t="s">
        <v>18</v>
      </c>
      <c r="Q11" s="16" t="s">
        <v>19</v>
      </c>
      <c r="R11">
        <f t="shared" si="0"/>
        <v>274</v>
      </c>
      <c r="S11">
        <v>0.8</v>
      </c>
      <c r="T11">
        <f>C272</f>
        <v>0.15999999999999998</v>
      </c>
      <c r="U11">
        <f>C273</f>
        <v>0.34373671455269056</v>
      </c>
      <c r="V11">
        <f>+B274</f>
        <v>8.6106935364608077</v>
      </c>
    </row>
    <row r="12" spans="1:22" x14ac:dyDescent="0.35">
      <c r="A12" s="1" t="s">
        <v>7</v>
      </c>
      <c r="B12" s="4">
        <v>24.63719</v>
      </c>
      <c r="C12" s="2">
        <f>B12*PI()/180</f>
        <v>0.43000008393942174</v>
      </c>
      <c r="E12" s="7" t="s">
        <v>11</v>
      </c>
      <c r="F12" s="6">
        <f>-B13*SIN(B$6)+B$1*SIN(C11)+B$2*SIN(C12)-B$3*SIN(C$4)</f>
        <v>1.2252723636123619E-3</v>
      </c>
      <c r="H12" s="8" t="s">
        <v>16</v>
      </c>
      <c r="I12" s="8" t="s">
        <v>15</v>
      </c>
      <c r="J12" s="9" t="s">
        <v>8</v>
      </c>
      <c r="L12" s="8" t="s">
        <v>16</v>
      </c>
      <c r="M12" s="8" t="s">
        <v>15</v>
      </c>
      <c r="N12" s="9" t="s">
        <v>8</v>
      </c>
      <c r="O12" s="15"/>
      <c r="Q12" s="17"/>
      <c r="R12">
        <f t="shared" si="0"/>
        <v>301</v>
      </c>
      <c r="S12">
        <v>0.9</v>
      </c>
      <c r="T12">
        <f>C299</f>
        <v>0.20249999999999996</v>
      </c>
      <c r="U12">
        <f>C300</f>
        <v>0.32145468165634455</v>
      </c>
      <c r="V12">
        <f>+B301</f>
        <v>8.6354357035051024</v>
      </c>
    </row>
    <row r="13" spans="1:22" x14ac:dyDescent="0.35">
      <c r="A13" s="1" t="s">
        <v>8</v>
      </c>
      <c r="B13" s="4">
        <v>8.4</v>
      </c>
      <c r="C13" s="2"/>
      <c r="E13" s="7" t="s">
        <v>12</v>
      </c>
      <c r="F13" s="6">
        <f>C11-F$3*B9-0.5*($F$4)*B9^2</f>
        <v>0</v>
      </c>
      <c r="H13" s="2">
        <f>-B$1*SIN(C11)</f>
        <v>0</v>
      </c>
      <c r="I13" s="2">
        <f>-B$2*SIN(C12)</f>
        <v>-2.5012252723636124</v>
      </c>
      <c r="J13" s="2">
        <f>-COS(B$6)</f>
        <v>-1</v>
      </c>
      <c r="L13" s="2" cm="1">
        <f t="array" ref="L13:N15">MINVERSE(H13:J15)</f>
        <v>0</v>
      </c>
      <c r="M13" s="2">
        <v>0</v>
      </c>
      <c r="N13" s="2">
        <v>1.0000000000000002</v>
      </c>
      <c r="O13" s="10">
        <f>-F11</f>
        <v>-5.3794288097926593E-2</v>
      </c>
      <c r="Q13" s="2" cm="1">
        <f t="array" ref="Q13:Q15">MMULT(L13:N15,O13:O15)</f>
        <v>0</v>
      </c>
      <c r="R13">
        <f t="shared" si="0"/>
        <v>328</v>
      </c>
      <c r="S13">
        <v>1</v>
      </c>
      <c r="T13">
        <f>C326</f>
        <v>0.20249999999999996</v>
      </c>
      <c r="U13">
        <f>C327</f>
        <v>0.32162350069873913</v>
      </c>
      <c r="V13">
        <f>+B328</f>
        <v>8.6310413367774661</v>
      </c>
    </row>
    <row r="14" spans="1:22" x14ac:dyDescent="0.35">
      <c r="H14" s="2">
        <f>B$1*COS(C11)</f>
        <v>3</v>
      </c>
      <c r="I14" s="2">
        <f>B$2*COS(C12)</f>
        <v>5.4537942880979271</v>
      </c>
      <c r="J14" s="2">
        <f>-SIN(B$6)</f>
        <v>0</v>
      </c>
      <c r="L14" s="2">
        <v>0</v>
      </c>
      <c r="M14" s="2">
        <v>0.18335858434967878</v>
      </c>
      <c r="N14" s="2">
        <v>-0.55007575304903633</v>
      </c>
      <c r="O14" s="10">
        <f>-F12</f>
        <v>-1.2252723636123619E-3</v>
      </c>
      <c r="Q14" s="2">
        <v>-2.2466420603474755E-4</v>
      </c>
      <c r="R14">
        <f t="shared" si="0"/>
        <v>355</v>
      </c>
      <c r="S14">
        <v>1.1000000000000001</v>
      </c>
      <c r="T14">
        <f>C353</f>
        <v>0.24999999999999994</v>
      </c>
      <c r="U14">
        <f>C354</f>
        <v>0.29732610838619761</v>
      </c>
      <c r="V14">
        <f>+B355</f>
        <v>8.6434768371645117</v>
      </c>
    </row>
    <row r="15" spans="1:22" x14ac:dyDescent="0.35">
      <c r="H15" s="2">
        <v>1</v>
      </c>
      <c r="I15" s="2">
        <v>0</v>
      </c>
      <c r="J15" s="2">
        <v>0</v>
      </c>
      <c r="L15" s="2">
        <v>-1</v>
      </c>
      <c r="M15" s="2">
        <v>-0.45862112508023167</v>
      </c>
      <c r="N15" s="2">
        <v>1.375863375240695</v>
      </c>
      <c r="O15" s="10">
        <f>-F13</f>
        <v>0</v>
      </c>
      <c r="Q15" s="2">
        <v>5.4356223887856207E-2</v>
      </c>
      <c r="R15">
        <f t="shared" si="0"/>
        <v>382</v>
      </c>
      <c r="S15">
        <v>1.2</v>
      </c>
      <c r="T15">
        <f>C380</f>
        <v>0.30249999999999994</v>
      </c>
      <c r="U15">
        <f>C381</f>
        <v>0.27101844329858554</v>
      </c>
      <c r="V15">
        <f>+B382</f>
        <v>8.6447768352593162</v>
      </c>
    </row>
    <row r="16" spans="1:22" x14ac:dyDescent="0.35">
      <c r="R16">
        <f t="shared" si="0"/>
        <v>409</v>
      </c>
      <c r="S16">
        <v>1.3</v>
      </c>
      <c r="T16">
        <f>C407</f>
        <v>0.36</v>
      </c>
      <c r="U16">
        <f>C408</f>
        <v>0.24253414434967246</v>
      </c>
      <c r="V16">
        <f>+B409</f>
        <v>8.6391411996373293</v>
      </c>
    </row>
    <row r="17" spans="1:22" x14ac:dyDescent="0.35">
      <c r="R17">
        <f t="shared" si="0"/>
        <v>436</v>
      </c>
      <c r="S17">
        <v>1.4</v>
      </c>
      <c r="T17">
        <f>C434</f>
        <v>0.36</v>
      </c>
      <c r="U17">
        <f>C435</f>
        <v>0.24291138107417384</v>
      </c>
      <c r="V17">
        <f>+B436</f>
        <v>8.631541368872826</v>
      </c>
    </row>
    <row r="18" spans="1:22" x14ac:dyDescent="0.35">
      <c r="A18" s="1" t="s">
        <v>9</v>
      </c>
      <c r="B18" s="2">
        <v>0</v>
      </c>
      <c r="R18">
        <f t="shared" si="0"/>
        <v>463</v>
      </c>
      <c r="S18">
        <v>1.5</v>
      </c>
      <c r="T18">
        <f>C461</f>
        <v>0.42250000000000004</v>
      </c>
      <c r="U18">
        <f>C462</f>
        <v>0.21325851639933938</v>
      </c>
      <c r="V18">
        <f>+B463</f>
        <v>8.6002787821028193</v>
      </c>
    </row>
    <row r="19" spans="1:22" x14ac:dyDescent="0.35">
      <c r="C19" s="1" t="s">
        <v>3</v>
      </c>
      <c r="R19">
        <f t="shared" si="0"/>
        <v>490</v>
      </c>
      <c r="S19">
        <v>1.6</v>
      </c>
      <c r="T19">
        <f>C488</f>
        <v>0.4900000000000001</v>
      </c>
      <c r="U19">
        <f>C489</f>
        <v>0.18236279248670748</v>
      </c>
      <c r="V19">
        <f>+B490</f>
        <v>8.5475072609989233</v>
      </c>
    </row>
    <row r="20" spans="1:22" x14ac:dyDescent="0.35">
      <c r="A20" s="1" t="s">
        <v>6</v>
      </c>
      <c r="B20" s="4">
        <f>C20*180/PI()</f>
        <v>0</v>
      </c>
      <c r="C20" s="2">
        <f>C11+Q13</f>
        <v>0</v>
      </c>
      <c r="E20" s="7" t="s">
        <v>10</v>
      </c>
      <c r="F20" s="6">
        <f>-B22*COS(B$6)+B$1*COS(C20)+B$2*COS(C21)-B$3*COS(C$4)</f>
        <v>-1.3764214849880602E-7</v>
      </c>
      <c r="H20" s="11" t="s">
        <v>14</v>
      </c>
      <c r="I20" s="12"/>
      <c r="J20" s="13"/>
      <c r="L20" s="11" t="s">
        <v>17</v>
      </c>
      <c r="M20" s="12"/>
      <c r="N20" s="13"/>
      <c r="O20" s="14" t="s">
        <v>18</v>
      </c>
      <c r="Q20" s="16" t="s">
        <v>19</v>
      </c>
      <c r="R20">
        <f t="shared" si="0"/>
        <v>517</v>
      </c>
      <c r="S20">
        <v>1.7</v>
      </c>
      <c r="T20">
        <f>C515</f>
        <v>0.56250000000000022</v>
      </c>
      <c r="U20">
        <f>C516</f>
        <v>0.14983894627969482</v>
      </c>
      <c r="V20">
        <f>+B517</f>
        <v>8.480534991585678</v>
      </c>
    </row>
    <row r="21" spans="1:22" x14ac:dyDescent="0.35">
      <c r="A21" s="1" t="s">
        <v>7</v>
      </c>
      <c r="B21" s="4">
        <f>C21*180/PI()</f>
        <v>24.624317689186551</v>
      </c>
      <c r="C21" s="2">
        <f>C12+Q14</f>
        <v>0.42977541973338701</v>
      </c>
      <c r="E21" s="7" t="s">
        <v>11</v>
      </c>
      <c r="F21" s="6">
        <f>-B22*SIN(B$6)+B$1*SIN(C20)+B$2*SIN(C21)-B$3*SIN(C$4)</f>
        <v>-6.3113121395730332E-8</v>
      </c>
      <c r="H21" s="8" t="s">
        <v>16</v>
      </c>
      <c r="I21" s="8" t="s">
        <v>15</v>
      </c>
      <c r="J21" s="9" t="s">
        <v>8</v>
      </c>
      <c r="L21" s="8" t="s">
        <v>16</v>
      </c>
      <c r="M21" s="8" t="s">
        <v>15</v>
      </c>
      <c r="N21" s="9" t="s">
        <v>8</v>
      </c>
      <c r="O21" s="15"/>
      <c r="Q21" s="17"/>
      <c r="R21">
        <f t="shared" si="0"/>
        <v>544</v>
      </c>
      <c r="S21">
        <v>1.8</v>
      </c>
      <c r="T21">
        <f>C542</f>
        <v>0.56250000000000022</v>
      </c>
      <c r="U21">
        <f>C543</f>
        <v>0.15058377812089027</v>
      </c>
      <c r="V21">
        <f>+B544</f>
        <v>8.4698755221558901</v>
      </c>
    </row>
    <row r="22" spans="1:22" x14ac:dyDescent="0.35">
      <c r="A22" s="1" t="s">
        <v>8</v>
      </c>
      <c r="B22" s="4">
        <f>B13+Q15</f>
        <v>8.4543562238878565</v>
      </c>
      <c r="C22" s="2"/>
      <c r="E22" s="7" t="s">
        <v>12</v>
      </c>
      <c r="F22" s="6">
        <f>C20-F$3*B18-0.5*(F4)*B18^2</f>
        <v>0</v>
      </c>
      <c r="H22" s="2">
        <f>-B$1*SIN(C20)</f>
        <v>0</v>
      </c>
      <c r="I22" s="2">
        <f>-B$2*SIN(C21)</f>
        <v>-2.4999999368868786</v>
      </c>
      <c r="J22" s="2">
        <f>-COS(B$6)</f>
        <v>-1</v>
      </c>
      <c r="L22" s="2" cm="1">
        <f t="array" ref="L22:N24">MINVERSE(H22:J24)</f>
        <v>0</v>
      </c>
      <c r="M22" s="2">
        <v>7.4014868308343765E-17</v>
      </c>
      <c r="N22" s="2">
        <v>0.99999999999999989</v>
      </c>
      <c r="O22" s="10">
        <f>-F20</f>
        <v>1.3764214849880602E-7</v>
      </c>
      <c r="Q22" s="2" cm="1">
        <f t="array" ref="Q22:Q24">MMULT(L22:N24,O22:O24)</f>
        <v>4.671309368633494E-24</v>
      </c>
      <c r="R22">
        <f t="shared" si="0"/>
        <v>571</v>
      </c>
      <c r="S22">
        <v>1.9</v>
      </c>
      <c r="T22">
        <f>C569</f>
        <v>0.64000000000000024</v>
      </c>
      <c r="U22">
        <f>C570</f>
        <v>0.11834500018744602</v>
      </c>
      <c r="V22">
        <f>+B571</f>
        <v>8.3643196723378459</v>
      </c>
    </row>
    <row r="23" spans="1:22" x14ac:dyDescent="0.35">
      <c r="H23" s="2">
        <f>B$1*COS(C20)</f>
        <v>3</v>
      </c>
      <c r="I23" s="2">
        <f>B$2*COS(C21)</f>
        <v>5.4543560862457081</v>
      </c>
      <c r="J23" s="2">
        <f>-SIN(B$6)</f>
        <v>0</v>
      </c>
      <c r="L23" s="2">
        <v>0</v>
      </c>
      <c r="M23" s="2">
        <v>0.18333969843327749</v>
      </c>
      <c r="N23" s="2">
        <v>-0.55001909529983251</v>
      </c>
      <c r="O23" s="10">
        <f>-F21</f>
        <v>6.3113121395730332E-8</v>
      </c>
      <c r="Q23" s="2">
        <v>1.1571140643876032E-8</v>
      </c>
      <c r="R23">
        <f t="shared" si="0"/>
        <v>598</v>
      </c>
      <c r="S23">
        <v>2</v>
      </c>
      <c r="T23">
        <f>C596</f>
        <v>0.72250000000000036</v>
      </c>
      <c r="U23">
        <f>C597</f>
        <v>8.6142047592114621E-2</v>
      </c>
      <c r="V23">
        <f>+B598</f>
        <v>8.2282208910922545</v>
      </c>
    </row>
    <row r="24" spans="1:22" x14ac:dyDescent="0.35">
      <c r="H24" s="2">
        <v>1</v>
      </c>
      <c r="I24" s="2">
        <v>0</v>
      </c>
      <c r="J24" s="2">
        <v>0</v>
      </c>
      <c r="L24" s="2">
        <v>-1</v>
      </c>
      <c r="M24" s="2">
        <v>-0.45834923451205312</v>
      </c>
      <c r="N24" s="2">
        <v>1.3750477035361595</v>
      </c>
      <c r="O24" s="10">
        <f>-F22</f>
        <v>0</v>
      </c>
      <c r="Q24" s="2">
        <v>-1.665699993782053E-7</v>
      </c>
      <c r="R24">
        <f t="shared" si="0"/>
        <v>625</v>
      </c>
      <c r="S24">
        <v>2.1</v>
      </c>
      <c r="T24">
        <f>C623</f>
        <v>0.81000000000000039</v>
      </c>
      <c r="U24">
        <f>C624</f>
        <v>5.3200678496367323E-2</v>
      </c>
      <c r="V24">
        <f>+B625</f>
        <v>8.0716406408317987</v>
      </c>
    </row>
    <row r="25" spans="1:22" x14ac:dyDescent="0.35">
      <c r="R25">
        <f t="shared" si="0"/>
        <v>652</v>
      </c>
      <c r="S25">
        <v>2.2000000000000002</v>
      </c>
      <c r="T25">
        <f>C650</f>
        <v>0.81000000000000039</v>
      </c>
      <c r="U25">
        <f>C651</f>
        <v>5.4550129744856256E-2</v>
      </c>
      <c r="V25">
        <f>+B652</f>
        <v>8.059570362392531</v>
      </c>
    </row>
    <row r="26" spans="1:22" x14ac:dyDescent="0.35">
      <c r="R26">
        <f t="shared" si="0"/>
        <v>679</v>
      </c>
      <c r="S26">
        <v>2.2999999999999998</v>
      </c>
      <c r="T26">
        <f>C677</f>
        <v>0.90250000000000052</v>
      </c>
      <c r="U26">
        <f>C678</f>
        <v>2.4229794896661591E-2</v>
      </c>
      <c r="V26">
        <f>+B679</f>
        <v>7.8571879688018234</v>
      </c>
    </row>
    <row r="27" spans="1:22" x14ac:dyDescent="0.35">
      <c r="A27" s="1" t="s">
        <v>9</v>
      </c>
      <c r="B27" s="2">
        <f>IF(AND((B18 = B9), ABS(B22-B13) &lt; 0.001),B18+0.1,B18)</f>
        <v>0</v>
      </c>
      <c r="R27">
        <f t="shared" si="0"/>
        <v>706</v>
      </c>
      <c r="S27">
        <v>2.4</v>
      </c>
      <c r="T27">
        <f>C704</f>
        <v>1.0000000000000004</v>
      </c>
      <c r="U27">
        <f>C705</f>
        <v>-4.0688271261942735E-3</v>
      </c>
      <c r="V27">
        <f>+B706</f>
        <v>7.6208682895892315</v>
      </c>
    </row>
    <row r="28" spans="1:22" x14ac:dyDescent="0.35">
      <c r="C28" s="1" t="s">
        <v>3</v>
      </c>
      <c r="R28">
        <f t="shared" si="0"/>
        <v>733</v>
      </c>
      <c r="S28">
        <v>2.5</v>
      </c>
      <c r="T28">
        <f>C731</f>
        <v>1.1025000000000005</v>
      </c>
      <c r="U28">
        <f>C732</f>
        <v>-3.1759559355558943E-2</v>
      </c>
      <c r="V28">
        <f>+B733</f>
        <v>7.3614289111980868</v>
      </c>
    </row>
    <row r="29" spans="1:22" x14ac:dyDescent="0.35">
      <c r="A29" s="1" t="s">
        <v>6</v>
      </c>
      <c r="B29" s="4">
        <f>C29*180/PI()</f>
        <v>2.6764631162262045E-22</v>
      </c>
      <c r="C29" s="2">
        <f>C20+Q22</f>
        <v>4.671309368633494E-24</v>
      </c>
      <c r="E29" s="7" t="s">
        <v>10</v>
      </c>
      <c r="F29" s="6">
        <f>-B31*COS(B$6)+B$1*COS(C29)+B$2*COS(C30)-B$3*COS(C$4)</f>
        <v>-1.0413219765637027E-15</v>
      </c>
      <c r="H29" s="11" t="s">
        <v>14</v>
      </c>
      <c r="I29" s="12"/>
      <c r="J29" s="13"/>
      <c r="L29" s="11" t="s">
        <v>17</v>
      </c>
      <c r="M29" s="12"/>
      <c r="N29" s="13"/>
      <c r="O29" s="14" t="s">
        <v>18</v>
      </c>
      <c r="Q29" s="16" t="s">
        <v>19</v>
      </c>
      <c r="R29">
        <f t="shared" si="0"/>
        <v>760</v>
      </c>
      <c r="S29">
        <v>2.6</v>
      </c>
      <c r="T29">
        <f>C758</f>
        <v>1.1025000000000005</v>
      </c>
      <c r="U29">
        <f>C759</f>
        <v>-2.9506896958953935E-2</v>
      </c>
      <c r="V29">
        <f>+B760</f>
        <v>7.3514882821783516</v>
      </c>
    </row>
    <row r="30" spans="1:22" x14ac:dyDescent="0.35">
      <c r="A30" s="1" t="s">
        <v>7</v>
      </c>
      <c r="B30" s="4">
        <f>C30*180/PI()</f>
        <v>24.624318352164078</v>
      </c>
      <c r="C30" s="2">
        <f>C21+Q23</f>
        <v>0.42977543130452767</v>
      </c>
      <c r="E30" s="7" t="s">
        <v>11</v>
      </c>
      <c r="F30" s="6">
        <f>-B31*SIN(B$6)+B$1*SIN(C29)+B$2*SIN(C30)-B$3*SIN(C$4)</f>
        <v>0</v>
      </c>
      <c r="H30" s="8" t="s">
        <v>16</v>
      </c>
      <c r="I30" s="8" t="s">
        <v>15</v>
      </c>
      <c r="J30" s="9" t="s">
        <v>8</v>
      </c>
      <c r="L30" s="8" t="s">
        <v>16</v>
      </c>
      <c r="M30" s="8" t="s">
        <v>15</v>
      </c>
      <c r="N30" s="9" t="s">
        <v>8</v>
      </c>
      <c r="O30" s="15"/>
      <c r="Q30" s="17"/>
      <c r="R30">
        <f t="shared" si="0"/>
        <v>787</v>
      </c>
      <c r="S30">
        <v>2.7</v>
      </c>
      <c r="T30">
        <f>C785</f>
        <v>1.2100000000000006</v>
      </c>
      <c r="U30">
        <f>C786</f>
        <v>-5.1163653203240858E-2</v>
      </c>
      <c r="V30">
        <f>+B787</f>
        <v>7.0512067583950344</v>
      </c>
    </row>
    <row r="31" spans="1:22" x14ac:dyDescent="0.35">
      <c r="A31" s="1" t="s">
        <v>8</v>
      </c>
      <c r="B31" s="4">
        <f>B22+Q24</f>
        <v>8.4543560573178578</v>
      </c>
      <c r="C31" s="2"/>
      <c r="E31" s="7" t="s">
        <v>12</v>
      </c>
      <c r="F31" s="6">
        <f>C29-F$3*B27-0.5*(F$4)*B27^2</f>
        <v>4.671309368633494E-24</v>
      </c>
      <c r="H31" s="2">
        <f>-B$1*SIN(C29)</f>
        <v>-1.4013928105900482E-23</v>
      </c>
      <c r="I31" s="2">
        <f>-B$2*SIN(C30)</f>
        <v>-2.5</v>
      </c>
      <c r="J31" s="2">
        <f>-COS(B$6)</f>
        <v>-1</v>
      </c>
      <c r="L31" s="2" cm="1">
        <f t="array" ref="L31:N33">MINVERSE(H31:J33)</f>
        <v>0</v>
      </c>
      <c r="M31" s="2">
        <v>0</v>
      </c>
      <c r="N31" s="2">
        <v>1</v>
      </c>
      <c r="O31" s="10">
        <f>-F29</f>
        <v>1.0413219765637027E-15</v>
      </c>
      <c r="Q31" s="2" cm="1">
        <f t="array" ref="Q31:Q33">MMULT(L31:N33,O31:O33)</f>
        <v>-4.671309368633494E-24</v>
      </c>
      <c r="R31">
        <f t="shared" si="0"/>
        <v>814</v>
      </c>
      <c r="S31">
        <v>2.8</v>
      </c>
      <c r="T31">
        <f>C812</f>
        <v>1.3225000000000009</v>
      </c>
      <c r="U31">
        <f>C813</f>
        <v>-6.8051787805088207E-2</v>
      </c>
      <c r="V31">
        <f>+B814</f>
        <v>6.7233977440967321</v>
      </c>
    </row>
    <row r="32" spans="1:22" x14ac:dyDescent="0.35">
      <c r="H32" s="2">
        <f>B$1*COS(C29)</f>
        <v>3</v>
      </c>
      <c r="I32" s="2">
        <f>B$2*COS(C30)</f>
        <v>5.4543560573178569</v>
      </c>
      <c r="J32" s="2">
        <f>-SIN(B$6)</f>
        <v>0</v>
      </c>
      <c r="L32" s="2">
        <v>0</v>
      </c>
      <c r="M32" s="2">
        <v>0.18333969940564226</v>
      </c>
      <c r="N32" s="2">
        <v>-0.55001909821692685</v>
      </c>
      <c r="O32" s="10">
        <f>-F30</f>
        <v>0</v>
      </c>
      <c r="Q32" s="2">
        <v>2.5693093664280764E-24</v>
      </c>
      <c r="R32">
        <f t="shared" si="0"/>
        <v>841</v>
      </c>
      <c r="S32">
        <v>2.9</v>
      </c>
      <c r="T32">
        <f>C839</f>
        <v>1.4400000000000011</v>
      </c>
      <c r="U32">
        <f>C840</f>
        <v>-8.2523581252180359E-2</v>
      </c>
      <c r="V32">
        <f>+B841</f>
        <v>6.3757767298795747</v>
      </c>
    </row>
    <row r="33" spans="1:22" x14ac:dyDescent="0.35">
      <c r="H33" s="2">
        <v>1</v>
      </c>
      <c r="I33" s="2">
        <v>0</v>
      </c>
      <c r="J33" s="2">
        <v>0</v>
      </c>
      <c r="L33" s="2">
        <v>-1</v>
      </c>
      <c r="M33" s="2">
        <v>-0.45834924851410563</v>
      </c>
      <c r="N33" s="2">
        <v>1.3750477455423171</v>
      </c>
      <c r="O33" s="10">
        <f>-F31</f>
        <v>-4.671309368633494E-24</v>
      </c>
      <c r="Q33" s="2">
        <v>-1.0413219829869762E-15</v>
      </c>
      <c r="R33">
        <f t="shared" si="0"/>
        <v>868</v>
      </c>
      <c r="S33">
        <v>3</v>
      </c>
      <c r="T33">
        <f>C866</f>
        <v>1.4400000000000011</v>
      </c>
      <c r="U33">
        <f>C867</f>
        <v>-7.9145108364088543E-2</v>
      </c>
      <c r="V33">
        <f>+B868</f>
        <v>6.3724890888943087</v>
      </c>
    </row>
    <row r="34" spans="1:22" x14ac:dyDescent="0.35">
      <c r="R34">
        <f t="shared" si="0"/>
        <v>895</v>
      </c>
      <c r="S34">
        <v>3.1</v>
      </c>
      <c r="T34">
        <f>C893</f>
        <v>1.5625000000000011</v>
      </c>
      <c r="U34">
        <f>C894</f>
        <v>-8.3412819402108956E-2</v>
      </c>
      <c r="V34">
        <f>+B895</f>
        <v>6.0040276991362562</v>
      </c>
    </row>
    <row r="35" spans="1:22" x14ac:dyDescent="0.35">
      <c r="R35">
        <f t="shared" si="0"/>
        <v>922</v>
      </c>
      <c r="S35">
        <v>3.2</v>
      </c>
      <c r="T35">
        <f>C920</f>
        <v>1.6900000000000013</v>
      </c>
      <c r="U35">
        <f>C921</f>
        <v>-7.9870049967225784E-2</v>
      </c>
      <c r="V35">
        <f>+B922</f>
        <v>5.6241077889307105</v>
      </c>
    </row>
    <row r="36" spans="1:22" x14ac:dyDescent="0.35">
      <c r="A36" s="1" t="s">
        <v>9</v>
      </c>
      <c r="B36" s="2">
        <f t="shared" ref="B36" si="1">IF(AND((B27 = B18), ABS(B31-B22) &lt; 0.001),B27+0.1,B27)</f>
        <v>0.1</v>
      </c>
      <c r="R36">
        <f t="shared" si="0"/>
        <v>949</v>
      </c>
      <c r="S36">
        <v>3.3</v>
      </c>
      <c r="T36">
        <f>C947</f>
        <v>1.8225000000000013</v>
      </c>
      <c r="U36">
        <f>+C948</f>
        <v>-6.7628971092894952E-2</v>
      </c>
      <c r="V36">
        <f>+B949</f>
        <v>5.2391775639628237</v>
      </c>
    </row>
    <row r="37" spans="1:22" x14ac:dyDescent="0.35">
      <c r="C37" s="1" t="s">
        <v>3</v>
      </c>
      <c r="R37">
        <f t="shared" si="0"/>
        <v>976</v>
      </c>
      <c r="S37">
        <v>3.4</v>
      </c>
      <c r="T37">
        <f>C974</f>
        <v>1.9600000000000015</v>
      </c>
      <c r="U37">
        <f>+C975</f>
        <v>-5.0467919718376025E-2</v>
      </c>
      <c r="V37">
        <f>+B976</f>
        <v>4.8465776067042148</v>
      </c>
    </row>
    <row r="38" spans="1:22" x14ac:dyDescent="0.35">
      <c r="A38" s="1" t="s">
        <v>4</v>
      </c>
      <c r="B38" s="4">
        <f t="shared" ref="B38:B39" si="2">C38*180/PI()</f>
        <v>0</v>
      </c>
      <c r="C38" s="2">
        <f t="shared" ref="C38:C39" si="3">C29+Q31</f>
        <v>0</v>
      </c>
      <c r="E38" s="7" t="s">
        <v>65</v>
      </c>
      <c r="F38" s="6">
        <f t="shared" ref="F38" si="4">-B40*COS(B$6)+B$1*COS(C38)+B$2*COS(C39)-B$3*COS(C$4)</f>
        <v>7.3503486283654773E-16</v>
      </c>
      <c r="H38" s="11" t="s">
        <v>14</v>
      </c>
      <c r="I38" s="12"/>
      <c r="J38" s="13"/>
      <c r="L38" s="11" t="s">
        <v>21</v>
      </c>
      <c r="M38" s="12"/>
      <c r="N38" s="13"/>
      <c r="O38" s="14" t="s">
        <v>18</v>
      </c>
      <c r="Q38" s="16" t="s">
        <v>19</v>
      </c>
      <c r="R38">
        <f>R37+$Q$3</f>
        <v>1003</v>
      </c>
      <c r="S38">
        <v>3.5</v>
      </c>
      <c r="T38">
        <f>C1001</f>
        <v>1.9600000000000015</v>
      </c>
      <c r="U38">
        <f>+C1002</f>
        <v>-4.5955267405063512E-2</v>
      </c>
      <c r="V38">
        <f>+B1003</f>
        <v>4.8553101607664848</v>
      </c>
    </row>
    <row r="39" spans="1:22" x14ac:dyDescent="0.35">
      <c r="A39" s="1" t="s">
        <v>22</v>
      </c>
      <c r="B39" s="4">
        <f t="shared" si="2"/>
        <v>24.624318352164078</v>
      </c>
      <c r="C39" s="2">
        <f t="shared" si="3"/>
        <v>0.42977543130452767</v>
      </c>
      <c r="E39" s="7" t="s">
        <v>66</v>
      </c>
      <c r="F39" s="6">
        <f t="shared" ref="F39" si="5">-B40*SIN(B$6)+B$1*SIN(C38)+B$2*SIN(C39)-B$3*SIN(C$4)</f>
        <v>0</v>
      </c>
      <c r="H39" s="8" t="s">
        <v>16</v>
      </c>
      <c r="I39" s="8" t="s">
        <v>15</v>
      </c>
      <c r="J39" s="9" t="s">
        <v>8</v>
      </c>
      <c r="L39" s="8" t="s">
        <v>16</v>
      </c>
      <c r="M39" s="8" t="s">
        <v>15</v>
      </c>
      <c r="N39" s="9" t="s">
        <v>8</v>
      </c>
      <c r="O39" s="15"/>
      <c r="Q39" s="17"/>
      <c r="R39">
        <f>R38+$Q$3</f>
        <v>1030</v>
      </c>
      <c r="S39">
        <v>3.6</v>
      </c>
      <c r="T39">
        <f>C1028</f>
        <v>2.1025000000000018</v>
      </c>
      <c r="U39">
        <f>+C1029</f>
        <v>-1.4306098907126726E-2</v>
      </c>
      <c r="V39">
        <f>+B1030</f>
        <v>4.4783783726982351</v>
      </c>
    </row>
    <row r="40" spans="1:22" x14ac:dyDescent="0.35">
      <c r="A40" s="1" t="s">
        <v>8</v>
      </c>
      <c r="B40" s="4">
        <f t="shared" ref="B40" si="6">B31+Q33</f>
        <v>8.454356057317856</v>
      </c>
      <c r="C40" s="2"/>
      <c r="E40" s="7" t="s">
        <v>67</v>
      </c>
      <c r="F40" s="6">
        <f>C38-F$3*B36-0.5*(F$4)*B36^2</f>
        <v>-2.5000000000000005E-3</v>
      </c>
      <c r="H40" s="2">
        <f t="shared" ref="H40" si="7">-B$1*SIN(C38)</f>
        <v>0</v>
      </c>
      <c r="I40" s="2">
        <f t="shared" ref="I40" si="8">-B$2*SIN(C39)</f>
        <v>-2.5</v>
      </c>
      <c r="J40" s="2">
        <f t="shared" ref="J40" si="9">-COS(B$6)</f>
        <v>-1</v>
      </c>
      <c r="L40" s="2" cm="1">
        <f t="array" ref="L40:N42">MINVERSE(H40:J42)</f>
        <v>0</v>
      </c>
      <c r="M40" s="2">
        <v>0</v>
      </c>
      <c r="N40" s="2">
        <v>1</v>
      </c>
      <c r="O40" s="10">
        <f t="shared" ref="O40:O42" si="10">-F38</f>
        <v>-7.3503486283654773E-16</v>
      </c>
      <c r="Q40" s="2" cm="1">
        <f t="array" ref="Q40:Q42">MMULT(L40:N42,O40:O42)</f>
        <v>2.5000000000000005E-3</v>
      </c>
      <c r="R40">
        <f t="shared" ref="R40:R51" si="11">R39+$Q$3</f>
        <v>1057</v>
      </c>
      <c r="S40">
        <v>3.7</v>
      </c>
      <c r="T40">
        <f>C1055</f>
        <v>2.2500000000000018</v>
      </c>
      <c r="U40">
        <f>+C1056</f>
        <v>2.7633330892404211E-2</v>
      </c>
      <c r="V40">
        <f>+B1057</f>
        <v>4.1132504041983164</v>
      </c>
    </row>
    <row r="41" spans="1:22" x14ac:dyDescent="0.35">
      <c r="H41" s="2">
        <f t="shared" ref="H41" si="12">B$1*COS(C38)</f>
        <v>3</v>
      </c>
      <c r="I41" s="2">
        <f t="shared" ref="I41" si="13">B$2*COS(C39)</f>
        <v>5.4543560573178569</v>
      </c>
      <c r="J41" s="2">
        <f t="shared" ref="J41" si="14">-SIN(B$6)</f>
        <v>0</v>
      </c>
      <c r="L41" s="2">
        <v>0</v>
      </c>
      <c r="M41" s="2">
        <v>0.18333969940564226</v>
      </c>
      <c r="N41" s="2">
        <v>-0.55001909821692685</v>
      </c>
      <c r="O41" s="10">
        <f t="shared" si="10"/>
        <v>0</v>
      </c>
      <c r="Q41" s="2">
        <v>-1.3750477455423175E-3</v>
      </c>
      <c r="R41">
        <f t="shared" si="11"/>
        <v>1084</v>
      </c>
      <c r="S41">
        <v>3.8</v>
      </c>
      <c r="T41">
        <f>C1082</f>
        <v>2.4025000000000021</v>
      </c>
      <c r="U41">
        <f>+C1083</f>
        <v>7.5550117452240217E-2</v>
      </c>
      <c r="V41">
        <f>+B1084</f>
        <v>3.7492763226050565</v>
      </c>
    </row>
    <row r="42" spans="1:22" x14ac:dyDescent="0.35">
      <c r="H42" s="2">
        <v>1</v>
      </c>
      <c r="I42" s="2">
        <v>0</v>
      </c>
      <c r="J42" s="2">
        <v>0</v>
      </c>
      <c r="L42" s="2">
        <v>-1</v>
      </c>
      <c r="M42" s="2">
        <v>-0.45834924851410563</v>
      </c>
      <c r="N42" s="2">
        <v>1.3750477455423171</v>
      </c>
      <c r="O42" s="10">
        <f t="shared" si="10"/>
        <v>2.5000000000000005E-3</v>
      </c>
      <c r="Q42" s="2">
        <v>3.4376193638565285E-3</v>
      </c>
      <c r="R42">
        <f t="shared" si="11"/>
        <v>1111</v>
      </c>
      <c r="S42">
        <v>3.9</v>
      </c>
      <c r="T42">
        <f>C1109</f>
        <v>2.4025000000000021</v>
      </c>
      <c r="U42">
        <f>+C1110</f>
        <v>7.9942996833805929E-2</v>
      </c>
      <c r="V42">
        <f>+B1111</f>
        <v>3.7635973583039481</v>
      </c>
    </row>
    <row r="43" spans="1:22" x14ac:dyDescent="0.35">
      <c r="R43">
        <f t="shared" si="11"/>
        <v>1138</v>
      </c>
      <c r="S43">
        <v>4</v>
      </c>
      <c r="T43">
        <f>C1136</f>
        <v>2.5600000000000023</v>
      </c>
      <c r="U43">
        <f>+C1137</f>
        <v>0.14247043283957292</v>
      </c>
      <c r="V43">
        <f>+B1138</f>
        <v>3.4324431266625206</v>
      </c>
    </row>
    <row r="44" spans="1:22" x14ac:dyDescent="0.35">
      <c r="R44">
        <f t="shared" si="11"/>
        <v>1165</v>
      </c>
      <c r="S44">
        <v>4.0999999999999996</v>
      </c>
      <c r="T44">
        <f>C1163</f>
        <v>2.7225000000000028</v>
      </c>
      <c r="U44">
        <f>+C1164</f>
        <v>0.21484833568924994</v>
      </c>
      <c r="V44">
        <f>+B1165</f>
        <v>3.1217189638621767</v>
      </c>
    </row>
    <row r="45" spans="1:22" x14ac:dyDescent="0.35">
      <c r="A45" s="1" t="s">
        <v>9</v>
      </c>
      <c r="B45" s="2">
        <f t="shared" ref="B45" si="15">IF(AND((B36 = B27), ABS(B40-B31) &lt; 0.001),B36+0.1,B36)</f>
        <v>0.1</v>
      </c>
      <c r="R45">
        <f t="shared" si="11"/>
        <v>1192</v>
      </c>
      <c r="S45">
        <v>4.2</v>
      </c>
      <c r="T45">
        <f>C1190</f>
        <v>2.8900000000000028</v>
      </c>
      <c r="U45">
        <f>+C1191</f>
        <v>0.29315233689436782</v>
      </c>
      <c r="V45">
        <f>+B1192</f>
        <v>2.8170267404966189</v>
      </c>
    </row>
    <row r="46" spans="1:22" x14ac:dyDescent="0.35">
      <c r="C46" s="1" t="s">
        <v>3</v>
      </c>
      <c r="R46">
        <f t="shared" si="11"/>
        <v>1219</v>
      </c>
      <c r="S46">
        <v>4.3</v>
      </c>
      <c r="T46">
        <f>C1217</f>
        <v>2.8900000000000028</v>
      </c>
      <c r="U46">
        <f>+C1218</f>
        <v>0.29651939392306714</v>
      </c>
      <c r="V46">
        <f>+B1219</f>
        <v>2.8326042455935752</v>
      </c>
    </row>
    <row r="47" spans="1:22" x14ac:dyDescent="0.35">
      <c r="A47" s="1" t="s">
        <v>23</v>
      </c>
      <c r="B47" s="4">
        <f t="shared" ref="B47:B48" si="16">C47*180/PI()</f>
        <v>0.14323944878270584</v>
      </c>
      <c r="C47" s="2">
        <f t="shared" ref="C47:C48" si="17">C38+Q40</f>
        <v>2.5000000000000005E-3</v>
      </c>
      <c r="E47" s="7" t="s">
        <v>68</v>
      </c>
      <c r="F47" s="6">
        <f t="shared" ref="F47" si="18">-B49*COS(B$6)+B$1*COS(C47)+B$2*COS(C48)-B$3*COS(C$4)</f>
        <v>-1.4532506632900443E-5</v>
      </c>
      <c r="H47" s="11" t="s">
        <v>14</v>
      </c>
      <c r="I47" s="12"/>
      <c r="J47" s="13"/>
      <c r="L47" s="11" t="s">
        <v>24</v>
      </c>
      <c r="M47" s="12"/>
      <c r="N47" s="13"/>
      <c r="O47" s="14" t="s">
        <v>18</v>
      </c>
      <c r="Q47" s="16" t="s">
        <v>19</v>
      </c>
      <c r="R47">
        <f t="shared" si="11"/>
        <v>1246</v>
      </c>
      <c r="S47">
        <v>4.4000000000000004</v>
      </c>
      <c r="T47">
        <f>C1244</f>
        <v>3.0625000000000031</v>
      </c>
      <c r="U47">
        <f>+C1245</f>
        <v>0.38672959300381698</v>
      </c>
      <c r="V47">
        <f>+B1246</f>
        <v>2.5662634748856563</v>
      </c>
    </row>
    <row r="48" spans="1:22" x14ac:dyDescent="0.35">
      <c r="A48" s="1" t="s">
        <v>25</v>
      </c>
      <c r="B48" s="4">
        <f t="shared" si="16"/>
        <v>24.545533919715524</v>
      </c>
      <c r="C48" s="2">
        <f t="shared" si="17"/>
        <v>0.42840038355898535</v>
      </c>
      <c r="E48" s="7" t="s">
        <v>69</v>
      </c>
      <c r="F48" s="6">
        <f t="shared" ref="F48" si="19">-B49*SIN(B$6)+B$1*SIN(C47)+B$2*SIN(C48)-B$3*SIN(C$4)</f>
        <v>-2.3688940582466955E-6</v>
      </c>
      <c r="H48" s="8" t="s">
        <v>16</v>
      </c>
      <c r="I48" s="8" t="s">
        <v>15</v>
      </c>
      <c r="J48" s="9" t="s">
        <v>8</v>
      </c>
      <c r="L48" s="8" t="s">
        <v>16</v>
      </c>
      <c r="M48" s="8" t="s">
        <v>15</v>
      </c>
      <c r="N48" s="9" t="s">
        <v>8</v>
      </c>
      <c r="O48" s="15"/>
      <c r="Q48" s="17"/>
      <c r="R48">
        <f t="shared" si="11"/>
        <v>1273</v>
      </c>
      <c r="S48">
        <v>4.5</v>
      </c>
      <c r="T48">
        <f>C1271</f>
        <v>3.2400000000000033</v>
      </c>
      <c r="U48">
        <f>+C1272</f>
        <v>0.48452689947483657</v>
      </c>
      <c r="V48">
        <f>+B1273</f>
        <v>2.3239004590335162</v>
      </c>
    </row>
    <row r="49" spans="1:22" x14ac:dyDescent="0.35">
      <c r="A49" s="1" t="s">
        <v>8</v>
      </c>
      <c r="B49" s="4">
        <f t="shared" ref="B49" si="20">B40+Q42</f>
        <v>8.4577936766817121</v>
      </c>
      <c r="C49" s="2"/>
      <c r="E49" s="7" t="s">
        <v>70</v>
      </c>
      <c r="F49" s="6">
        <f>C47-F$3*B45-0.5*(F$4)*B45^2</f>
        <v>0</v>
      </c>
      <c r="H49" s="2">
        <f t="shared" ref="H49" si="21">-B$1*SIN(C47)</f>
        <v>-7.4999921875024429E-3</v>
      </c>
      <c r="I49" s="2">
        <f t="shared" ref="I49" si="22">-B$2*SIN(C48)</f>
        <v>-2.4924976389184392</v>
      </c>
      <c r="J49" s="2">
        <f t="shared" ref="J49" si="23">-COS(B$6)</f>
        <v>-1</v>
      </c>
      <c r="L49" s="2" cm="1">
        <f t="array" ref="L49:N51">MINVERSE(H49:J51)</f>
        <v>0</v>
      </c>
      <c r="M49" s="2">
        <v>0</v>
      </c>
      <c r="N49" s="2">
        <v>1</v>
      </c>
      <c r="O49" s="10">
        <f t="shared" ref="O49:O51" si="24">-F47</f>
        <v>1.4532506632900443E-5</v>
      </c>
      <c r="Q49" s="2" cm="1">
        <f t="array" ref="Q49:Q51">MMULT(L49:N51,O49:O51)</f>
        <v>0</v>
      </c>
      <c r="R49">
        <f t="shared" si="11"/>
        <v>1300</v>
      </c>
      <c r="S49">
        <v>4.5999999999999996</v>
      </c>
      <c r="T49">
        <f>C1298</f>
        <v>3.4225000000000034</v>
      </c>
      <c r="U49">
        <f>+C1299</f>
        <v>0.58714895328179129</v>
      </c>
      <c r="V49">
        <f>+B1300</f>
        <v>2.090875324255336</v>
      </c>
    </row>
    <row r="50" spans="1:22" x14ac:dyDescent="0.35">
      <c r="H50" s="2">
        <f t="shared" ref="H50" si="25">B$1*COS(C47)</f>
        <v>2.9999906250048829</v>
      </c>
      <c r="I50" s="2">
        <f t="shared" ref="I50" si="26">B$2*COS(C48)</f>
        <v>5.4577885191701965</v>
      </c>
      <c r="J50" s="2">
        <f t="shared" ref="J50" si="27">-SIN(B$6)</f>
        <v>0</v>
      </c>
      <c r="L50" s="2">
        <v>0</v>
      </c>
      <c r="M50" s="2">
        <v>0.18322439509840888</v>
      </c>
      <c r="N50" s="2">
        <v>-0.54967146756741725</v>
      </c>
      <c r="O50" s="10">
        <f t="shared" si="24"/>
        <v>2.3688940582466955E-6</v>
      </c>
      <c r="Q50" s="2">
        <v>4.3403918087446573E-7</v>
      </c>
      <c r="R50">
        <f t="shared" si="11"/>
        <v>1327</v>
      </c>
      <c r="S50">
        <v>4.7</v>
      </c>
      <c r="T50">
        <f>C1325</f>
        <v>3.4225000000000034</v>
      </c>
      <c r="U50">
        <f>+C1326</f>
        <v>0.5887001309440133</v>
      </c>
      <c r="V50">
        <f>+B1327</f>
        <v>2.1075661629292481</v>
      </c>
    </row>
    <row r="51" spans="1:22" x14ac:dyDescent="0.35">
      <c r="H51" s="2">
        <v>1</v>
      </c>
      <c r="I51" s="2">
        <v>0</v>
      </c>
      <c r="J51" s="2">
        <v>0</v>
      </c>
      <c r="L51" s="2">
        <v>-1</v>
      </c>
      <c r="M51" s="2">
        <v>-0.45668637217504338</v>
      </c>
      <c r="N51" s="2">
        <v>1.3625548429051184</v>
      </c>
      <c r="O51" s="10">
        <f t="shared" si="24"/>
        <v>0</v>
      </c>
      <c r="Q51" s="2">
        <v>-1.5614348266428144E-5</v>
      </c>
      <c r="R51">
        <f t="shared" si="11"/>
        <v>1354</v>
      </c>
      <c r="S51">
        <v>4.8</v>
      </c>
      <c r="T51">
        <f>C1352</f>
        <v>3.6100000000000039</v>
      </c>
      <c r="U51">
        <f>+C1353</f>
        <v>0.69762522298776086</v>
      </c>
      <c r="V51">
        <f>+B1354</f>
        <v>1.9213540707575734</v>
      </c>
    </row>
    <row r="52" spans="1:22" x14ac:dyDescent="0.35">
      <c r="R52">
        <f>R51+$Q$3</f>
        <v>1381</v>
      </c>
      <c r="S52">
        <v>4.9000000000000004</v>
      </c>
      <c r="T52">
        <f>C1379</f>
        <v>3.8025000000000042</v>
      </c>
      <c r="U52">
        <f>+C1380</f>
        <v>0.80897952611422386</v>
      </c>
      <c r="V52">
        <f>+B1381</f>
        <v>1.773117392273863</v>
      </c>
    </row>
    <row r="53" spans="1:22" x14ac:dyDescent="0.35">
      <c r="R53">
        <f>R52+$Q$3</f>
        <v>1408</v>
      </c>
      <c r="S53">
        <v>5</v>
      </c>
      <c r="T53">
        <f>C1406</f>
        <v>4.0000000000000036</v>
      </c>
      <c r="U53">
        <f>+C1407</f>
        <v>0.92192181674070717</v>
      </c>
      <c r="V53">
        <f>+B1408</f>
        <v>1.646473659908402</v>
      </c>
    </row>
    <row r="54" spans="1:22" x14ac:dyDescent="0.35">
      <c r="A54" s="1" t="s">
        <v>9</v>
      </c>
      <c r="B54" s="2">
        <f t="shared" ref="B54" si="28">IF(AND((B45 = B36), ABS(B49-B40) &lt; 0.001),B45+0.1,B45)</f>
        <v>0.1</v>
      </c>
      <c r="R54">
        <f t="shared" ref="R54:R63" si="29">R53+$Q$3</f>
        <v>1435</v>
      </c>
      <c r="S54">
        <v>5.0999999999999996</v>
      </c>
      <c r="T54">
        <f>C1433</f>
        <v>4.0000000000000036</v>
      </c>
      <c r="U54">
        <f>+C1434</f>
        <v>0.9191195449619749</v>
      </c>
      <c r="V54">
        <f>+B1435</f>
        <v>1.6781916165574422</v>
      </c>
    </row>
    <row r="55" spans="1:22" x14ac:dyDescent="0.35">
      <c r="C55" s="1" t="s">
        <v>3</v>
      </c>
      <c r="R55">
        <f t="shared" si="29"/>
        <v>1462</v>
      </c>
      <c r="S55">
        <v>5.2</v>
      </c>
      <c r="T55">
        <f>C1460</f>
        <v>4.2025000000000032</v>
      </c>
      <c r="U55">
        <f>+C1461</f>
        <v>1.0218331844116784</v>
      </c>
      <c r="V55">
        <f>+B1462</f>
        <v>1.6665769549468266</v>
      </c>
    </row>
    <row r="56" spans="1:22" x14ac:dyDescent="0.35">
      <c r="A56" s="1" t="s">
        <v>26</v>
      </c>
      <c r="B56" s="4">
        <f t="shared" ref="B56:B57" si="30">C56*180/PI()</f>
        <v>0.14323944878270584</v>
      </c>
      <c r="C56" s="2">
        <f t="shared" ref="C56:C57" si="31">C47+Q49</f>
        <v>2.5000000000000005E-3</v>
      </c>
      <c r="E56" s="7" t="s">
        <v>71</v>
      </c>
      <c r="F56" s="6">
        <f t="shared" ref="F56" si="32">-B58*COS(B$6)+B$1*COS(C56)+B$2*COS(C57)-B$3*COS(C$4)</f>
        <v>-5.1440844856323609E-13</v>
      </c>
      <c r="H56" s="11" t="s">
        <v>14</v>
      </c>
      <c r="I56" s="12"/>
      <c r="J56" s="13"/>
      <c r="L56" s="11" t="s">
        <v>27</v>
      </c>
      <c r="M56" s="12"/>
      <c r="N56" s="13"/>
      <c r="O56" s="14" t="s">
        <v>18</v>
      </c>
      <c r="Q56" s="16" t="s">
        <v>19</v>
      </c>
      <c r="R56">
        <f t="shared" si="29"/>
        <v>1489</v>
      </c>
      <c r="S56">
        <v>5.3</v>
      </c>
      <c r="T56">
        <f>C1487</f>
        <v>4.4100000000000019</v>
      </c>
      <c r="U56">
        <f>+C1488</f>
        <v>1.1059845011869818</v>
      </c>
      <c r="V56">
        <f>+B1489</f>
        <v>1.7963423903853823</v>
      </c>
    </row>
    <row r="57" spans="1:22" x14ac:dyDescent="0.35">
      <c r="A57" s="1" t="s">
        <v>28</v>
      </c>
      <c r="B57" s="4">
        <f t="shared" si="30"/>
        <v>24.54555878832873</v>
      </c>
      <c r="C57" s="2">
        <f t="shared" si="31"/>
        <v>0.42840081759816623</v>
      </c>
      <c r="E57" s="7" t="s">
        <v>72</v>
      </c>
      <c r="F57" s="6">
        <f t="shared" ref="F57" si="33">-B58*SIN(B$6)+B$1*SIN(C56)+B$2*SIN(C57)-B$3*SIN(C$4)</f>
        <v>-2.3492319201068312E-13</v>
      </c>
      <c r="H57" s="8" t="s">
        <v>16</v>
      </c>
      <c r="I57" s="8" t="s">
        <v>15</v>
      </c>
      <c r="J57" s="9" t="s">
        <v>8</v>
      </c>
      <c r="L57" s="8" t="s">
        <v>16</v>
      </c>
      <c r="M57" s="8" t="s">
        <v>15</v>
      </c>
      <c r="N57" s="9" t="s">
        <v>8</v>
      </c>
      <c r="O57" s="15"/>
      <c r="Q57" s="17"/>
      <c r="R57">
        <f t="shared" si="29"/>
        <v>1516</v>
      </c>
      <c r="S57">
        <v>5.4</v>
      </c>
      <c r="T57">
        <f>C1514</f>
        <v>4.4100000000000019</v>
      </c>
      <c r="U57">
        <f>+C1515</f>
        <v>1.1061509990168454</v>
      </c>
      <c r="V57">
        <f>+B1516</f>
        <v>1.7952296334340738</v>
      </c>
    </row>
    <row r="58" spans="1:22" x14ac:dyDescent="0.35">
      <c r="A58" s="1" t="s">
        <v>8</v>
      </c>
      <c r="B58" s="4">
        <f t="shared" ref="B58" si="34">B49+Q51</f>
        <v>8.4577780623334462</v>
      </c>
      <c r="C58" s="2"/>
      <c r="E58" s="7" t="s">
        <v>73</v>
      </c>
      <c r="F58" s="6">
        <f>C56-F$3*B54-0.5*(F$4)*B54^2</f>
        <v>0</v>
      </c>
      <c r="H58" s="2">
        <f t="shared" ref="H58" si="35">-B$1*SIN(C56)</f>
        <v>-7.4999921875024429E-3</v>
      </c>
      <c r="I58" s="2">
        <f t="shared" ref="I58" si="36">-B$2*SIN(C57)</f>
        <v>-2.4925000078122626</v>
      </c>
      <c r="J58" s="2">
        <f t="shared" ref="J58" si="37">-COS(B$6)</f>
        <v>-1</v>
      </c>
      <c r="L58" s="2" cm="1">
        <f t="array" ref="L58:N60">MINVERSE(H58:J60)</f>
        <v>0</v>
      </c>
      <c r="M58" s="2">
        <v>0</v>
      </c>
      <c r="N58" s="2">
        <v>1</v>
      </c>
      <c r="O58" s="10">
        <f t="shared" ref="O58:O60" si="38">-F56</f>
        <v>5.1440844856323609E-13</v>
      </c>
      <c r="Q58" s="2" cm="1">
        <f t="array" ref="Q58:Q60">MMULT(L58:N60,O58:O60)</f>
        <v>0</v>
      </c>
      <c r="R58">
        <f t="shared" si="29"/>
        <v>1543</v>
      </c>
      <c r="S58">
        <v>5.5</v>
      </c>
      <c r="T58">
        <f>C1541</f>
        <v>4.6225000000000014</v>
      </c>
      <c r="U58">
        <f>+C1542</f>
        <v>1.1546359739492533</v>
      </c>
      <c r="V58">
        <f>+B1543</f>
        <v>2.1562055817498091</v>
      </c>
    </row>
    <row r="59" spans="1:22" x14ac:dyDescent="0.35">
      <c r="H59" s="2">
        <f t="shared" ref="H59" si="39">B$1*COS(C56)</f>
        <v>2.9999906250048829</v>
      </c>
      <c r="I59" s="2">
        <f t="shared" ref="I59" si="40">B$2*COS(C57)</f>
        <v>5.4577874373280491</v>
      </c>
      <c r="J59" s="2">
        <f t="shared" ref="J59" si="41">-SIN(B$6)</f>
        <v>0</v>
      </c>
      <c r="L59" s="2">
        <v>0</v>
      </c>
      <c r="M59" s="2">
        <v>0.18322443141713241</v>
      </c>
      <c r="N59" s="2">
        <v>-0.54967157652324738</v>
      </c>
      <c r="O59" s="10">
        <f t="shared" si="38"/>
        <v>2.3492319201068312E-13</v>
      </c>
      <c r="Q59" s="2">
        <v>4.3043668282855236E-14</v>
      </c>
      <c r="R59">
        <f t="shared" si="29"/>
        <v>1570</v>
      </c>
      <c r="S59">
        <v>5.6</v>
      </c>
      <c r="T59">
        <f>C1568</f>
        <v>4.8400000000000007</v>
      </c>
      <c r="U59">
        <f>+C1569</f>
        <v>1.1787853787975042</v>
      </c>
      <c r="V59">
        <f>+B1570</f>
        <v>2.6735415974433709</v>
      </c>
    </row>
    <row r="60" spans="1:22" x14ac:dyDescent="0.35">
      <c r="H60" s="2">
        <v>1</v>
      </c>
      <c r="I60" s="2">
        <v>0</v>
      </c>
      <c r="J60" s="2">
        <v>0</v>
      </c>
      <c r="L60" s="2">
        <v>-1</v>
      </c>
      <c r="M60" s="2">
        <v>-0.45668689673859991</v>
      </c>
      <c r="N60" s="2">
        <v>1.3625564165908703</v>
      </c>
      <c r="O60" s="10">
        <f t="shared" si="38"/>
        <v>0</v>
      </c>
      <c r="Q60" s="2">
        <v>-6.2169479209452118E-13</v>
      </c>
      <c r="R60">
        <f t="shared" si="29"/>
        <v>1597</v>
      </c>
      <c r="S60">
        <v>5.7</v>
      </c>
      <c r="T60">
        <f>C1595</f>
        <v>4.8400000000000007</v>
      </c>
      <c r="U60">
        <f>+C1596</f>
        <v>1.1496014016178533</v>
      </c>
      <c r="V60">
        <f>+B1597</f>
        <v>2.8349022670249386</v>
      </c>
    </row>
    <row r="61" spans="1:22" x14ac:dyDescent="0.35">
      <c r="R61">
        <f t="shared" si="29"/>
        <v>1624</v>
      </c>
      <c r="S61">
        <v>5.8</v>
      </c>
      <c r="T61">
        <f>C1622</f>
        <v>5.0625</v>
      </c>
      <c r="U61">
        <f>+C1623</f>
        <v>1.0887011907158919</v>
      </c>
      <c r="V61">
        <f>+B1624</f>
        <v>3.8117531563519313</v>
      </c>
    </row>
    <row r="62" spans="1:22" x14ac:dyDescent="0.35">
      <c r="R62">
        <f t="shared" si="29"/>
        <v>1651</v>
      </c>
      <c r="S62">
        <v>5.9</v>
      </c>
      <c r="T62">
        <f>C1649</f>
        <v>5.0625</v>
      </c>
      <c r="U62">
        <f>+C1650</f>
        <v>1.089367005190724</v>
      </c>
      <c r="V62">
        <f>+B1651</f>
        <v>3.8072853089231784</v>
      </c>
    </row>
    <row r="63" spans="1:22" x14ac:dyDescent="0.35">
      <c r="A63" s="1" t="s">
        <v>9</v>
      </c>
      <c r="B63" s="2">
        <f t="shared" ref="B63" si="42">IF(AND((B54 = B45), ABS(B58-B49) &lt; 0.001),B54+0.1,B54)</f>
        <v>0.2</v>
      </c>
      <c r="R63">
        <f t="shared" si="29"/>
        <v>1678</v>
      </c>
      <c r="S63">
        <v>6</v>
      </c>
      <c r="T63">
        <f>C1676</f>
        <v>5.2899999999999991</v>
      </c>
      <c r="U63">
        <f>+C1677</f>
        <v>0.98913562039053982</v>
      </c>
      <c r="V63">
        <f>+B1678</f>
        <v>4.9345461079319541</v>
      </c>
    </row>
    <row r="64" spans="1:22" x14ac:dyDescent="0.35">
      <c r="C64" s="1" t="s">
        <v>3</v>
      </c>
    </row>
    <row r="65" spans="1:17" x14ac:dyDescent="0.35">
      <c r="A65" s="1" t="s">
        <v>29</v>
      </c>
      <c r="B65" s="4">
        <f t="shared" ref="B65:B66" si="43">C65*180/PI()</f>
        <v>0.14323944878270584</v>
      </c>
      <c r="C65" s="2">
        <f t="shared" ref="C65:C66" si="44">C56+Q58</f>
        <v>2.5000000000000005E-3</v>
      </c>
      <c r="E65" s="7" t="s">
        <v>74</v>
      </c>
      <c r="F65" s="6">
        <f t="shared" ref="F65" si="45">-B67*COS(B$6)+B$1*COS(C65)+B$2*COS(C66)-B$3*COS(C$4)</f>
        <v>-1.531435568635775E-16</v>
      </c>
      <c r="H65" s="11" t="s">
        <v>14</v>
      </c>
      <c r="I65" s="12"/>
      <c r="J65" s="13"/>
      <c r="L65" s="11" t="s">
        <v>30</v>
      </c>
      <c r="M65" s="12"/>
      <c r="N65" s="13"/>
      <c r="O65" s="14" t="s">
        <v>18</v>
      </c>
      <c r="Q65" s="16" t="s">
        <v>19</v>
      </c>
    </row>
    <row r="66" spans="1:17" x14ac:dyDescent="0.35">
      <c r="A66" s="1" t="s">
        <v>31</v>
      </c>
      <c r="B66" s="4">
        <f t="shared" si="43"/>
        <v>24.545558788331192</v>
      </c>
      <c r="C66" s="2">
        <f t="shared" si="44"/>
        <v>0.42840081759820925</v>
      </c>
      <c r="E66" s="7" t="s">
        <v>75</v>
      </c>
      <c r="F66" s="6">
        <f t="shared" ref="F66" si="46">-B67*SIN(B$6)+B$1*SIN(C65)+B$2*SIN(C66)-B$3*SIN(C$4)</f>
        <v>0</v>
      </c>
      <c r="H66" s="8" t="s">
        <v>16</v>
      </c>
      <c r="I66" s="8" t="s">
        <v>15</v>
      </c>
      <c r="J66" s="9" t="s">
        <v>8</v>
      </c>
      <c r="L66" s="8" t="s">
        <v>16</v>
      </c>
      <c r="M66" s="8" t="s">
        <v>15</v>
      </c>
      <c r="N66" s="9" t="s">
        <v>8</v>
      </c>
      <c r="O66" s="15"/>
      <c r="Q66" s="17"/>
    </row>
    <row r="67" spans="1:17" x14ac:dyDescent="0.35">
      <c r="A67" s="1" t="s">
        <v>8</v>
      </c>
      <c r="B67" s="4">
        <f t="shared" ref="B67" si="47">B58+Q60</f>
        <v>8.4577780623328245</v>
      </c>
      <c r="C67" s="2"/>
      <c r="E67" s="7" t="s">
        <v>76</v>
      </c>
      <c r="F67" s="6">
        <f>C65-F$3*B63-0.5*(F$4)*B63^2</f>
        <v>-7.5000000000000015E-3</v>
      </c>
      <c r="H67" s="2">
        <f t="shared" ref="H67" si="48">-B$1*SIN(C65)</f>
        <v>-7.4999921875024429E-3</v>
      </c>
      <c r="I67" s="2">
        <f t="shared" ref="I67" si="49">-B$2*SIN(C66)</f>
        <v>-2.4925000078124975</v>
      </c>
      <c r="J67" s="2">
        <f t="shared" ref="J67" si="50">-COS(B$6)</f>
        <v>-1</v>
      </c>
      <c r="L67" s="2" cm="1">
        <f t="array" ref="L67:N69">MINVERSE(H67:J69)</f>
        <v>0</v>
      </c>
      <c r="M67" s="2">
        <v>0</v>
      </c>
      <c r="N67" s="2">
        <v>1.0000000000000002</v>
      </c>
      <c r="O67" s="10">
        <f t="shared" ref="O67:O69" si="51">-F65</f>
        <v>1.531435568635775E-16</v>
      </c>
      <c r="Q67" s="2" cm="1">
        <f t="array" ref="Q67:Q69">MMULT(L67:N69,O67:O69)</f>
        <v>7.5000000000000032E-3</v>
      </c>
    </row>
    <row r="68" spans="1:17" x14ac:dyDescent="0.35">
      <c r="H68" s="2">
        <f t="shared" ref="H68" si="52">B$1*COS(C65)</f>
        <v>2.9999906250048829</v>
      </c>
      <c r="I68" s="2">
        <f t="shared" ref="I68" si="53">B$2*COS(C66)</f>
        <v>5.4577874373279416</v>
      </c>
      <c r="J68" s="2">
        <f t="shared" ref="J68" si="54">-SIN(B$6)</f>
        <v>0</v>
      </c>
      <c r="L68" s="2">
        <v>0</v>
      </c>
      <c r="M68" s="2">
        <v>0.18322443141713601</v>
      </c>
      <c r="N68" s="2">
        <v>-0.54967157652325827</v>
      </c>
      <c r="O68" s="10">
        <f t="shared" si="51"/>
        <v>0</v>
      </c>
      <c r="Q68" s="2">
        <v>-4.1225368239244378E-3</v>
      </c>
    </row>
    <row r="69" spans="1:17" x14ac:dyDescent="0.35">
      <c r="H69" s="2">
        <v>1</v>
      </c>
      <c r="I69" s="2">
        <v>0</v>
      </c>
      <c r="J69" s="2">
        <v>0</v>
      </c>
      <c r="L69" s="2">
        <v>-1</v>
      </c>
      <c r="M69" s="2">
        <v>-0.45668689673865193</v>
      </c>
      <c r="N69" s="2">
        <v>1.3625564165910264</v>
      </c>
      <c r="O69" s="10">
        <f t="shared" si="51"/>
        <v>7.5000000000000015E-3</v>
      </c>
      <c r="Q69" s="2">
        <v>1.0219173124432547E-2</v>
      </c>
    </row>
    <row r="72" spans="1:17" x14ac:dyDescent="0.35">
      <c r="A72" s="1" t="s">
        <v>9</v>
      </c>
      <c r="B72" s="2">
        <f t="shared" ref="B72" si="55">IF(AND((B63 = B54), ABS(B67-B58) &lt; 0.001),B63+0.1,B63)</f>
        <v>0.2</v>
      </c>
    </row>
    <row r="73" spans="1:17" x14ac:dyDescent="0.35">
      <c r="C73" s="1" t="s">
        <v>3</v>
      </c>
    </row>
    <row r="74" spans="1:17" x14ac:dyDescent="0.35">
      <c r="A74" s="1" t="s">
        <v>32</v>
      </c>
      <c r="B74" s="4">
        <f t="shared" ref="B74:B75" si="56">C74*180/PI()</f>
        <v>0.57295779513082346</v>
      </c>
      <c r="C74" s="2">
        <f t="shared" ref="C74:C75" si="57">C65+Q67</f>
        <v>1.0000000000000004E-2</v>
      </c>
      <c r="E74" s="7" t="s">
        <v>77</v>
      </c>
      <c r="F74" s="6">
        <f t="shared" ref="F74" si="58">-B76*COS(B$6)+B$1*COS(C74)+B$2*COS(C75)-B$3*COS(C$4)</f>
        <v>-1.3078124777458948E-4</v>
      </c>
      <c r="H74" s="11" t="s">
        <v>14</v>
      </c>
      <c r="I74" s="12"/>
      <c r="J74" s="13"/>
      <c r="L74" s="11" t="s">
        <v>33</v>
      </c>
      <c r="M74" s="12"/>
      <c r="N74" s="13"/>
      <c r="O74" s="14" t="s">
        <v>18</v>
      </c>
      <c r="Q74" s="16" t="s">
        <v>19</v>
      </c>
    </row>
    <row r="75" spans="1:17" x14ac:dyDescent="0.35">
      <c r="A75" s="1" t="s">
        <v>34</v>
      </c>
      <c r="B75" s="4">
        <f t="shared" si="56"/>
        <v>24.309354827433054</v>
      </c>
      <c r="C75" s="2">
        <f t="shared" si="57"/>
        <v>0.42427828077428481</v>
      </c>
      <c r="E75" s="7" t="s">
        <v>78</v>
      </c>
      <c r="F75" s="6">
        <f t="shared" ref="F75" si="59">-B76*SIN(B$6)+B$1*SIN(C74)+B$2*SIN(C75)-B$3*SIN(C$4)</f>
        <v>-2.1538515368568767E-5</v>
      </c>
      <c r="H75" s="8" t="s">
        <v>16</v>
      </c>
      <c r="I75" s="8" t="s">
        <v>15</v>
      </c>
      <c r="J75" s="9" t="s">
        <v>8</v>
      </c>
      <c r="L75" s="8" t="s">
        <v>16</v>
      </c>
      <c r="M75" s="8" t="s">
        <v>15</v>
      </c>
      <c r="N75" s="9" t="s">
        <v>8</v>
      </c>
      <c r="O75" s="15"/>
      <c r="Q75" s="17"/>
    </row>
    <row r="76" spans="1:17" x14ac:dyDescent="0.35">
      <c r="A76" s="1" t="s">
        <v>8</v>
      </c>
      <c r="B76" s="4">
        <f t="shared" ref="B76" si="60">B67+Q69</f>
        <v>8.4679972354572577</v>
      </c>
      <c r="C76" s="2"/>
      <c r="E76" s="7" t="s">
        <v>79</v>
      </c>
      <c r="F76" s="6">
        <f>C74-F$3*B72-0.5*(F$4)*B72^2</f>
        <v>0</v>
      </c>
      <c r="H76" s="2">
        <f t="shared" ref="H76" si="61">-B$1*SIN(C74)</f>
        <v>-2.9999500002500006E-2</v>
      </c>
      <c r="I76" s="2">
        <f t="shared" ref="I76" si="62">-B$2*SIN(C75)</f>
        <v>-2.4699789614821315</v>
      </c>
      <c r="J76" s="2">
        <f t="shared" ref="J76" si="63">-COS(B$6)</f>
        <v>-1</v>
      </c>
      <c r="L76" s="2" cm="1">
        <f t="array" ref="L76:N78">MINVERSE(H76:J78)</f>
        <v>0</v>
      </c>
      <c r="M76" s="2">
        <v>0</v>
      </c>
      <c r="N76" s="2">
        <v>0.99999999999999989</v>
      </c>
      <c r="O76" s="10">
        <f t="shared" ref="O76:O78" si="64">-F74</f>
        <v>1.3078124777458948E-4</v>
      </c>
      <c r="Q76" s="2" cm="1">
        <f t="array" ref="Q76:Q78">MMULT(L76:N78,O76:O78)</f>
        <v>0</v>
      </c>
    </row>
    <row r="77" spans="1:17" x14ac:dyDescent="0.35">
      <c r="H77" s="2">
        <f t="shared" ref="H77" si="65">B$1*COS(C74)</f>
        <v>2.999850001249996</v>
      </c>
      <c r="I77" s="2">
        <f t="shared" ref="I77" si="66">B$2*COS(C75)</f>
        <v>5.4680164529594872</v>
      </c>
      <c r="J77" s="2">
        <f t="shared" ref="J77" si="67">-SIN(B$6)</f>
        <v>0</v>
      </c>
      <c r="L77" s="2">
        <v>0</v>
      </c>
      <c r="M77" s="2">
        <v>0.18288167356533172</v>
      </c>
      <c r="N77" s="2">
        <v>-0.5486175886735617</v>
      </c>
      <c r="O77" s="10">
        <f t="shared" si="64"/>
        <v>2.1538515368568767E-5</v>
      </c>
      <c r="Q77" s="2">
        <v>3.9389997367164736E-6</v>
      </c>
    </row>
    <row r="78" spans="1:17" x14ac:dyDescent="0.35">
      <c r="H78" s="2">
        <v>1</v>
      </c>
      <c r="I78" s="2">
        <v>0</v>
      </c>
      <c r="J78" s="2">
        <v>0</v>
      </c>
      <c r="L78" s="2">
        <v>-1</v>
      </c>
      <c r="M78" s="2">
        <v>-0.45171388614701224</v>
      </c>
      <c r="N78" s="2">
        <v>1.3250744019202552</v>
      </c>
      <c r="O78" s="10">
        <f t="shared" si="64"/>
        <v>0</v>
      </c>
      <c r="Q78" s="2">
        <v>-1.4051049425356282E-4</v>
      </c>
    </row>
    <row r="81" spans="1:17" x14ac:dyDescent="0.35">
      <c r="A81" s="1" t="s">
        <v>9</v>
      </c>
      <c r="B81" s="2">
        <f t="shared" ref="B81" si="68">IF(AND((B72 = B63), ABS(B76-B67) &lt; 0.001),B72+0.1,B72)</f>
        <v>0.2</v>
      </c>
    </row>
    <row r="82" spans="1:17" x14ac:dyDescent="0.35">
      <c r="C82" s="1" t="s">
        <v>3</v>
      </c>
    </row>
    <row r="83" spans="1:17" x14ac:dyDescent="0.35">
      <c r="A83" s="1" t="s">
        <v>35</v>
      </c>
      <c r="B83" s="4">
        <f t="shared" ref="B83:B84" si="69">C83*180/PI()</f>
        <v>0.57295779513082346</v>
      </c>
      <c r="C83" s="2">
        <f t="shared" ref="C83:C84" si="70">C74+Q76</f>
        <v>1.0000000000000004E-2</v>
      </c>
      <c r="E83" s="7" t="s">
        <v>80</v>
      </c>
      <c r="F83" s="6">
        <f t="shared" ref="F83" si="71">-B85*COS(B$6)+B$1*COS(C83)+B$2*COS(C84)-B$3*COS(C$4)</f>
        <v>-4.2420442646854545E-11</v>
      </c>
      <c r="H83" s="11" t="s">
        <v>14</v>
      </c>
      <c r="I83" s="12"/>
      <c r="J83" s="13"/>
      <c r="L83" s="11" t="s">
        <v>36</v>
      </c>
      <c r="M83" s="12"/>
      <c r="N83" s="13"/>
      <c r="O83" s="14" t="s">
        <v>18</v>
      </c>
      <c r="Q83" s="16" t="s">
        <v>19</v>
      </c>
    </row>
    <row r="84" spans="1:17" x14ac:dyDescent="0.35">
      <c r="A84" s="1" t="s">
        <v>37</v>
      </c>
      <c r="B84" s="4">
        <f t="shared" si="69"/>
        <v>24.309580515493472</v>
      </c>
      <c r="C84" s="2">
        <f t="shared" si="70"/>
        <v>0.42428221977402153</v>
      </c>
      <c r="E84" s="7" t="s">
        <v>81</v>
      </c>
      <c r="F84" s="6">
        <f t="shared" ref="F84" si="72">-B85*SIN(B$6)+B$1*SIN(C83)+B$2*SIN(C84)-B$3*SIN(C$4)</f>
        <v>-1.9161561226610502E-11</v>
      </c>
      <c r="H84" s="8" t="s">
        <v>16</v>
      </c>
      <c r="I84" s="8" t="s">
        <v>15</v>
      </c>
      <c r="J84" s="9" t="s">
        <v>8</v>
      </c>
      <c r="L84" s="8" t="s">
        <v>16</v>
      </c>
      <c r="M84" s="8" t="s">
        <v>15</v>
      </c>
      <c r="N84" s="9" t="s">
        <v>8</v>
      </c>
      <c r="O84" s="15"/>
      <c r="Q84" s="17"/>
    </row>
    <row r="85" spans="1:17" x14ac:dyDescent="0.35">
      <c r="A85" s="1" t="s">
        <v>8</v>
      </c>
      <c r="B85" s="4">
        <f t="shared" ref="B85" si="73">B76+Q78</f>
        <v>8.4678567249630046</v>
      </c>
      <c r="C85" s="2"/>
      <c r="E85" s="7" t="s">
        <v>82</v>
      </c>
      <c r="F85" s="6">
        <f>C83-F$3*B81-0.5*(F$4)*B81^2</f>
        <v>0</v>
      </c>
      <c r="H85" s="2">
        <f t="shared" ref="H85" si="74">-B$1*SIN(C83)</f>
        <v>-2.9999500002500006E-2</v>
      </c>
      <c r="I85" s="2">
        <f t="shared" ref="I85" si="75">-B$2*SIN(C84)</f>
        <v>-2.4700004999783385</v>
      </c>
      <c r="J85" s="2">
        <f t="shared" ref="J85" si="76">-COS(B$6)</f>
        <v>-1</v>
      </c>
      <c r="L85" s="2" cm="1">
        <f t="array" ref="L85:N87">MINVERSE(H85:J87)</f>
        <v>0</v>
      </c>
      <c r="M85" s="2">
        <v>0</v>
      </c>
      <c r="N85" s="2">
        <v>0.99999999999999967</v>
      </c>
      <c r="O85" s="10">
        <f t="shared" ref="O85:O87" si="77">-F83</f>
        <v>4.2420442646854545E-11</v>
      </c>
      <c r="Q85" s="2" cm="1">
        <f t="array" ref="Q85:Q87">MMULT(L85:N87,O85:O87)</f>
        <v>0</v>
      </c>
    </row>
    <row r="86" spans="1:17" x14ac:dyDescent="0.35">
      <c r="H86" s="2">
        <f t="shared" ref="H86" si="78">B$1*COS(C83)</f>
        <v>2.999850001249996</v>
      </c>
      <c r="I86" s="2">
        <f t="shared" ref="I86" si="79">B$2*COS(C84)</f>
        <v>5.4680067236705883</v>
      </c>
      <c r="J86" s="2">
        <f t="shared" ref="J86" si="80">-SIN(B$6)</f>
        <v>0</v>
      </c>
      <c r="L86" s="2">
        <v>0</v>
      </c>
      <c r="M86" s="2">
        <v>0.18288199896885193</v>
      </c>
      <c r="N86" s="2">
        <v>-0.54861856483531213</v>
      </c>
      <c r="O86" s="10">
        <f t="shared" si="77"/>
        <v>1.9161561226610502E-11</v>
      </c>
      <c r="Q86" s="2">
        <v>3.5043046204865748E-12</v>
      </c>
    </row>
    <row r="87" spans="1:17" x14ac:dyDescent="0.35">
      <c r="H87" s="2">
        <v>1</v>
      </c>
      <c r="I87" s="2">
        <v>0</v>
      </c>
      <c r="J87" s="2">
        <v>0</v>
      </c>
      <c r="L87" s="2">
        <v>-1</v>
      </c>
      <c r="M87" s="2">
        <v>-0.45171862889010228</v>
      </c>
      <c r="N87" s="2">
        <v>1.3250886294381197</v>
      </c>
      <c r="O87" s="10">
        <f t="shared" si="77"/>
        <v>0</v>
      </c>
      <c r="Q87" s="2">
        <v>-5.1076076811532788E-11</v>
      </c>
    </row>
    <row r="90" spans="1:17" x14ac:dyDescent="0.35">
      <c r="A90" s="1" t="s">
        <v>9</v>
      </c>
      <c r="B90" s="2">
        <f t="shared" ref="B90" si="81">IF(AND((B81 = B72), ABS(B85-B76) &lt; 0.001),B81+0.1,B81)</f>
        <v>0.30000000000000004</v>
      </c>
    </row>
    <row r="91" spans="1:17" x14ac:dyDescent="0.35">
      <c r="C91" s="1" t="s">
        <v>3</v>
      </c>
    </row>
    <row r="92" spans="1:17" x14ac:dyDescent="0.35">
      <c r="A92" s="1" t="s">
        <v>38</v>
      </c>
      <c r="B92" s="4">
        <f t="shared" ref="B92:B93" si="82">C92*180/PI()</f>
        <v>0.57295779513082346</v>
      </c>
      <c r="C92" s="2">
        <f t="shared" ref="C92:C93" si="83">C83+Q85</f>
        <v>1.0000000000000004E-2</v>
      </c>
      <c r="E92" s="7" t="s">
        <v>83</v>
      </c>
      <c r="F92" s="6">
        <f t="shared" ref="F92" si="84">-B94*COS(B$6)+B$1*COS(C92)+B$2*COS(C93)-B$3*COS(C$4)</f>
        <v>-1.531435568635775E-16</v>
      </c>
      <c r="H92" s="11" t="s">
        <v>14</v>
      </c>
      <c r="I92" s="12"/>
      <c r="J92" s="13"/>
      <c r="L92" s="11" t="s">
        <v>39</v>
      </c>
      <c r="M92" s="12"/>
      <c r="N92" s="13"/>
      <c r="O92" s="14" t="s">
        <v>18</v>
      </c>
      <c r="Q92" s="16" t="s">
        <v>19</v>
      </c>
    </row>
    <row r="93" spans="1:17" x14ac:dyDescent="0.35">
      <c r="A93" s="1" t="s">
        <v>40</v>
      </c>
      <c r="B93" s="4">
        <f t="shared" si="82"/>
        <v>24.309580515694254</v>
      </c>
      <c r="C93" s="2">
        <f t="shared" si="83"/>
        <v>0.42428221977752584</v>
      </c>
      <c r="E93" s="7" t="s">
        <v>84</v>
      </c>
      <c r="F93" s="6">
        <f t="shared" ref="F93" si="85">-B94*SIN(B$6)+B$1*SIN(C92)+B$2*SIN(C93)-B$3*SIN(C$4)</f>
        <v>0</v>
      </c>
      <c r="H93" s="8" t="s">
        <v>16</v>
      </c>
      <c r="I93" s="8" t="s">
        <v>15</v>
      </c>
      <c r="J93" s="9" t="s">
        <v>8</v>
      </c>
      <c r="L93" s="8" t="s">
        <v>16</v>
      </c>
      <c r="M93" s="8" t="s">
        <v>15</v>
      </c>
      <c r="N93" s="9" t="s">
        <v>8</v>
      </c>
      <c r="O93" s="15"/>
      <c r="Q93" s="17"/>
    </row>
    <row r="94" spans="1:17" x14ac:dyDescent="0.35">
      <c r="A94" s="1" t="s">
        <v>8</v>
      </c>
      <c r="B94" s="4">
        <f t="shared" ref="B94" si="86">B85+Q87</f>
        <v>8.467856724911929</v>
      </c>
      <c r="C94" s="2"/>
      <c r="E94" s="7" t="s">
        <v>85</v>
      </c>
      <c r="F94" s="6">
        <f>C92-F$3*B90-0.5*(F$4)*B90^2</f>
        <v>-1.2500000000000002E-2</v>
      </c>
      <c r="H94" s="2">
        <f t="shared" ref="H94" si="87">-B$1*SIN(C92)</f>
        <v>-2.9999500002500006E-2</v>
      </c>
      <c r="I94" s="2">
        <f t="shared" ref="I94" si="88">-B$2*SIN(C93)</f>
        <v>-2.4700004999975</v>
      </c>
      <c r="J94" s="2">
        <f t="shared" ref="J94" si="89">-COS(B$6)</f>
        <v>-1</v>
      </c>
      <c r="L94" s="2" cm="1">
        <f t="array" ref="L94:N96">MINVERSE(H94:J96)</f>
        <v>0</v>
      </c>
      <c r="M94" s="2">
        <v>-7.4018569205963099E-17</v>
      </c>
      <c r="N94" s="2">
        <v>1</v>
      </c>
      <c r="O94" s="10">
        <f t="shared" ref="O94:O96" si="90">-F92</f>
        <v>1.531435568635775E-16</v>
      </c>
      <c r="Q94" s="2" cm="1">
        <f t="array" ref="Q94:Q96">MMULT(L94:N96,O94:O96)</f>
        <v>1.2500000000000002E-2</v>
      </c>
    </row>
    <row r="95" spans="1:17" x14ac:dyDescent="0.35">
      <c r="H95" s="2">
        <f t="shared" ref="H95" si="91">B$1*COS(C92)</f>
        <v>2.999850001249996</v>
      </c>
      <c r="I95" s="2">
        <f t="shared" ref="I95" si="92">B$2*COS(C93)</f>
        <v>5.468006723661933</v>
      </c>
      <c r="J95" s="2">
        <f t="shared" ref="J95" si="93">-SIN(B$6)</f>
        <v>0</v>
      </c>
      <c r="L95" s="2">
        <v>0</v>
      </c>
      <c r="M95" s="2">
        <v>0.18288199896914145</v>
      </c>
      <c r="N95" s="2">
        <v>-0.54861856483618066</v>
      </c>
      <c r="O95" s="10">
        <f t="shared" si="90"/>
        <v>0</v>
      </c>
      <c r="Q95" s="2">
        <v>-6.8577320604522596E-3</v>
      </c>
    </row>
    <row r="96" spans="1:17" x14ac:dyDescent="0.35">
      <c r="H96" s="2">
        <v>1</v>
      </c>
      <c r="I96" s="2">
        <v>0</v>
      </c>
      <c r="J96" s="2">
        <v>0</v>
      </c>
      <c r="L96" s="2">
        <v>-1</v>
      </c>
      <c r="M96" s="2">
        <v>-0.45171862889432163</v>
      </c>
      <c r="N96" s="2">
        <v>1.3250886294507771</v>
      </c>
      <c r="O96" s="10">
        <f t="shared" si="90"/>
        <v>1.2500000000000002E-2</v>
      </c>
      <c r="Q96" s="2">
        <v>1.6563607868134565E-2</v>
      </c>
    </row>
    <row r="99" spans="1:17" x14ac:dyDescent="0.35">
      <c r="A99" s="1" t="s">
        <v>9</v>
      </c>
      <c r="B99" s="2">
        <f t="shared" ref="B99" si="94">IF(AND((B90 = B81), ABS(B94-B85) &lt; 0.001),B90+0.1,B90)</f>
        <v>0.30000000000000004</v>
      </c>
    </row>
    <row r="100" spans="1:17" x14ac:dyDescent="0.35">
      <c r="C100" s="1" t="s">
        <v>3</v>
      </c>
    </row>
    <row r="101" spans="1:17" x14ac:dyDescent="0.35">
      <c r="A101" s="1" t="s">
        <v>41</v>
      </c>
      <c r="B101" s="4">
        <f t="shared" ref="B101:B102" si="95">C101*180/PI()</f>
        <v>1.2891550390443525</v>
      </c>
      <c r="C101" s="2">
        <f t="shared" ref="C101:C102" si="96">C92+Q94</f>
        <v>2.2500000000000006E-2</v>
      </c>
      <c r="E101" s="7" t="s">
        <v>86</v>
      </c>
      <c r="F101" s="6">
        <f t="shared" ref="F101" si="97">-B103*COS(B$6)+B$1*COS(C101)+B$2*COS(C102)-B$3*COS(C$4)</f>
        <v>-3.6305877336954888E-4</v>
      </c>
      <c r="H101" s="11" t="s">
        <v>14</v>
      </c>
      <c r="I101" s="12"/>
      <c r="J101" s="13"/>
      <c r="L101" s="11" t="s">
        <v>42</v>
      </c>
      <c r="M101" s="12"/>
      <c r="N101" s="13"/>
      <c r="O101" s="14" t="s">
        <v>18</v>
      </c>
      <c r="Q101" s="16" t="s">
        <v>19</v>
      </c>
    </row>
    <row r="102" spans="1:17" x14ac:dyDescent="0.35">
      <c r="A102" s="1" t="s">
        <v>43</v>
      </c>
      <c r="B102" s="4">
        <f t="shared" si="95"/>
        <v>23.916661411598788</v>
      </c>
      <c r="C102" s="2">
        <f t="shared" si="96"/>
        <v>0.41742448771707358</v>
      </c>
      <c r="E102" s="7" t="s">
        <v>87</v>
      </c>
      <c r="F102" s="6">
        <f t="shared" ref="F102" si="98">-B103*SIN(B$6)+B$1*SIN(C101)+B$2*SIN(C102)-B$3*SIN(C$4)</f>
        <v>-6.1106241865171995E-5</v>
      </c>
      <c r="H102" s="8" t="s">
        <v>16</v>
      </c>
      <c r="I102" s="8" t="s">
        <v>15</v>
      </c>
      <c r="J102" s="9" t="s">
        <v>8</v>
      </c>
      <c r="L102" s="8" t="s">
        <v>16</v>
      </c>
      <c r="M102" s="8" t="s">
        <v>15</v>
      </c>
      <c r="N102" s="9" t="s">
        <v>8</v>
      </c>
      <c r="O102" s="15"/>
      <c r="Q102" s="17"/>
    </row>
    <row r="103" spans="1:17" x14ac:dyDescent="0.35">
      <c r="A103" s="1" t="s">
        <v>8</v>
      </c>
      <c r="B103" s="4">
        <f t="shared" ref="B103" si="99">B94+Q96</f>
        <v>8.4844203327800631</v>
      </c>
      <c r="C103" s="2"/>
      <c r="E103" s="7" t="s">
        <v>88</v>
      </c>
      <c r="F103" s="6">
        <f>C101-F$3*B99-0.5*(F$4)*B99^2</f>
        <v>0</v>
      </c>
      <c r="H103" s="2">
        <f t="shared" ref="H103" si="100">-B$1*SIN(C101)</f>
        <v>-6.749430483166087E-2</v>
      </c>
      <c r="I103" s="2">
        <f t="shared" ref="I103" si="101">-B$2*SIN(C102)</f>
        <v>-2.4324445889264741</v>
      </c>
      <c r="J103" s="2">
        <f t="shared" ref="J103" si="102">-COS(B$6)</f>
        <v>-1</v>
      </c>
      <c r="L103" s="2" cm="1">
        <f t="array" ref="L103:N105">MINVERSE(H103:J105)</f>
        <v>0</v>
      </c>
      <c r="M103" s="2">
        <v>-7.4033607274615003E-17</v>
      </c>
      <c r="N103" s="2">
        <v>1.0000000000000002</v>
      </c>
      <c r="O103" s="10">
        <f t="shared" ref="O103:O105" si="103">-F101</f>
        <v>3.6305877336954888E-4</v>
      </c>
      <c r="Q103" s="2" cm="1">
        <f t="array" ref="Q103:Q105">MMULT(L103:N105,O103:O105)</f>
        <v>-4.5239155122737811E-21</v>
      </c>
    </row>
    <row r="104" spans="1:17" x14ac:dyDescent="0.35">
      <c r="H104" s="2">
        <f t="shared" ref="H104" si="104">B$1*COS(C101)</f>
        <v>2.9992406570355925</v>
      </c>
      <c r="I104" s="2">
        <f t="shared" ref="I104" si="105">B$2*COS(C102)</f>
        <v>5.4848166169711012</v>
      </c>
      <c r="J104" s="2">
        <f t="shared" ref="J104" si="106">-SIN(B$6)</f>
        <v>0</v>
      </c>
      <c r="L104" s="2">
        <v>0</v>
      </c>
      <c r="M104" s="2">
        <v>0.18232150130704525</v>
      </c>
      <c r="N104" s="2">
        <v>-0.54682605937185802</v>
      </c>
      <c r="O104" s="10">
        <f t="shared" si="103"/>
        <v>6.1106241865171995E-5</v>
      </c>
      <c r="Q104" s="2">
        <v>1.114098175608958E-5</v>
      </c>
    </row>
    <row r="105" spans="1:17" x14ac:dyDescent="0.35">
      <c r="H105" s="2">
        <v>1</v>
      </c>
      <c r="I105" s="2">
        <v>0</v>
      </c>
      <c r="J105" s="2">
        <v>0</v>
      </c>
      <c r="L105" s="2">
        <v>-1</v>
      </c>
      <c r="M105" s="2">
        <v>-0.44348694929927324</v>
      </c>
      <c r="N105" s="2">
        <v>1.2626297843714018</v>
      </c>
      <c r="O105" s="10">
        <f t="shared" si="103"/>
        <v>0</v>
      </c>
      <c r="Q105" s="2">
        <v>-3.9015859415747755E-4</v>
      </c>
    </row>
    <row r="108" spans="1:17" x14ac:dyDescent="0.35">
      <c r="A108" s="1" t="s">
        <v>9</v>
      </c>
      <c r="B108" s="2">
        <f t="shared" ref="B108" si="107">IF(AND((B99 = B90), ABS(B103-B94) &lt; 0.001),B99+0.1,B99)</f>
        <v>0.30000000000000004</v>
      </c>
    </row>
    <row r="109" spans="1:17" x14ac:dyDescent="0.35">
      <c r="C109" s="1" t="s">
        <v>3</v>
      </c>
    </row>
    <row r="110" spans="1:17" x14ac:dyDescent="0.35">
      <c r="A110" s="1" t="s">
        <v>44</v>
      </c>
      <c r="B110" s="4">
        <f t="shared" ref="B110:B111" si="108">C110*180/PI()</f>
        <v>1.2891550390443525</v>
      </c>
      <c r="C110" s="2">
        <f t="shared" ref="C110:C111" si="109">C101+Q103</f>
        <v>2.2500000000000006E-2</v>
      </c>
      <c r="E110" s="7" t="s">
        <v>95</v>
      </c>
      <c r="F110" s="6">
        <f t="shared" ref="F110" si="110">-B112*COS(B$6)+B$1*COS(C110)+B$2*COS(C111)-B$3*COS(C$4)</f>
        <v>-3.4039097977995106E-10</v>
      </c>
      <c r="H110" s="11" t="s">
        <v>14</v>
      </c>
      <c r="I110" s="12"/>
      <c r="J110" s="13"/>
      <c r="L110" s="11" t="s">
        <v>45</v>
      </c>
      <c r="M110" s="12"/>
      <c r="N110" s="13"/>
      <c r="O110" s="14" t="s">
        <v>18</v>
      </c>
      <c r="Q110" s="16" t="s">
        <v>19</v>
      </c>
    </row>
    <row r="111" spans="1:17" x14ac:dyDescent="0.35">
      <c r="A111" s="1" t="s">
        <v>46</v>
      </c>
      <c r="B111" s="4">
        <f t="shared" si="108"/>
        <v>23.917299742833045</v>
      </c>
      <c r="C111" s="2">
        <f t="shared" si="109"/>
        <v>0.41743562869882966</v>
      </c>
      <c r="E111" s="7" t="s">
        <v>96</v>
      </c>
      <c r="F111" s="6">
        <f t="shared" ref="F111" si="111">-B112*SIN(B$6)+B$1*SIN(C110)+B$2*SIN(C111)-B$3*SIN(C$4)</f>
        <v>-1.5096057737196134E-10</v>
      </c>
      <c r="H111" s="8" t="s">
        <v>16</v>
      </c>
      <c r="I111" s="8" t="s">
        <v>15</v>
      </c>
      <c r="J111" s="9" t="s">
        <v>8</v>
      </c>
      <c r="L111" s="8" t="s">
        <v>16</v>
      </c>
      <c r="M111" s="8" t="s">
        <v>15</v>
      </c>
      <c r="N111" s="9" t="s">
        <v>8</v>
      </c>
      <c r="O111" s="15"/>
      <c r="Q111" s="17"/>
    </row>
    <row r="112" spans="1:17" x14ac:dyDescent="0.35">
      <c r="A112" s="1" t="s">
        <v>8</v>
      </c>
      <c r="B112" s="4">
        <f t="shared" ref="B112" si="112">B103+Q105</f>
        <v>8.4840301741859054</v>
      </c>
      <c r="C112" s="2"/>
      <c r="E112" s="7" t="s">
        <v>97</v>
      </c>
      <c r="F112" s="6">
        <f>C110-F$3*B108-0.5*(F$4)*B108^2</f>
        <v>0</v>
      </c>
      <c r="H112" s="2">
        <f t="shared" ref="H112" si="113">-B$1*SIN(C110)</f>
        <v>-6.749430483166087E-2</v>
      </c>
      <c r="I112" s="2">
        <f t="shared" ref="I112" si="114">-B$2*SIN(C111)</f>
        <v>-2.4325056950173787</v>
      </c>
      <c r="J112" s="2">
        <f t="shared" ref="J112" si="115">-COS(B$6)</f>
        <v>-1</v>
      </c>
      <c r="L112" s="2" cm="1">
        <f t="array" ref="L112:N114">MINVERSE(H112:J114)</f>
        <v>0</v>
      </c>
      <c r="M112" s="2">
        <v>0</v>
      </c>
      <c r="N112" s="2">
        <v>1</v>
      </c>
      <c r="O112" s="10">
        <f t="shared" ref="O112:O114" si="116">-F110</f>
        <v>3.4039097977995106E-10</v>
      </c>
      <c r="Q112" s="2" cm="1">
        <f t="array" ref="Q112:Q114">MMULT(L112:N114,O112:O114)</f>
        <v>0</v>
      </c>
    </row>
    <row r="113" spans="1:17" x14ac:dyDescent="0.35">
      <c r="H113" s="2">
        <f t="shared" ref="H113" si="117">B$1*COS(C110)</f>
        <v>2.9992406570355925</v>
      </c>
      <c r="I113" s="2">
        <f t="shared" ref="I113" si="118">B$2*COS(C111)</f>
        <v>5.4847895168099221</v>
      </c>
      <c r="J113" s="2">
        <f t="shared" ref="J113" si="119">-SIN(B$6)</f>
        <v>0</v>
      </c>
      <c r="L113" s="2">
        <v>0</v>
      </c>
      <c r="M113" s="2">
        <v>0.18232240215147266</v>
      </c>
      <c r="N113" s="2">
        <v>-0.54682876122109036</v>
      </c>
      <c r="O113" s="10">
        <f t="shared" si="116"/>
        <v>1.5096057737196134E-10</v>
      </c>
      <c r="Q113" s="2">
        <v>2.7523495096629239E-11</v>
      </c>
    </row>
    <row r="114" spans="1:17" x14ac:dyDescent="0.35">
      <c r="H114" s="2">
        <v>1</v>
      </c>
      <c r="I114" s="2">
        <v>0</v>
      </c>
      <c r="J114" s="2">
        <v>0</v>
      </c>
      <c r="L114" s="2">
        <v>-1</v>
      </c>
      <c r="M114" s="2">
        <v>-0.44350028156270604</v>
      </c>
      <c r="N114" s="2">
        <v>1.2626697710379398</v>
      </c>
      <c r="O114" s="10">
        <f t="shared" si="116"/>
        <v>0</v>
      </c>
      <c r="Q114" s="2">
        <v>-4.0734203834928457E-10</v>
      </c>
    </row>
    <row r="117" spans="1:17" x14ac:dyDescent="0.35">
      <c r="A117" s="1" t="s">
        <v>9</v>
      </c>
      <c r="B117" s="2">
        <f t="shared" ref="B117" si="120">IF(AND((B108 = B99), ABS(B112-B103) &lt; 0.001),B108+0.1,B108)</f>
        <v>0.4</v>
      </c>
    </row>
    <row r="118" spans="1:17" x14ac:dyDescent="0.35">
      <c r="C118" s="1" t="s">
        <v>3</v>
      </c>
    </row>
    <row r="119" spans="1:17" x14ac:dyDescent="0.35">
      <c r="A119" s="1" t="s">
        <v>47</v>
      </c>
      <c r="B119" s="4">
        <f t="shared" ref="B119:B120" si="121">C119*180/PI()</f>
        <v>1.2891550390443525</v>
      </c>
      <c r="C119" s="2">
        <f t="shared" ref="C119:C120" si="122">C110+Q112</f>
        <v>2.2500000000000006E-2</v>
      </c>
      <c r="E119" s="7" t="s">
        <v>98</v>
      </c>
      <c r="F119" s="6">
        <f t="shared" ref="F119" si="123">-B121*COS(B$6)+B$1*COS(C119)+B$2*COS(C120)-B$3*COS(C$4)</f>
        <v>-1.531435568635775E-16</v>
      </c>
      <c r="H119" s="11" t="s">
        <v>14</v>
      </c>
      <c r="I119" s="12"/>
      <c r="J119" s="13"/>
      <c r="L119" s="11" t="s">
        <v>48</v>
      </c>
      <c r="M119" s="12"/>
      <c r="N119" s="13"/>
      <c r="O119" s="14" t="s">
        <v>18</v>
      </c>
      <c r="Q119" s="16" t="s">
        <v>19</v>
      </c>
    </row>
    <row r="120" spans="1:17" x14ac:dyDescent="0.35">
      <c r="A120" s="1" t="s">
        <v>49</v>
      </c>
      <c r="B120" s="4">
        <f t="shared" si="121"/>
        <v>23.917299744410023</v>
      </c>
      <c r="C120" s="2">
        <f t="shared" si="122"/>
        <v>0.41743562872635315</v>
      </c>
      <c r="E120" s="7" t="s">
        <v>99</v>
      </c>
      <c r="F120" s="6">
        <f t="shared" ref="F120" si="124">-B121*SIN(B$6)+B$1*SIN(C119)+B$2*SIN(C120)-B$3*SIN(C$4)</f>
        <v>0</v>
      </c>
      <c r="H120" s="8" t="s">
        <v>16</v>
      </c>
      <c r="I120" s="8" t="s">
        <v>15</v>
      </c>
      <c r="J120" s="9" t="s">
        <v>8</v>
      </c>
      <c r="L120" s="8" t="s">
        <v>16</v>
      </c>
      <c r="M120" s="8" t="s">
        <v>15</v>
      </c>
      <c r="N120" s="9" t="s">
        <v>8</v>
      </c>
      <c r="O120" s="15"/>
      <c r="Q120" s="17"/>
    </row>
    <row r="121" spans="1:17" x14ac:dyDescent="0.35">
      <c r="A121" s="1" t="s">
        <v>8</v>
      </c>
      <c r="B121" s="4">
        <f t="shared" ref="B121" si="125">B112+Q114</f>
        <v>8.4840301737785637</v>
      </c>
      <c r="C121" s="2"/>
      <c r="E121" s="7" t="s">
        <v>100</v>
      </c>
      <c r="F121" s="6">
        <f>C119-F$3*B117-0.5*(F$4)*B117^2</f>
        <v>-1.7500000000000002E-2</v>
      </c>
      <c r="H121" s="2">
        <f t="shared" ref="H121" si="126">-B$1*SIN(C119)</f>
        <v>-6.749430483166087E-2</v>
      </c>
      <c r="I121" s="2">
        <f t="shared" ref="I121" si="127">-B$2*SIN(C120)</f>
        <v>-2.4325056951683397</v>
      </c>
      <c r="J121" s="2">
        <f t="shared" ref="J121" si="128">-COS(B$6)</f>
        <v>-1</v>
      </c>
      <c r="L121" s="2" cm="1">
        <f t="array" ref="L121:N123">MINVERSE(H121:J123)</f>
        <v>0</v>
      </c>
      <c r="M121" s="2">
        <v>0</v>
      </c>
      <c r="N121" s="2">
        <v>0.99999999999999989</v>
      </c>
      <c r="O121" s="10">
        <f t="shared" ref="O121:O123" si="129">-F119</f>
        <v>1.531435568635775E-16</v>
      </c>
      <c r="Q121" s="2" cm="1">
        <f t="array" ref="Q121:Q123">MMULT(L121:N123,O121:O123)</f>
        <v>1.7499999999999998E-2</v>
      </c>
    </row>
    <row r="122" spans="1:17" x14ac:dyDescent="0.35">
      <c r="H122" s="2">
        <f t="shared" ref="H122" si="130">B$1*COS(C119)</f>
        <v>2.9992406570355925</v>
      </c>
      <c r="I122" s="2">
        <f t="shared" ref="I122" si="131">B$2*COS(C120)</f>
        <v>5.4847895167429712</v>
      </c>
      <c r="J122" s="2">
        <f t="shared" ref="J122" si="132">-SIN(B$6)</f>
        <v>0</v>
      </c>
      <c r="L122" s="2">
        <v>0</v>
      </c>
      <c r="M122" s="2">
        <v>0.18232240215369822</v>
      </c>
      <c r="N122" s="2">
        <v>-0.54682876122776525</v>
      </c>
      <c r="O122" s="10">
        <f t="shared" si="129"/>
        <v>0</v>
      </c>
      <c r="Q122" s="2">
        <v>-9.5695033214858935E-3</v>
      </c>
    </row>
    <row r="123" spans="1:17" x14ac:dyDescent="0.35">
      <c r="H123" s="2">
        <v>1</v>
      </c>
      <c r="I123" s="2">
        <v>0</v>
      </c>
      <c r="J123" s="2">
        <v>0</v>
      </c>
      <c r="L123" s="2">
        <v>-1</v>
      </c>
      <c r="M123" s="2">
        <v>-0.44350028159564331</v>
      </c>
      <c r="N123" s="2">
        <v>1.2626697711367265</v>
      </c>
      <c r="O123" s="10">
        <f t="shared" si="129"/>
        <v>1.7500000000000002E-2</v>
      </c>
      <c r="Q123" s="2">
        <v>2.2096720994892564E-2</v>
      </c>
    </row>
    <row r="126" spans="1:17" x14ac:dyDescent="0.35">
      <c r="A126" s="1" t="s">
        <v>9</v>
      </c>
      <c r="B126" s="2">
        <f t="shared" ref="B126" si="133">IF(AND((B117 = B108), ABS(B121-B112) &lt; 0.001),B117+0.1,B117)</f>
        <v>0.4</v>
      </c>
    </row>
    <row r="127" spans="1:17" x14ac:dyDescent="0.35">
      <c r="C127" s="1" t="s">
        <v>3</v>
      </c>
    </row>
    <row r="128" spans="1:17" x14ac:dyDescent="0.35">
      <c r="A128" s="1" t="s">
        <v>50</v>
      </c>
      <c r="B128" s="4">
        <f t="shared" ref="B128:B129" si="134">C128*180/PI()</f>
        <v>2.2918311805232934</v>
      </c>
      <c r="C128" s="2">
        <f t="shared" ref="C128:C129" si="135">C119+Q121</f>
        <v>4.0000000000000008E-2</v>
      </c>
      <c r="E128" s="7" t="s">
        <v>101</v>
      </c>
      <c r="F128" s="6">
        <f t="shared" ref="F128" si="136">-B130*COS(B$6)+B$1*COS(C128)+B$2*COS(C129)-B$3*COS(C$4)</f>
        <v>-7.1067596004074961E-4</v>
      </c>
      <c r="H128" s="11" t="s">
        <v>14</v>
      </c>
      <c r="I128" s="12"/>
      <c r="J128" s="13"/>
      <c r="L128" s="11" t="s">
        <v>51</v>
      </c>
      <c r="M128" s="12"/>
      <c r="N128" s="13"/>
      <c r="O128" s="14" t="s">
        <v>18</v>
      </c>
      <c r="Q128" s="16" t="s">
        <v>19</v>
      </c>
    </row>
    <row r="129" spans="1:17" x14ac:dyDescent="0.35">
      <c r="A129" s="1" t="s">
        <v>52</v>
      </c>
      <c r="B129" s="4">
        <f t="shared" si="134"/>
        <v>23.369007592052458</v>
      </c>
      <c r="C129" s="2">
        <f t="shared" si="135"/>
        <v>0.40786612540486727</v>
      </c>
      <c r="E129" s="7" t="s">
        <v>102</v>
      </c>
      <c r="F129" s="6">
        <f t="shared" ref="F129" si="137">-B130*SIN(B$6)+B$1*SIN(C128)+B$2*SIN(C129)-B$3*SIN(C$4)</f>
        <v>-1.2359067521083844E-4</v>
      </c>
      <c r="H129" s="8" t="s">
        <v>16</v>
      </c>
      <c r="I129" s="8" t="s">
        <v>15</v>
      </c>
      <c r="J129" s="9" t="s">
        <v>8</v>
      </c>
      <c r="L129" s="8" t="s">
        <v>16</v>
      </c>
      <c r="M129" s="8" t="s">
        <v>15</v>
      </c>
      <c r="N129" s="9" t="s">
        <v>8</v>
      </c>
      <c r="O129" s="15"/>
      <c r="Q129" s="17"/>
    </row>
    <row r="130" spans="1:17" x14ac:dyDescent="0.35">
      <c r="A130" s="1" t="s">
        <v>8</v>
      </c>
      <c r="B130" s="4">
        <f t="shared" ref="B130" si="138">B121+Q123</f>
        <v>8.5061268947734554</v>
      </c>
      <c r="C130" s="2"/>
      <c r="E130" s="7" t="s">
        <v>103</v>
      </c>
      <c r="F130" s="6">
        <f>C128-F$3*B126-0.5*(F$4)*B126^2</f>
        <v>0</v>
      </c>
      <c r="H130" s="2">
        <f t="shared" ref="H130" si="139">-B$1*SIN(C128)</f>
        <v>-0.1199680025599025</v>
      </c>
      <c r="I130" s="2">
        <f t="shared" ref="I130" si="140">-B$2*SIN(C129)</f>
        <v>-2.3799084067648866</v>
      </c>
      <c r="J130" s="2">
        <f t="shared" ref="J130" si="141">-COS(B$6)</f>
        <v>-1</v>
      </c>
      <c r="L130" s="2" cm="1">
        <f t="array" ref="L130:N132">MINVERSE(H130:J132)</f>
        <v>0</v>
      </c>
      <c r="M130" s="2">
        <v>0</v>
      </c>
      <c r="N130" s="2">
        <v>1</v>
      </c>
      <c r="O130" s="10">
        <f t="shared" ref="O130:O132" si="142">-F128</f>
        <v>7.1067596004074961E-4</v>
      </c>
      <c r="Q130" s="2" cm="1">
        <f t="array" ref="Q130:Q132">MMULT(L130:N132,O130:O132)</f>
        <v>0</v>
      </c>
    </row>
    <row r="131" spans="1:17" x14ac:dyDescent="0.35">
      <c r="H131" s="2">
        <f t="shared" ref="H131" si="143">B$1*COS(C128)</f>
        <v>2.9976003199829337</v>
      </c>
      <c r="I131" s="2">
        <f t="shared" ref="I131" si="144">B$2*COS(C129)</f>
        <v>5.5078158988304811</v>
      </c>
      <c r="J131" s="2">
        <f t="shared" ref="J131" si="145">-SIN(B$6)</f>
        <v>0</v>
      </c>
      <c r="L131" s="2">
        <v>0</v>
      </c>
      <c r="M131" s="2">
        <v>0.18156017164850011</v>
      </c>
      <c r="N131" s="2">
        <v>-0.54424482862970025</v>
      </c>
      <c r="O131" s="10">
        <f t="shared" si="142"/>
        <v>1.2359067521083844E-4</v>
      </c>
      <c r="Q131" s="2">
        <v>2.2439144205433856E-5</v>
      </c>
    </row>
    <row r="132" spans="1:17" x14ac:dyDescent="0.35">
      <c r="H132" s="2">
        <v>1</v>
      </c>
      <c r="I132" s="2">
        <v>0</v>
      </c>
      <c r="J132" s="2">
        <v>0</v>
      </c>
      <c r="L132" s="2">
        <v>-1</v>
      </c>
      <c r="M132" s="2">
        <v>-0.43209657883994124</v>
      </c>
      <c r="N132" s="2">
        <v>1.1752848404342362</v>
      </c>
      <c r="O132" s="10">
        <f t="shared" si="142"/>
        <v>0</v>
      </c>
      <c r="Q132" s="2">
        <v>-7.6407906797587122E-4</v>
      </c>
    </row>
    <row r="135" spans="1:17" x14ac:dyDescent="0.35">
      <c r="A135" s="1" t="s">
        <v>9</v>
      </c>
      <c r="B135" s="2">
        <f t="shared" ref="B135" si="146">IF(AND((B126 = B117), ABS(B130-B121) &lt; 0.001),B126+0.1,B126)</f>
        <v>0.4</v>
      </c>
    </row>
    <row r="136" spans="1:17" x14ac:dyDescent="0.35">
      <c r="C136" s="1" t="s">
        <v>3</v>
      </c>
    </row>
    <row r="137" spans="1:17" x14ac:dyDescent="0.35">
      <c r="A137" s="1" t="s">
        <v>53</v>
      </c>
      <c r="B137" s="4">
        <f t="shared" ref="B137:B138" si="147">C137*180/PI()</f>
        <v>2.2918311805232934</v>
      </c>
      <c r="C137" s="2">
        <f t="shared" ref="C137:C138" si="148">C128+Q130</f>
        <v>4.0000000000000008E-2</v>
      </c>
      <c r="E137" s="7" t="s">
        <v>104</v>
      </c>
      <c r="F137" s="6">
        <f t="shared" ref="F137" si="149">-B139*COS(B$6)+B$1*COS(C137)+B$2*COS(C138)-B$3*COS(C$4)</f>
        <v>-1.3866305192283303E-9</v>
      </c>
      <c r="H137" s="11" t="s">
        <v>14</v>
      </c>
      <c r="I137" s="12"/>
      <c r="J137" s="13"/>
      <c r="L137" s="11" t="s">
        <v>54</v>
      </c>
      <c r="M137" s="12"/>
      <c r="N137" s="13"/>
      <c r="O137" s="14" t="s">
        <v>18</v>
      </c>
      <c r="Q137" s="16" t="s">
        <v>19</v>
      </c>
    </row>
    <row r="138" spans="1:17" x14ac:dyDescent="0.35">
      <c r="A138" s="1" t="s">
        <v>55</v>
      </c>
      <c r="B138" s="4">
        <f t="shared" si="147"/>
        <v>23.370293260311314</v>
      </c>
      <c r="C138" s="2">
        <f t="shared" si="148"/>
        <v>0.40788856454907269</v>
      </c>
      <c r="E138" s="7" t="s">
        <v>105</v>
      </c>
      <c r="F138" s="6">
        <f t="shared" ref="F138" si="150">-B139*SIN(B$6)+B$1*SIN(C137)+B$2*SIN(C138)-B$3*SIN(C$4)</f>
        <v>-5.9917049100022268E-10</v>
      </c>
      <c r="H138" s="8" t="s">
        <v>16</v>
      </c>
      <c r="I138" s="8" t="s">
        <v>15</v>
      </c>
      <c r="J138" s="9" t="s">
        <v>8</v>
      </c>
      <c r="L138" s="8" t="s">
        <v>16</v>
      </c>
      <c r="M138" s="8" t="s">
        <v>15</v>
      </c>
      <c r="N138" s="9" t="s">
        <v>8</v>
      </c>
      <c r="O138" s="15"/>
      <c r="Q138" s="17"/>
    </row>
    <row r="139" spans="1:17" x14ac:dyDescent="0.35">
      <c r="A139" s="1" t="s">
        <v>8</v>
      </c>
      <c r="B139" s="4">
        <f t="shared" ref="B139" si="151">B130+Q132</f>
        <v>8.5053628157054799</v>
      </c>
      <c r="C139" s="2"/>
      <c r="E139" s="7" t="s">
        <v>106</v>
      </c>
      <c r="F139" s="6">
        <f>C137-F$3*B135-0.5*(F$4)*B135^2</f>
        <v>0</v>
      </c>
      <c r="H139" s="2">
        <f t="shared" ref="H139" si="152">-B$1*SIN(C137)</f>
        <v>-0.1199680025599025</v>
      </c>
      <c r="I139" s="2">
        <f t="shared" ref="I139" si="153">-B$2*SIN(C138)</f>
        <v>-2.3800319968409269</v>
      </c>
      <c r="J139" s="2">
        <f t="shared" ref="J139" si="154">-COS(B$6)</f>
        <v>-1</v>
      </c>
      <c r="L139" s="2" cm="1">
        <f t="array" ref="L139:N141">MINVERSE(H139:J141)</f>
        <v>0</v>
      </c>
      <c r="M139" s="2">
        <v>0</v>
      </c>
      <c r="N139" s="2">
        <v>1</v>
      </c>
      <c r="O139" s="10">
        <f t="shared" ref="O139:O141" si="155">-F137</f>
        <v>1.3866305192283303E-9</v>
      </c>
      <c r="Q139" s="2" cm="1">
        <f t="array" ref="Q139:Q141">MMULT(L139:N141,O139:O141)</f>
        <v>0</v>
      </c>
    </row>
    <row r="140" spans="1:17" x14ac:dyDescent="0.35">
      <c r="H140" s="2">
        <f t="shared" ref="H140" si="156">B$1*COS(C137)</f>
        <v>2.9976003199829337</v>
      </c>
      <c r="I140" s="2">
        <f t="shared" ref="I140" si="157">B$2*COS(C138)</f>
        <v>5.5077624943359158</v>
      </c>
      <c r="J140" s="2">
        <f t="shared" ref="J140" si="158">-SIN(B$6)</f>
        <v>0</v>
      </c>
      <c r="L140" s="2">
        <v>0</v>
      </c>
      <c r="M140" s="2">
        <v>0.18156193209645152</v>
      </c>
      <c r="N140" s="2">
        <v>-0.54425010574904276</v>
      </c>
      <c r="O140" s="10">
        <f t="shared" si="155"/>
        <v>5.9917049100022268E-10</v>
      </c>
      <c r="Q140" s="2">
        <v>1.0878655200117995E-10</v>
      </c>
    </row>
    <row r="141" spans="1:17" x14ac:dyDescent="0.35">
      <c r="H141" s="2">
        <v>1</v>
      </c>
      <c r="I141" s="2">
        <v>0</v>
      </c>
      <c r="J141" s="2">
        <v>0</v>
      </c>
      <c r="L141" s="2">
        <v>-1</v>
      </c>
      <c r="M141" s="2">
        <v>-0.43212320779781432</v>
      </c>
      <c r="N141" s="2">
        <v>1.1753646634068775</v>
      </c>
      <c r="O141" s="10">
        <f t="shared" si="155"/>
        <v>0</v>
      </c>
      <c r="Q141" s="2">
        <v>-1.6455459938171379E-9</v>
      </c>
    </row>
    <row r="144" spans="1:17" x14ac:dyDescent="0.35">
      <c r="A144" s="1" t="s">
        <v>9</v>
      </c>
      <c r="B144" s="2">
        <f t="shared" ref="B144" si="159">IF(AND((B135 = B126), ABS(B139-B130) &lt; 0.001),B135+0.1,B135)</f>
        <v>0.5</v>
      </c>
    </row>
    <row r="145" spans="1:17" x14ac:dyDescent="0.35">
      <c r="C145" s="1" t="s">
        <v>3</v>
      </c>
    </row>
    <row r="146" spans="1:17" x14ac:dyDescent="0.35">
      <c r="A146" s="1" t="s">
        <v>56</v>
      </c>
      <c r="B146" s="4">
        <f t="shared" ref="B146:B147" si="160">C146*180/PI()</f>
        <v>2.2918311805232934</v>
      </c>
      <c r="C146" s="2">
        <f t="shared" ref="C146:C147" si="161">C137+Q139</f>
        <v>4.0000000000000008E-2</v>
      </c>
      <c r="E146" s="7" t="s">
        <v>107</v>
      </c>
      <c r="F146" s="6">
        <f t="shared" ref="F146" si="162">-B148*COS(B$6)+B$1*COS(C146)+B$2*COS(C147)-B$3*COS(C$4)</f>
        <v>-1.531435568635775E-16</v>
      </c>
      <c r="H146" s="11" t="s">
        <v>14</v>
      </c>
      <c r="I146" s="12"/>
      <c r="J146" s="13"/>
      <c r="L146" s="11" t="s">
        <v>57</v>
      </c>
      <c r="M146" s="12"/>
      <c r="N146" s="13"/>
      <c r="O146" s="14" t="s">
        <v>18</v>
      </c>
      <c r="Q146" s="16" t="s">
        <v>19</v>
      </c>
    </row>
    <row r="147" spans="1:17" x14ac:dyDescent="0.35">
      <c r="A147" s="1" t="s">
        <v>58</v>
      </c>
      <c r="B147" s="4">
        <f t="shared" si="160"/>
        <v>23.370293266544323</v>
      </c>
      <c r="C147" s="2">
        <f t="shared" si="161"/>
        <v>0.40788856465785922</v>
      </c>
      <c r="E147" s="7" t="s">
        <v>108</v>
      </c>
      <c r="F147" s="6">
        <f t="shared" ref="F147" si="163">-B148*SIN(B$6)+B$1*SIN(C146)+B$2*SIN(C147)-B$3*SIN(C$4)</f>
        <v>0</v>
      </c>
      <c r="H147" s="8" t="s">
        <v>16</v>
      </c>
      <c r="I147" s="8" t="s">
        <v>15</v>
      </c>
      <c r="J147" s="9" t="s">
        <v>8</v>
      </c>
      <c r="L147" s="8" t="s">
        <v>16</v>
      </c>
      <c r="M147" s="8" t="s">
        <v>15</v>
      </c>
      <c r="N147" s="9" t="s">
        <v>8</v>
      </c>
      <c r="O147" s="15"/>
      <c r="Q147" s="17"/>
    </row>
    <row r="148" spans="1:17" x14ac:dyDescent="0.35">
      <c r="A148" s="1" t="s">
        <v>8</v>
      </c>
      <c r="B148" s="4">
        <f t="shared" ref="B148" si="164">B139+Q141</f>
        <v>8.505362814059934</v>
      </c>
      <c r="C148" s="2"/>
      <c r="E148" s="7" t="s">
        <v>109</v>
      </c>
      <c r="F148" s="6">
        <f>C146-F$3*B144-0.5*(F$4)*B144^2</f>
        <v>-2.2499999999999992E-2</v>
      </c>
      <c r="H148" s="2">
        <f t="shared" ref="H148" si="165">-B$1*SIN(C146)</f>
        <v>-0.1199680025599025</v>
      </c>
      <c r="I148" s="2">
        <f t="shared" ref="I148" si="166">-B$2*SIN(C147)</f>
        <v>-2.3800319974400974</v>
      </c>
      <c r="J148" s="2">
        <f t="shared" ref="J148" si="167">-COS(B$6)</f>
        <v>-1</v>
      </c>
      <c r="L148" s="2" cm="1">
        <f t="array" ref="L148:N150">MINVERSE(H148:J150)</f>
        <v>0</v>
      </c>
      <c r="M148" s="2">
        <v>-7.407411970328836E-17</v>
      </c>
      <c r="N148" s="2">
        <v>1.0000000000000002</v>
      </c>
      <c r="O148" s="10">
        <f t="shared" ref="O148:O150" si="168">-F146</f>
        <v>1.531435568635775E-16</v>
      </c>
      <c r="Q148" s="2" cm="1">
        <f t="array" ref="Q148:Q150">MMULT(L148:N150,O148:O150)</f>
        <v>2.2499999999999996E-2</v>
      </c>
    </row>
    <row r="149" spans="1:17" x14ac:dyDescent="0.35">
      <c r="H149" s="2">
        <f t="shared" ref="H149" si="169">B$1*COS(C146)</f>
        <v>2.9976003199829337</v>
      </c>
      <c r="I149" s="2">
        <f t="shared" ref="I149" si="170">B$2*COS(C147)</f>
        <v>5.5077624940770002</v>
      </c>
      <c r="J149" s="2">
        <f t="shared" ref="J149" si="171">-SIN(B$6)</f>
        <v>0</v>
      </c>
      <c r="L149" s="2">
        <v>0</v>
      </c>
      <c r="M149" s="2">
        <v>0.18156193210498664</v>
      </c>
      <c r="N149" s="2">
        <v>-0.54425010577462762</v>
      </c>
      <c r="O149" s="10">
        <f t="shared" si="168"/>
        <v>0</v>
      </c>
      <c r="Q149" s="2">
        <v>-1.2245627379929118E-2</v>
      </c>
    </row>
    <row r="150" spans="1:17" x14ac:dyDescent="0.35">
      <c r="H150" s="2">
        <v>1</v>
      </c>
      <c r="I150" s="2">
        <v>0</v>
      </c>
      <c r="J150" s="2">
        <v>0</v>
      </c>
      <c r="L150" s="2">
        <v>-1</v>
      </c>
      <c r="M150" s="2">
        <v>-0.43212320792691467</v>
      </c>
      <c r="N150" s="2">
        <v>1.1753646637938686</v>
      </c>
      <c r="O150" s="10">
        <f t="shared" si="168"/>
        <v>2.2499999999999992E-2</v>
      </c>
      <c r="Q150" s="2">
        <v>2.6445704935361882E-2</v>
      </c>
    </row>
    <row r="153" spans="1:17" x14ac:dyDescent="0.35">
      <c r="A153" s="1" t="s">
        <v>9</v>
      </c>
      <c r="B153" s="2">
        <f t="shared" ref="B153" si="172">IF(AND((B144 = B135), ABS(B148-B139) &lt; 0.001),B144+0.1,B144)</f>
        <v>0.5</v>
      </c>
    </row>
    <row r="154" spans="1:17" x14ac:dyDescent="0.35">
      <c r="C154" s="1" t="s">
        <v>3</v>
      </c>
    </row>
    <row r="155" spans="1:17" x14ac:dyDescent="0.35">
      <c r="A155" s="1" t="s">
        <v>59</v>
      </c>
      <c r="B155" s="4">
        <f t="shared" ref="B155:B156" si="173">C155*180/PI()</f>
        <v>3.5809862195676452</v>
      </c>
      <c r="C155" s="2">
        <f t="shared" ref="C155:C156" si="174">C146+Q148</f>
        <v>6.25E-2</v>
      </c>
      <c r="E155" s="7" t="s">
        <v>110</v>
      </c>
      <c r="F155" s="6">
        <f t="shared" ref="F155" si="175">-B157*COS(B$6)+B$1*COS(C155)+B$2*COS(C156)-B$3*COS(C$4)</f>
        <v>-1.1721904032936802E-3</v>
      </c>
      <c r="H155" s="11" t="s">
        <v>14</v>
      </c>
      <c r="I155" s="12"/>
      <c r="J155" s="13"/>
      <c r="L155" s="11" t="s">
        <v>60</v>
      </c>
      <c r="M155" s="12"/>
      <c r="N155" s="13"/>
      <c r="O155" s="14" t="s">
        <v>18</v>
      </c>
      <c r="Q155" s="16" t="s">
        <v>19</v>
      </c>
    </row>
    <row r="156" spans="1:17" x14ac:dyDescent="0.35">
      <c r="A156" s="1" t="s">
        <v>61</v>
      </c>
      <c r="B156" s="4">
        <f t="shared" si="173"/>
        <v>22.668670500184543</v>
      </c>
      <c r="C156" s="2">
        <f t="shared" si="174"/>
        <v>0.3956429372779301</v>
      </c>
      <c r="E156" s="7" t="s">
        <v>111</v>
      </c>
      <c r="F156" s="6">
        <f t="shared" ref="F156" si="176">-B157*SIN(B$6)+B$1*SIN(C155)+B$2*SIN(C156)-B$3*SIN(C$4)</f>
        <v>-2.1281767946579322E-4</v>
      </c>
      <c r="H156" s="8" t="s">
        <v>16</v>
      </c>
      <c r="I156" s="8" t="s">
        <v>15</v>
      </c>
      <c r="J156" s="9" t="s">
        <v>8</v>
      </c>
      <c r="L156" s="8" t="s">
        <v>16</v>
      </c>
      <c r="M156" s="8" t="s">
        <v>15</v>
      </c>
      <c r="N156" s="9" t="s">
        <v>8</v>
      </c>
      <c r="O156" s="15"/>
      <c r="Q156" s="17"/>
    </row>
    <row r="157" spans="1:17" x14ac:dyDescent="0.35">
      <c r="A157" s="1" t="s">
        <v>8</v>
      </c>
      <c r="B157" s="4">
        <f t="shared" ref="B157" si="177">B148+Q150</f>
        <v>8.5318085189952964</v>
      </c>
      <c r="C157" s="2"/>
      <c r="E157" s="7" t="s">
        <v>112</v>
      </c>
      <c r="F157" s="6">
        <f>C155-F$3*B153-0.5*(F$4)*B153^2</f>
        <v>0</v>
      </c>
      <c r="H157" s="2">
        <f t="shared" ref="H157" si="178">-B$1*SIN(C155)</f>
        <v>-0.18737795352714059</v>
      </c>
      <c r="I157" s="2">
        <f t="shared" ref="I157" si="179">-B$2*SIN(C156)</f>
        <v>-2.3124092287933937</v>
      </c>
      <c r="J157" s="2">
        <f t="shared" ref="J157" si="180">-COS(B$6)</f>
        <v>-1</v>
      </c>
      <c r="L157" s="2" cm="1">
        <f t="array" ref="L157:N159">MINVERSE(H157:J159)</f>
        <v>0</v>
      </c>
      <c r="M157" s="2">
        <v>0</v>
      </c>
      <c r="N157" s="2">
        <v>0.99999999999999989</v>
      </c>
      <c r="O157" s="10">
        <f t="shared" ref="O157:O159" si="181">-F155</f>
        <v>1.1721904032936802E-3</v>
      </c>
      <c r="Q157" s="2" cm="1">
        <f t="array" ref="Q157:Q159">MMULT(L157:N159,O157:O159)</f>
        <v>0</v>
      </c>
    </row>
    <row r="158" spans="1:17" x14ac:dyDescent="0.35">
      <c r="H158" s="2">
        <f t="shared" ref="H158" si="182">B$1*COS(C155)</f>
        <v>2.9941425321002972</v>
      </c>
      <c r="I158" s="2">
        <f t="shared" ref="I158" si="183">B$2*COS(C156)</f>
        <v>5.5364937964917056</v>
      </c>
      <c r="J158" s="2">
        <f t="shared" ref="J158" si="184">-SIN(B$6)</f>
        <v>0</v>
      </c>
      <c r="L158" s="2">
        <v>0</v>
      </c>
      <c r="M158" s="2">
        <v>0.18061972735048798</v>
      </c>
      <c r="N158" s="2">
        <v>-0.54080120779645535</v>
      </c>
      <c r="O158" s="10">
        <f t="shared" si="181"/>
        <v>2.1281767946579322E-4</v>
      </c>
      <c r="Q158" s="2">
        <v>3.8439071240475117E-5</v>
      </c>
    </row>
    <row r="159" spans="1:17" x14ac:dyDescent="0.35">
      <c r="H159" s="2">
        <v>1</v>
      </c>
      <c r="I159" s="2">
        <v>0</v>
      </c>
      <c r="J159" s="2">
        <v>0</v>
      </c>
      <c r="L159" s="2">
        <v>-1</v>
      </c>
      <c r="M159" s="2">
        <v>-0.41766672442741493</v>
      </c>
      <c r="N159" s="2">
        <v>1.0631757503239967</v>
      </c>
      <c r="O159" s="10">
        <f t="shared" si="181"/>
        <v>0</v>
      </c>
      <c r="Q159" s="2">
        <v>-1.2610772663764016E-3</v>
      </c>
    </row>
    <row r="162" spans="1:17" x14ac:dyDescent="0.35">
      <c r="A162" s="1" t="s">
        <v>9</v>
      </c>
      <c r="B162" s="2">
        <f t="shared" ref="B162" si="185">IF(AND((B153 = B144), ABS(B157-B148) &lt; 0.001),B153+0.1,B153)</f>
        <v>0.5</v>
      </c>
    </row>
    <row r="163" spans="1:17" x14ac:dyDescent="0.35">
      <c r="C163" s="1" t="s">
        <v>3</v>
      </c>
    </row>
    <row r="164" spans="1:17" x14ac:dyDescent="0.35">
      <c r="A164" s="1" t="s">
        <v>62</v>
      </c>
      <c r="B164" s="4">
        <f t="shared" ref="B164:B165" si="186">C164*180/PI()</f>
        <v>3.5809862195676452</v>
      </c>
      <c r="C164" s="2">
        <f t="shared" ref="C164:C165" si="187">C155+Q157</f>
        <v>6.25E-2</v>
      </c>
      <c r="E164" s="7" t="s">
        <v>113</v>
      </c>
      <c r="F164" s="6">
        <f t="shared" ref="F164" si="188">-B166*COS(B$6)+B$1*COS(C164)+B$2*COS(C165)-B$3*COS(C$4)</f>
        <v>-4.0902349706544751E-9</v>
      </c>
      <c r="H164" s="11" t="s">
        <v>14</v>
      </c>
      <c r="I164" s="12"/>
      <c r="J164" s="13"/>
      <c r="L164" s="11" t="s">
        <v>63</v>
      </c>
      <c r="M164" s="12"/>
      <c r="N164" s="13"/>
      <c r="O164" s="14" t="s">
        <v>18</v>
      </c>
      <c r="Q164" s="16" t="s">
        <v>19</v>
      </c>
    </row>
    <row r="165" spans="1:17" x14ac:dyDescent="0.35">
      <c r="A165" s="1" t="s">
        <v>64</v>
      </c>
      <c r="B165" s="4">
        <f t="shared" si="186"/>
        <v>22.670872896735023</v>
      </c>
      <c r="C165" s="2">
        <f t="shared" si="187"/>
        <v>0.39568137634917055</v>
      </c>
      <c r="E165" s="7" t="s">
        <v>114</v>
      </c>
      <c r="F165" s="6">
        <f t="shared" ref="F165" si="189">-B166*SIN(B$6)+B$1*SIN(C164)+B$2*SIN(C165)-B$3*SIN(C$4)</f>
        <v>-1.7084165193637091E-9</v>
      </c>
      <c r="H165" s="8" t="s">
        <v>16</v>
      </c>
      <c r="I165" s="8" t="s">
        <v>15</v>
      </c>
      <c r="J165" s="9" t="s">
        <v>8</v>
      </c>
      <c r="L165" s="8" t="s">
        <v>16</v>
      </c>
      <c r="M165" s="8" t="s">
        <v>15</v>
      </c>
      <c r="N165" s="9" t="s">
        <v>8</v>
      </c>
      <c r="O165" s="15"/>
      <c r="Q165" s="17"/>
    </row>
    <row r="166" spans="1:17" x14ac:dyDescent="0.35">
      <c r="A166" s="1" t="s">
        <v>8</v>
      </c>
      <c r="B166" s="4">
        <f t="shared" ref="B166" si="190">B157+Q159</f>
        <v>8.5305474417289204</v>
      </c>
      <c r="C166" s="2"/>
      <c r="E166" s="7" t="s">
        <v>115</v>
      </c>
      <c r="F166" s="6">
        <f>C164-F$3*B162-0.5*(F$4)*B162^2</f>
        <v>0</v>
      </c>
      <c r="H166" s="2">
        <f t="shared" ref="H166" si="191">-B$1*SIN(C164)</f>
        <v>-0.18737795352714059</v>
      </c>
      <c r="I166" s="2">
        <f t="shared" ref="I166" si="192">-B$2*SIN(C165)</f>
        <v>-2.312622044764443</v>
      </c>
      <c r="J166" s="2">
        <f t="shared" ref="J166" si="193">-COS(B$6)</f>
        <v>-1</v>
      </c>
      <c r="L166" s="2" cm="1">
        <f t="array" ref="L166:N168">MINVERSE(H166:J168)</f>
        <v>0</v>
      </c>
      <c r="M166" s="2">
        <v>0</v>
      </c>
      <c r="N166" s="2">
        <v>1</v>
      </c>
      <c r="O166" s="10">
        <f t="shared" ref="O166:O168" si="194">-F164</f>
        <v>4.0902349706544751E-9</v>
      </c>
      <c r="Q166" s="2" cm="1">
        <f t="array" ref="Q166:Q168">MMULT(L166:N168,O166:O168)</f>
        <v>0</v>
      </c>
    </row>
    <row r="167" spans="1:17" x14ac:dyDescent="0.35">
      <c r="H167" s="2">
        <f t="shared" ref="H167" si="195">B$1*COS(C164)</f>
        <v>2.9941425321002972</v>
      </c>
      <c r="I167" s="2">
        <f t="shared" ref="I167" si="196">B$2*COS(C165)</f>
        <v>5.5364049055383884</v>
      </c>
      <c r="J167" s="2">
        <f t="shared" ref="J167" si="197">-SIN(B$6)</f>
        <v>0</v>
      </c>
      <c r="L167" s="2">
        <v>0</v>
      </c>
      <c r="M167" s="2">
        <v>0.18062262732981141</v>
      </c>
      <c r="N167" s="2">
        <v>-0.54080989074788988</v>
      </c>
      <c r="O167" s="10">
        <f t="shared" si="194"/>
        <v>1.7084165193637091E-9</v>
      </c>
      <c r="Q167" s="2">
        <v>3.0857868030112476E-10</v>
      </c>
    </row>
    <row r="168" spans="1:17" x14ac:dyDescent="0.35">
      <c r="H168" s="2">
        <v>1</v>
      </c>
      <c r="I168" s="2">
        <v>0</v>
      </c>
      <c r="J168" s="2">
        <v>0</v>
      </c>
      <c r="L168" s="2">
        <v>-1</v>
      </c>
      <c r="M168" s="2">
        <v>-0.4177118697461944</v>
      </c>
      <c r="N168" s="2">
        <v>1.0633109218430794</v>
      </c>
      <c r="O168" s="10">
        <f t="shared" si="194"/>
        <v>0</v>
      </c>
      <c r="Q168" s="2">
        <v>-4.8038608292631758E-9</v>
      </c>
    </row>
    <row r="171" spans="1:17" x14ac:dyDescent="0.35">
      <c r="A171" s="1" t="s">
        <v>9</v>
      </c>
      <c r="B171" s="2">
        <f t="shared" ref="B171" si="198">IF(AND((B162 = B153), ABS(B166-B157) &lt; 0.001),B162+0.1,B162)</f>
        <v>0.5</v>
      </c>
    </row>
    <row r="172" spans="1:17" x14ac:dyDescent="0.35">
      <c r="C172" s="1" t="s">
        <v>3</v>
      </c>
    </row>
    <row r="173" spans="1:17" x14ac:dyDescent="0.35">
      <c r="A173" s="1" t="s">
        <v>89</v>
      </c>
      <c r="B173" s="4">
        <f t="shared" ref="B173:B174" si="199">C173*180/PI()</f>
        <v>3.5809862195676452</v>
      </c>
      <c r="C173" s="2">
        <f t="shared" ref="C173:C174" si="200">C164+Q166</f>
        <v>6.25E-2</v>
      </c>
      <c r="E173" s="7" t="s">
        <v>116</v>
      </c>
      <c r="F173" s="6">
        <f t="shared" ref="F173" si="201">-B175*COS(B$6)+B$1*COS(C173)+B$2*COS(C174)-B$3*COS(C$4)</f>
        <v>-1.0413219765637027E-15</v>
      </c>
      <c r="H173" s="11" t="s">
        <v>14</v>
      </c>
      <c r="I173" s="12"/>
      <c r="J173" s="13"/>
      <c r="L173" s="11" t="s">
        <v>90</v>
      </c>
      <c r="M173" s="12"/>
      <c r="N173" s="13"/>
      <c r="O173" s="14" t="s">
        <v>18</v>
      </c>
      <c r="Q173" s="16" t="s">
        <v>19</v>
      </c>
    </row>
    <row r="174" spans="1:17" x14ac:dyDescent="0.35">
      <c r="A174" s="1" t="s">
        <v>91</v>
      </c>
      <c r="B174" s="4">
        <f t="shared" si="199"/>
        <v>22.670872914415277</v>
      </c>
      <c r="C174" s="2">
        <f t="shared" si="200"/>
        <v>0.39568137665774922</v>
      </c>
      <c r="E174" s="7" t="s">
        <v>117</v>
      </c>
      <c r="F174" s="6">
        <f t="shared" ref="F174" si="202">-B175*SIN(B$6)+B$1*SIN(C173)+B$2*SIN(C174)-B$3*SIN(C$4)</f>
        <v>0</v>
      </c>
      <c r="H174" s="8" t="s">
        <v>16</v>
      </c>
      <c r="I174" s="8" t="s">
        <v>15</v>
      </c>
      <c r="J174" s="9" t="s">
        <v>8</v>
      </c>
      <c r="L174" s="8" t="s">
        <v>16</v>
      </c>
      <c r="M174" s="8" t="s">
        <v>15</v>
      </c>
      <c r="N174" s="9" t="s">
        <v>8</v>
      </c>
      <c r="O174" s="15"/>
      <c r="Q174" s="17"/>
    </row>
    <row r="175" spans="1:17" x14ac:dyDescent="0.35">
      <c r="A175" s="1" t="s">
        <v>8</v>
      </c>
      <c r="B175" s="4">
        <f t="shared" ref="B175" si="203">B166+Q168</f>
        <v>8.53054743692506</v>
      </c>
      <c r="C175" s="2"/>
      <c r="E175" s="7" t="s">
        <v>118</v>
      </c>
      <c r="F175" s="6">
        <f>C173-F$3*B171-0.5*(F$4)*B171^2</f>
        <v>0</v>
      </c>
      <c r="H175" s="2">
        <f t="shared" ref="H175" si="204">-B$1*SIN(C173)</f>
        <v>-0.18737795352714059</v>
      </c>
      <c r="I175" s="2">
        <f t="shared" ref="I175" si="205">-B$2*SIN(C174)</f>
        <v>-2.3126220464728595</v>
      </c>
      <c r="J175" s="2">
        <f t="shared" ref="J175" si="206">-COS(B$6)</f>
        <v>-1</v>
      </c>
      <c r="L175" s="2" cm="1">
        <f t="array" ref="L175:N177">MINVERSE(H175:J177)</f>
        <v>0</v>
      </c>
      <c r="M175" s="2">
        <v>3.7079832129647144E-17</v>
      </c>
      <c r="N175" s="2">
        <v>0.99999999999999989</v>
      </c>
      <c r="O175" s="10">
        <f t="shared" ref="O175:O177" si="207">-F173</f>
        <v>1.0413219765637027E-15</v>
      </c>
      <c r="Q175" s="2" cm="1">
        <f t="array" ref="Q175:Q177">MMULT(L175:N177,O175:O177)</f>
        <v>0</v>
      </c>
    </row>
    <row r="176" spans="1:17" x14ac:dyDescent="0.35">
      <c r="H176" s="2">
        <f t="shared" ref="H176" si="208">B$1*COS(C173)</f>
        <v>2.9941425321002972</v>
      </c>
      <c r="I176" s="2">
        <f t="shared" ref="I176" si="209">B$2*COS(C174)</f>
        <v>5.5364049048247619</v>
      </c>
      <c r="J176" s="2">
        <f t="shared" ref="J176" si="210">-SIN(B$6)</f>
        <v>0</v>
      </c>
      <c r="L176" s="2">
        <v>0</v>
      </c>
      <c r="M176" s="2">
        <v>0.18062262735309312</v>
      </c>
      <c r="N176" s="2">
        <v>-0.54080989081759856</v>
      </c>
      <c r="O176" s="10">
        <f t="shared" si="207"/>
        <v>0</v>
      </c>
      <c r="Q176" s="2">
        <v>0</v>
      </c>
    </row>
    <row r="177" spans="1:17" x14ac:dyDescent="0.35">
      <c r="H177" s="2">
        <v>1</v>
      </c>
      <c r="I177" s="2">
        <v>0</v>
      </c>
      <c r="J177" s="2">
        <v>0</v>
      </c>
      <c r="L177" s="2">
        <v>-1</v>
      </c>
      <c r="M177" s="2">
        <v>-0.41771187010861488</v>
      </c>
      <c r="N177" s="2">
        <v>1.063310922928218</v>
      </c>
      <c r="O177" s="10">
        <f t="shared" si="207"/>
        <v>0</v>
      </c>
      <c r="Q177" s="2">
        <v>-1.0413219765637027E-15</v>
      </c>
    </row>
    <row r="180" spans="1:17" x14ac:dyDescent="0.35">
      <c r="A180" s="1" t="s">
        <v>9</v>
      </c>
      <c r="B180" s="2">
        <f t="shared" ref="B180" si="211">IF(AND((B171 = B162), ABS(B175-B166) &lt; 0.001),B171+0.1,B171)</f>
        <v>0.6</v>
      </c>
    </row>
    <row r="181" spans="1:17" x14ac:dyDescent="0.35">
      <c r="C181" s="1" t="s">
        <v>3</v>
      </c>
    </row>
    <row r="182" spans="1:17" x14ac:dyDescent="0.35">
      <c r="A182" s="1" t="s">
        <v>92</v>
      </c>
      <c r="B182" s="4">
        <f t="shared" ref="B182:B183" si="212">C182*180/PI()</f>
        <v>3.5809862195676452</v>
      </c>
      <c r="C182" s="2">
        <f t="shared" ref="C182:C183" si="213">C173+Q175</f>
        <v>6.25E-2</v>
      </c>
      <c r="E182" s="7" t="s">
        <v>119</v>
      </c>
      <c r="F182" s="6">
        <f t="shared" ref="F182" si="214">-B184*COS(B$6)+B$1*COS(C182)+B$2*COS(C183)-B$3*COS(C$4)</f>
        <v>7.3503486283654773E-16</v>
      </c>
      <c r="H182" s="11" t="s">
        <v>14</v>
      </c>
      <c r="I182" s="12"/>
      <c r="J182" s="13"/>
      <c r="L182" s="11" t="s">
        <v>93</v>
      </c>
      <c r="M182" s="12"/>
      <c r="N182" s="13"/>
      <c r="O182" s="14" t="s">
        <v>18</v>
      </c>
      <c r="Q182" s="16" t="s">
        <v>19</v>
      </c>
    </row>
    <row r="183" spans="1:17" x14ac:dyDescent="0.35">
      <c r="A183" s="1" t="s">
        <v>94</v>
      </c>
      <c r="B183" s="4">
        <f t="shared" si="212"/>
        <v>22.670872914415277</v>
      </c>
      <c r="C183" s="2">
        <f t="shared" si="213"/>
        <v>0.39568137665774922</v>
      </c>
      <c r="E183" s="7" t="s">
        <v>120</v>
      </c>
      <c r="F183" s="6">
        <f t="shared" ref="F183" si="215">-B184*SIN(B$6)+B$1*SIN(C182)+B$2*SIN(C183)-B$3*SIN(C$4)</f>
        <v>0</v>
      </c>
      <c r="H183" s="8" t="s">
        <v>16</v>
      </c>
      <c r="I183" s="8" t="s">
        <v>15</v>
      </c>
      <c r="J183" s="9" t="s">
        <v>8</v>
      </c>
      <c r="L183" s="8" t="s">
        <v>16</v>
      </c>
      <c r="M183" s="8" t="s">
        <v>15</v>
      </c>
      <c r="N183" s="9" t="s">
        <v>8</v>
      </c>
      <c r="O183" s="15"/>
      <c r="Q183" s="17"/>
    </row>
    <row r="184" spans="1:17" x14ac:dyDescent="0.35">
      <c r="A184" s="1" t="s">
        <v>8</v>
      </c>
      <c r="B184" s="4">
        <f t="shared" ref="B184" si="216">B175+Q177</f>
        <v>8.5305474369250582</v>
      </c>
      <c r="C184" s="2"/>
      <c r="E184" s="7" t="s">
        <v>121</v>
      </c>
      <c r="F184" s="6">
        <f>C182-F$3*B180-0.5*(F$4)*B180^2</f>
        <v>-2.7499999999999997E-2</v>
      </c>
      <c r="H184" s="2">
        <f t="shared" ref="H184" si="217">-B$1*SIN(C182)</f>
        <v>-0.18737795352714059</v>
      </c>
      <c r="I184" s="2">
        <f t="shared" ref="I184" si="218">-B$2*SIN(C183)</f>
        <v>-2.3126220464728595</v>
      </c>
      <c r="J184" s="2">
        <f t="shared" ref="J184" si="219">-COS(B$6)</f>
        <v>-1</v>
      </c>
      <c r="L184" s="2" cm="1">
        <f t="array" ref="L184:N186">MINVERSE(H184:J186)</f>
        <v>0</v>
      </c>
      <c r="M184" s="2">
        <v>3.7079832129647144E-17</v>
      </c>
      <c r="N184" s="2">
        <v>0.99999999999999989</v>
      </c>
      <c r="O184" s="10">
        <f t="shared" ref="O184:O186" si="220">-F182</f>
        <v>-7.3503486283654773E-16</v>
      </c>
      <c r="Q184" s="2" cm="1">
        <f t="array" ref="Q184:Q186">MMULT(L184:N186,O184:O186)</f>
        <v>2.7499999999999993E-2</v>
      </c>
    </row>
    <row r="185" spans="1:17" x14ac:dyDescent="0.35">
      <c r="H185" s="2">
        <f t="shared" ref="H185" si="221">B$1*COS(C182)</f>
        <v>2.9941425321002972</v>
      </c>
      <c r="I185" s="2">
        <f t="shared" ref="I185" si="222">B$2*COS(C183)</f>
        <v>5.5364049048247619</v>
      </c>
      <c r="J185" s="2">
        <f t="shared" ref="J185" si="223">-SIN(B$6)</f>
        <v>0</v>
      </c>
      <c r="L185" s="2">
        <v>0</v>
      </c>
      <c r="M185" s="2">
        <v>0.18062262735309312</v>
      </c>
      <c r="N185" s="2">
        <v>-0.54080989081759856</v>
      </c>
      <c r="O185" s="10">
        <f t="shared" si="220"/>
        <v>0</v>
      </c>
      <c r="Q185" s="2">
        <v>-1.4872271997483959E-2</v>
      </c>
    </row>
    <row r="186" spans="1:17" x14ac:dyDescent="0.35">
      <c r="H186" s="2">
        <v>1</v>
      </c>
      <c r="I186" s="2">
        <v>0</v>
      </c>
      <c r="J186" s="2">
        <v>0</v>
      </c>
      <c r="L186" s="2">
        <v>-1</v>
      </c>
      <c r="M186" s="2">
        <v>-0.41771187010861488</v>
      </c>
      <c r="N186" s="2">
        <v>1.063310922928218</v>
      </c>
      <c r="O186" s="10">
        <f t="shared" si="220"/>
        <v>2.7499999999999997E-2</v>
      </c>
      <c r="Q186" s="2">
        <v>2.9241050380526729E-2</v>
      </c>
    </row>
    <row r="189" spans="1:17" x14ac:dyDescent="0.35">
      <c r="A189" s="1" t="s">
        <v>9</v>
      </c>
      <c r="B189" s="2">
        <f t="shared" ref="B189" si="224">IF(AND((B180 = B171), ABS(B184-B175) &lt; 0.001),B180+0.1,B180)</f>
        <v>0.6</v>
      </c>
    </row>
    <row r="190" spans="1:17" x14ac:dyDescent="0.35">
      <c r="C190" s="1" t="s">
        <v>3</v>
      </c>
    </row>
    <row r="191" spans="1:17" x14ac:dyDescent="0.35">
      <c r="A191" s="1" t="s">
        <v>122</v>
      </c>
      <c r="B191" s="4">
        <f t="shared" ref="B191:B192" si="225">C191*180/PI()</f>
        <v>5.156620156177409</v>
      </c>
      <c r="C191" s="2">
        <f t="shared" ref="C191:C192" si="226">C182+Q184</f>
        <v>0.09</v>
      </c>
      <c r="E191" s="7" t="s">
        <v>123</v>
      </c>
      <c r="F191" s="6">
        <f t="shared" ref="F191" si="227">-B193*COS(B$6)+B$1*COS(C191)+B$2*COS(C192)-B$3*COS(C$4)</f>
        <v>-1.7449793482004349E-3</v>
      </c>
      <c r="H191" s="11" t="s">
        <v>14</v>
      </c>
      <c r="I191" s="12"/>
      <c r="J191" s="13"/>
      <c r="L191" s="11" t="s">
        <v>124</v>
      </c>
      <c r="M191" s="12"/>
      <c r="N191" s="13"/>
      <c r="O191" s="14" t="s">
        <v>18</v>
      </c>
      <c r="Q191" s="16" t="s">
        <v>19</v>
      </c>
    </row>
    <row r="192" spans="1:17" x14ac:dyDescent="0.35">
      <c r="A192" s="1" t="s">
        <v>125</v>
      </c>
      <c r="B192" s="4">
        <f t="shared" si="225"/>
        <v>21.818754497188845</v>
      </c>
      <c r="C192" s="2">
        <f t="shared" si="226"/>
        <v>0.38080910466026524</v>
      </c>
      <c r="E192" s="7" t="s">
        <v>126</v>
      </c>
      <c r="F192" s="6">
        <f t="shared" ref="F192" si="228">-B193*SIN(B$6)+B$1*SIN(C191)+B$2*SIN(C192)-B$3*SIN(C$4)</f>
        <v>-3.3394358276295222E-4</v>
      </c>
      <c r="H192" s="8" t="s">
        <v>16</v>
      </c>
      <c r="I192" s="8" t="s">
        <v>15</v>
      </c>
      <c r="J192" s="9" t="s">
        <v>8</v>
      </c>
      <c r="L192" s="8" t="s">
        <v>16</v>
      </c>
      <c r="M192" s="8" t="s">
        <v>15</v>
      </c>
      <c r="N192" s="9" t="s">
        <v>8</v>
      </c>
      <c r="O192" s="15"/>
      <c r="Q192" s="17"/>
    </row>
    <row r="193" spans="1:17" x14ac:dyDescent="0.35">
      <c r="A193" s="1" t="s">
        <v>8</v>
      </c>
      <c r="B193" s="4">
        <f t="shared" ref="B193" si="229">B184+Q186</f>
        <v>8.5597884873055854</v>
      </c>
      <c r="C193" s="2"/>
      <c r="E193" s="7" t="s">
        <v>127</v>
      </c>
      <c r="F193" s="6">
        <f>C191-F$3*B189-0.5*(F$4)*B189^2</f>
        <v>0</v>
      </c>
      <c r="H193" s="2">
        <f t="shared" ref="H193" si="230">-B$1*SIN(C191)</f>
        <v>-0.26963564759403313</v>
      </c>
      <c r="I193" s="2">
        <f t="shared" ref="I193" si="231">-B$2*SIN(C192)</f>
        <v>-2.2300304088232039</v>
      </c>
      <c r="J193" s="2">
        <f t="shared" ref="J193" si="232">-COS(B$6)</f>
        <v>-1</v>
      </c>
      <c r="L193" s="2" cm="1">
        <f t="array" ref="L193:N195">MINVERSE(H193:J195)</f>
        <v>0</v>
      </c>
      <c r="M193" s="2">
        <v>0</v>
      </c>
      <c r="N193" s="2">
        <v>1</v>
      </c>
      <c r="O193" s="10">
        <f t="shared" ref="O193:O195" si="233">-F191</f>
        <v>1.7449793482004349E-3</v>
      </c>
      <c r="Q193" s="2" cm="1">
        <f t="array" ref="Q193:Q195">MMULT(L193:N195,O193:O195)</f>
        <v>0</v>
      </c>
    </row>
    <row r="194" spans="1:17" x14ac:dyDescent="0.35">
      <c r="H194" s="2">
        <f t="shared" ref="H194" si="234">B$1*COS(C191)</f>
        <v>2.9878581990359829</v>
      </c>
      <c r="I194" s="2">
        <f t="shared" ref="I194" si="235">B$2*COS(C192)</f>
        <v>5.5701853089214017</v>
      </c>
      <c r="J194" s="2">
        <f t="shared" ref="J194" si="236">-SIN(B$6)</f>
        <v>0</v>
      </c>
      <c r="L194" s="2">
        <v>0</v>
      </c>
      <c r="M194" s="2">
        <v>0.17952724093368408</v>
      </c>
      <c r="N194" s="2">
        <v>-0.53640193877401632</v>
      </c>
      <c r="O194" s="10">
        <f t="shared" si="233"/>
        <v>3.3394358276295222E-4</v>
      </c>
      <c r="Q194" s="2">
        <v>5.9951970040942194E-5</v>
      </c>
    </row>
    <row r="195" spans="1:17" x14ac:dyDescent="0.35">
      <c r="H195" s="2">
        <v>1</v>
      </c>
      <c r="I195" s="2">
        <v>0</v>
      </c>
      <c r="J195" s="2">
        <v>0</v>
      </c>
      <c r="L195" s="2">
        <v>-1</v>
      </c>
      <c r="M195" s="2">
        <v>-0.40035120649424533</v>
      </c>
      <c r="N195" s="2">
        <v>0.92655698722374569</v>
      </c>
      <c r="O195" s="10">
        <f t="shared" si="233"/>
        <v>0</v>
      </c>
      <c r="Q195" s="2">
        <v>-1.8786740644605936E-3</v>
      </c>
    </row>
    <row r="198" spans="1:17" x14ac:dyDescent="0.35">
      <c r="A198" s="1" t="s">
        <v>9</v>
      </c>
      <c r="B198" s="2">
        <f t="shared" ref="B198" si="237">IF(AND((B189 = B180), ABS(B193-B184) &lt; 0.001),B189+0.1,B189)</f>
        <v>0.6</v>
      </c>
    </row>
    <row r="199" spans="1:17" x14ac:dyDescent="0.35">
      <c r="C199" s="1" t="s">
        <v>3</v>
      </c>
    </row>
    <row r="200" spans="1:17" x14ac:dyDescent="0.35">
      <c r="A200" s="1" t="s">
        <v>128</v>
      </c>
      <c r="B200" s="4">
        <f t="shared" ref="B200:B201" si="238">C200*180/PI()</f>
        <v>5.156620156177409</v>
      </c>
      <c r="C200" s="2">
        <f t="shared" ref="C200:C201" si="239">C191+Q193</f>
        <v>0.09</v>
      </c>
      <c r="E200" s="7" t="s">
        <v>129</v>
      </c>
      <c r="F200" s="6">
        <f t="shared" ref="F200" si="240">-B202*COS(B$6)+B$1*COS(C200)+B$2*COS(C201)-B$3*COS(C$4)</f>
        <v>-1.0010207926946461E-8</v>
      </c>
      <c r="H200" s="11" t="s">
        <v>14</v>
      </c>
      <c r="I200" s="12"/>
      <c r="J200" s="13"/>
      <c r="L200" s="11" t="s">
        <v>130</v>
      </c>
      <c r="M200" s="12"/>
      <c r="N200" s="13"/>
      <c r="O200" s="14" t="s">
        <v>18</v>
      </c>
      <c r="Q200" s="16" t="s">
        <v>19</v>
      </c>
    </row>
    <row r="201" spans="1:17" x14ac:dyDescent="0.35">
      <c r="A201" s="1" t="s">
        <v>131</v>
      </c>
      <c r="B201" s="4">
        <f t="shared" si="238"/>
        <v>21.822189492045688</v>
      </c>
      <c r="C201" s="2">
        <f t="shared" si="239"/>
        <v>0.38086905663030618</v>
      </c>
      <c r="E201" s="7" t="s">
        <v>132</v>
      </c>
      <c r="F201" s="6">
        <f t="shared" ref="F201" si="241">-B202*SIN(B$6)+B$1*SIN(C200)+B$2*SIN(C201)-B$3*SIN(C$4)</f>
        <v>-4.0078309559987702E-9</v>
      </c>
      <c r="H201" s="8" t="s">
        <v>16</v>
      </c>
      <c r="I201" s="8" t="s">
        <v>15</v>
      </c>
      <c r="J201" s="9" t="s">
        <v>8</v>
      </c>
      <c r="L201" s="8" t="s">
        <v>16</v>
      </c>
      <c r="M201" s="8" t="s">
        <v>15</v>
      </c>
      <c r="N201" s="9" t="s">
        <v>8</v>
      </c>
      <c r="O201" s="15"/>
      <c r="Q201" s="17"/>
    </row>
    <row r="202" spans="1:17" x14ac:dyDescent="0.35">
      <c r="A202" s="1" t="s">
        <v>8</v>
      </c>
      <c r="B202" s="4">
        <f t="shared" ref="B202" si="242">B193+Q195</f>
        <v>8.5579098132411247</v>
      </c>
      <c r="C202" s="2"/>
      <c r="E202" s="7" t="s">
        <v>133</v>
      </c>
      <c r="F202" s="6">
        <f>C200-F$3*B198-0.5*(F$4)*B198^2</f>
        <v>0</v>
      </c>
      <c r="H202" s="2">
        <f t="shared" ref="H202" si="243">-B$1*SIN(C200)</f>
        <v>-0.26963564759403313</v>
      </c>
      <c r="I202" s="2">
        <f t="shared" ref="I202" si="244">-B$2*SIN(C201)</f>
        <v>-2.2303643483981359</v>
      </c>
      <c r="J202" s="2">
        <f t="shared" ref="J202" si="245">-COS(B$6)</f>
        <v>-1</v>
      </c>
      <c r="L202" s="2" cm="1">
        <f t="array" ref="L202:N204">MINVERSE(H202:J204)</f>
        <v>0</v>
      </c>
      <c r="M202" s="2">
        <v>0</v>
      </c>
      <c r="N202" s="2">
        <v>1</v>
      </c>
      <c r="O202" s="10">
        <f t="shared" ref="O202:O204" si="246">-F200</f>
        <v>1.0010207926946461E-8</v>
      </c>
      <c r="Q202" s="2" cm="1">
        <f t="array" ref="Q202:Q204">MMULT(L202:N204,O202:O204)</f>
        <v>0</v>
      </c>
    </row>
    <row r="203" spans="1:17" x14ac:dyDescent="0.35">
      <c r="H203" s="2">
        <f t="shared" ref="H203" si="247">B$1*COS(C200)</f>
        <v>2.9878581990359829</v>
      </c>
      <c r="I203" s="2">
        <f t="shared" ref="I203" si="248">B$2*COS(C201)</f>
        <v>5.5700516041949335</v>
      </c>
      <c r="J203" s="2">
        <f t="shared" ref="J203" si="249">-SIN(B$6)</f>
        <v>0</v>
      </c>
      <c r="L203" s="2">
        <v>0</v>
      </c>
      <c r="M203" s="2">
        <v>0.17953155034450258</v>
      </c>
      <c r="N203" s="2">
        <v>-0.53641481468246333</v>
      </c>
      <c r="O203" s="10">
        <f t="shared" si="246"/>
        <v>4.0078309559987702E-9</v>
      </c>
      <c r="Q203" s="2">
        <v>7.1953210504914907E-10</v>
      </c>
    </row>
    <row r="204" spans="1:17" x14ac:dyDescent="0.35">
      <c r="H204" s="2">
        <v>1</v>
      </c>
      <c r="I204" s="2">
        <v>0</v>
      </c>
      <c r="J204" s="2">
        <v>0</v>
      </c>
      <c r="L204" s="2">
        <v>-1</v>
      </c>
      <c r="M204" s="2">
        <v>-0.4004207693010236</v>
      </c>
      <c r="N204" s="2">
        <v>0.92676483102632612</v>
      </c>
      <c r="O204" s="10">
        <f t="shared" si="246"/>
        <v>0</v>
      </c>
      <c r="Q204" s="2">
        <v>-1.1615026681575945E-8</v>
      </c>
    </row>
    <row r="207" spans="1:17" x14ac:dyDescent="0.35">
      <c r="A207" s="1" t="s">
        <v>9</v>
      </c>
      <c r="B207" s="2">
        <f t="shared" ref="B207" si="250">IF(AND((B198 = B189), ABS(B202-B193) &lt; 0.001),B198+0.1,B198)</f>
        <v>0.6</v>
      </c>
    </row>
    <row r="208" spans="1:17" x14ac:dyDescent="0.35">
      <c r="C208" s="1" t="s">
        <v>3</v>
      </c>
    </row>
    <row r="209" spans="1:17" x14ac:dyDescent="0.35">
      <c r="A209" s="1" t="s">
        <v>134</v>
      </c>
      <c r="B209" s="4">
        <f t="shared" ref="B209:B210" si="251">C209*180/PI()</f>
        <v>5.156620156177409</v>
      </c>
      <c r="C209" s="2">
        <f t="shared" ref="C209:C210" si="252">C200+Q202</f>
        <v>0.09</v>
      </c>
      <c r="E209" s="7" t="s">
        <v>135</v>
      </c>
      <c r="F209" s="6">
        <f t="shared" ref="F209" si="253">-B211*COS(B$6)+B$1*COS(C209)+B$2*COS(C210)-B$3*COS(C$4)</f>
        <v>7.3503486283654773E-16</v>
      </c>
      <c r="H209" s="11" t="s">
        <v>14</v>
      </c>
      <c r="I209" s="12"/>
      <c r="J209" s="13"/>
      <c r="L209" s="11" t="s">
        <v>136</v>
      </c>
      <c r="M209" s="12"/>
      <c r="N209" s="13"/>
      <c r="O209" s="14" t="s">
        <v>18</v>
      </c>
      <c r="Q209" s="16" t="s">
        <v>19</v>
      </c>
    </row>
    <row r="210" spans="1:17" x14ac:dyDescent="0.35">
      <c r="A210" s="1" t="s">
        <v>137</v>
      </c>
      <c r="B210" s="4">
        <f t="shared" si="251"/>
        <v>21.822189533271843</v>
      </c>
      <c r="C210" s="2">
        <f t="shared" si="252"/>
        <v>0.38086905734983828</v>
      </c>
      <c r="E210" s="7" t="s">
        <v>138</v>
      </c>
      <c r="F210" s="6">
        <f t="shared" ref="F210" si="254">-B211*SIN(B$6)+B$1*SIN(C209)+B$2*SIN(C210)-B$3*SIN(C$4)</f>
        <v>0</v>
      </c>
      <c r="H210" s="8" t="s">
        <v>16</v>
      </c>
      <c r="I210" s="8" t="s">
        <v>15</v>
      </c>
      <c r="J210" s="9" t="s">
        <v>8</v>
      </c>
      <c r="L210" s="8" t="s">
        <v>16</v>
      </c>
      <c r="M210" s="8" t="s">
        <v>15</v>
      </c>
      <c r="N210" s="9" t="s">
        <v>8</v>
      </c>
      <c r="O210" s="15"/>
      <c r="Q210" s="17"/>
    </row>
    <row r="211" spans="1:17" x14ac:dyDescent="0.35">
      <c r="A211" s="1" t="s">
        <v>8</v>
      </c>
      <c r="B211" s="4">
        <f t="shared" ref="B211" si="255">B202+Q204</f>
        <v>8.5579098016260975</v>
      </c>
      <c r="C211" s="2"/>
      <c r="E211" s="7" t="s">
        <v>139</v>
      </c>
      <c r="F211" s="6">
        <f>C209-F$3*B207-0.5*(F$4)*B207^2</f>
        <v>0</v>
      </c>
      <c r="H211" s="2">
        <f t="shared" ref="H211" si="256">-B$1*SIN(C209)</f>
        <v>-0.26963564759403313</v>
      </c>
      <c r="I211" s="2">
        <f t="shared" ref="I211" si="257">-B$2*SIN(C210)</f>
        <v>-2.2303643524059673</v>
      </c>
      <c r="J211" s="2">
        <f t="shared" ref="J211" si="258">-COS(B$6)</f>
        <v>-1</v>
      </c>
      <c r="L211" s="2" cm="1">
        <f t="array" ref="L211:N213">MINVERSE(H211:J213)</f>
        <v>0</v>
      </c>
      <c r="M211" s="2">
        <v>-7.4315643559213374E-17</v>
      </c>
      <c r="N211" s="2">
        <v>1</v>
      </c>
      <c r="O211" s="10">
        <f t="shared" ref="O211:O213" si="259">-F209</f>
        <v>-7.3503486283654773E-16</v>
      </c>
      <c r="Q211" s="2" cm="1">
        <f t="array" ref="Q211:Q213">MMULT(L211:N213,O211:O213)</f>
        <v>0</v>
      </c>
    </row>
    <row r="212" spans="1:17" x14ac:dyDescent="0.35">
      <c r="H212" s="2">
        <f t="shared" ref="H212" si="260">B$1*COS(C209)</f>
        <v>2.9878581990359829</v>
      </c>
      <c r="I212" s="2">
        <f t="shared" ref="I212" si="261">B$2*COS(C210)</f>
        <v>5.570051602590115</v>
      </c>
      <c r="J212" s="2">
        <f t="shared" ref="J212" si="262">-SIN(B$6)</f>
        <v>0</v>
      </c>
      <c r="L212" s="2">
        <v>0</v>
      </c>
      <c r="M212" s="2">
        <v>0.17953155039622842</v>
      </c>
      <c r="N212" s="2">
        <v>-0.53641481483701281</v>
      </c>
      <c r="O212" s="10">
        <f t="shared" si="259"/>
        <v>0</v>
      </c>
      <c r="Q212" s="2">
        <v>0</v>
      </c>
    </row>
    <row r="213" spans="1:17" x14ac:dyDescent="0.35">
      <c r="H213" s="2">
        <v>1</v>
      </c>
      <c r="I213" s="2">
        <v>0</v>
      </c>
      <c r="J213" s="2">
        <v>0</v>
      </c>
      <c r="L213" s="2">
        <v>-1</v>
      </c>
      <c r="M213" s="2">
        <v>-0.4004207701359232</v>
      </c>
      <c r="N213" s="2">
        <v>0.92676483352088768</v>
      </c>
      <c r="O213" s="10">
        <f t="shared" si="259"/>
        <v>0</v>
      </c>
      <c r="Q213" s="2">
        <v>7.3503486283654773E-16</v>
      </c>
    </row>
    <row r="216" spans="1:17" x14ac:dyDescent="0.35">
      <c r="A216" s="1" t="s">
        <v>9</v>
      </c>
      <c r="B216" s="2">
        <f t="shared" ref="B216" si="263">IF(AND((B207 = B198), ABS(B211-B202) &lt; 0.001),B207+0.1,B207)</f>
        <v>0.7</v>
      </c>
    </row>
    <row r="217" spans="1:17" x14ac:dyDescent="0.35">
      <c r="C217" s="1" t="s">
        <v>3</v>
      </c>
    </row>
    <row r="218" spans="1:17" x14ac:dyDescent="0.35">
      <c r="A218" s="1" t="s">
        <v>140</v>
      </c>
      <c r="B218" s="4">
        <f t="shared" ref="B218:B219" si="264">C218*180/PI()</f>
        <v>5.156620156177409</v>
      </c>
      <c r="C218" s="2">
        <f t="shared" ref="C218:C219" si="265">C209+Q211</f>
        <v>0.09</v>
      </c>
      <c r="E218" s="7" t="s">
        <v>141</v>
      </c>
      <c r="F218" s="6">
        <f t="shared" ref="F218" si="266">-B220*COS(B$6)+B$1*COS(C218)+B$2*COS(C219)-B$3*COS(C$4)</f>
        <v>7.3503486283654773E-16</v>
      </c>
      <c r="H218" s="11" t="s">
        <v>14</v>
      </c>
      <c r="I218" s="12"/>
      <c r="J218" s="13"/>
      <c r="L218" s="11" t="s">
        <v>142</v>
      </c>
      <c r="M218" s="12"/>
      <c r="N218" s="13"/>
      <c r="O218" s="14" t="s">
        <v>18</v>
      </c>
      <c r="Q218" s="16" t="s">
        <v>19</v>
      </c>
    </row>
    <row r="219" spans="1:17" x14ac:dyDescent="0.35">
      <c r="A219" s="1" t="s">
        <v>143</v>
      </c>
      <c r="B219" s="4">
        <f t="shared" si="264"/>
        <v>21.822189533271843</v>
      </c>
      <c r="C219" s="2">
        <f t="shared" si="265"/>
        <v>0.38086905734983828</v>
      </c>
      <c r="E219" s="7" t="s">
        <v>144</v>
      </c>
      <c r="F219" s="6">
        <f t="shared" ref="F219" si="267">-B220*SIN(B$6)+B$1*SIN(C218)+B$2*SIN(C219)-B$3*SIN(C$4)</f>
        <v>0</v>
      </c>
      <c r="H219" s="8" t="s">
        <v>16</v>
      </c>
      <c r="I219" s="8" t="s">
        <v>15</v>
      </c>
      <c r="J219" s="9" t="s">
        <v>8</v>
      </c>
      <c r="L219" s="8" t="s">
        <v>16</v>
      </c>
      <c r="M219" s="8" t="s">
        <v>15</v>
      </c>
      <c r="N219" s="9" t="s">
        <v>8</v>
      </c>
      <c r="O219" s="15"/>
      <c r="Q219" s="17"/>
    </row>
    <row r="220" spans="1:17" x14ac:dyDescent="0.35">
      <c r="A220" s="1" t="s">
        <v>8</v>
      </c>
      <c r="B220" s="4">
        <f t="shared" ref="B220" si="268">B211+Q213</f>
        <v>8.5579098016260975</v>
      </c>
      <c r="C220" s="2"/>
      <c r="E220" s="7" t="s">
        <v>145</v>
      </c>
      <c r="F220" s="6">
        <f>C218-F$3*B216-0.5*(F$4)*B216^2</f>
        <v>-3.2499999999999987E-2</v>
      </c>
      <c r="H220" s="2">
        <f t="shared" ref="H220" si="269">-B$1*SIN(C218)</f>
        <v>-0.26963564759403313</v>
      </c>
      <c r="I220" s="2">
        <f t="shared" ref="I220" si="270">-B$2*SIN(C219)</f>
        <v>-2.2303643524059673</v>
      </c>
      <c r="J220" s="2">
        <f t="shared" ref="J220" si="271">-COS(B$6)</f>
        <v>-1</v>
      </c>
      <c r="L220" s="2" cm="1">
        <f t="array" ref="L220:N222">MINVERSE(H220:J222)</f>
        <v>0</v>
      </c>
      <c r="M220" s="2">
        <v>-7.4315643559213374E-17</v>
      </c>
      <c r="N220" s="2">
        <v>1</v>
      </c>
      <c r="O220" s="10">
        <f t="shared" ref="O220:O222" si="272">-F218</f>
        <v>-7.3503486283654773E-16</v>
      </c>
      <c r="Q220" s="2" cm="1">
        <f t="array" ref="Q220:Q222">MMULT(L220:N222,O220:O222)</f>
        <v>3.2499999999999987E-2</v>
      </c>
    </row>
    <row r="221" spans="1:17" x14ac:dyDescent="0.35">
      <c r="H221" s="2">
        <f t="shared" ref="H221" si="273">B$1*COS(C218)</f>
        <v>2.9878581990359829</v>
      </c>
      <c r="I221" s="2">
        <f t="shared" ref="I221" si="274">B$2*COS(C219)</f>
        <v>5.570051602590115</v>
      </c>
      <c r="J221" s="2">
        <f t="shared" ref="J221" si="275">-SIN(B$6)</f>
        <v>0</v>
      </c>
      <c r="L221" s="2">
        <v>0</v>
      </c>
      <c r="M221" s="2">
        <v>0.17953155039622842</v>
      </c>
      <c r="N221" s="2">
        <v>-0.53641481483701281</v>
      </c>
      <c r="O221" s="10">
        <f t="shared" si="272"/>
        <v>0</v>
      </c>
      <c r="Q221" s="2">
        <v>-1.743348148220291E-2</v>
      </c>
    </row>
    <row r="222" spans="1:17" x14ac:dyDescent="0.35">
      <c r="H222" s="2">
        <v>1</v>
      </c>
      <c r="I222" s="2">
        <v>0</v>
      </c>
      <c r="J222" s="2">
        <v>0</v>
      </c>
      <c r="L222" s="2">
        <v>-1</v>
      </c>
      <c r="M222" s="2">
        <v>-0.4004207701359232</v>
      </c>
      <c r="N222" s="2">
        <v>0.92676483352088768</v>
      </c>
      <c r="O222" s="10">
        <f t="shared" si="272"/>
        <v>3.2499999999999987E-2</v>
      </c>
      <c r="Q222" s="2">
        <v>3.0119857089429575E-2</v>
      </c>
    </row>
    <row r="225" spans="1:17" x14ac:dyDescent="0.35">
      <c r="A225" s="1" t="s">
        <v>9</v>
      </c>
      <c r="B225" s="2">
        <f t="shared" ref="B225" si="276">IF(AND((B216 = B207), ABS(B220-B211) &lt; 0.001),B216+0.1,B216)</f>
        <v>0.7</v>
      </c>
    </row>
    <row r="226" spans="1:17" x14ac:dyDescent="0.35">
      <c r="C226" s="1" t="s">
        <v>3</v>
      </c>
    </row>
    <row r="227" spans="1:17" x14ac:dyDescent="0.35">
      <c r="A227" s="1" t="s">
        <v>146</v>
      </c>
      <c r="B227" s="4">
        <f t="shared" ref="B227:B228" si="277">C227*180/PI()</f>
        <v>7.0187329903525839</v>
      </c>
      <c r="C227" s="2">
        <f t="shared" ref="C227:C228" si="278">C218+Q220</f>
        <v>0.12249999999999998</v>
      </c>
      <c r="E227" s="7" t="s">
        <v>147</v>
      </c>
      <c r="F227" s="6">
        <f t="shared" ref="F227" si="279">-B229*COS(B$6)+B$1*COS(C227)+B$2*COS(C228)-B$3*COS(C$4)</f>
        <v>-2.4246717724071697E-3</v>
      </c>
      <c r="H227" s="11" t="s">
        <v>14</v>
      </c>
      <c r="I227" s="12"/>
      <c r="J227" s="13"/>
      <c r="L227" s="11" t="s">
        <v>148</v>
      </c>
      <c r="M227" s="12"/>
      <c r="N227" s="13"/>
      <c r="O227" s="14" t="s">
        <v>18</v>
      </c>
      <c r="Q227" s="16" t="s">
        <v>19</v>
      </c>
    </row>
    <row r="228" spans="1:17" x14ac:dyDescent="0.35">
      <c r="A228" s="1" t="s">
        <v>149</v>
      </c>
      <c r="B228" s="4">
        <f t="shared" si="277"/>
        <v>20.823324622122136</v>
      </c>
      <c r="C228" s="2">
        <f t="shared" si="278"/>
        <v>0.36343557586763536</v>
      </c>
      <c r="E228" s="7" t="s">
        <v>150</v>
      </c>
      <c r="F228" s="6">
        <f t="shared" ref="F228" si="280">-B229*SIN(B$6)+B$1*SIN(C227)+B$2*SIN(C228)-B$3*SIN(C$4)</f>
        <v>-4.9348832851237034E-4</v>
      </c>
      <c r="H228" s="8" t="s">
        <v>16</v>
      </c>
      <c r="I228" s="8" t="s">
        <v>15</v>
      </c>
      <c r="J228" s="9" t="s">
        <v>8</v>
      </c>
      <c r="L228" s="8" t="s">
        <v>16</v>
      </c>
      <c r="M228" s="8" t="s">
        <v>15</v>
      </c>
      <c r="N228" s="9" t="s">
        <v>8</v>
      </c>
      <c r="O228" s="15"/>
      <c r="Q228" s="17"/>
    </row>
    <row r="229" spans="1:17" x14ac:dyDescent="0.35">
      <c r="A229" s="1" t="s">
        <v>8</v>
      </c>
      <c r="B229" s="4">
        <f t="shared" ref="B229" si="281">B220+Q222</f>
        <v>8.5880296587155271</v>
      </c>
      <c r="C229" s="2"/>
      <c r="E229" s="7" t="s">
        <v>151</v>
      </c>
      <c r="F229" s="6">
        <f>C227-F$3*B225-0.5*(F$4)*B225^2</f>
        <v>0</v>
      </c>
      <c r="H229" s="2">
        <f t="shared" ref="H229" si="282">-B$1*SIN(C227)</f>
        <v>-0.36658155657798819</v>
      </c>
      <c r="I229" s="2">
        <f t="shared" ref="I229" si="283">-B$2*SIN(C228)</f>
        <v>-2.1329249550934994</v>
      </c>
      <c r="J229" s="2">
        <f t="shared" ref="J229" si="284">-COS(B$6)</f>
        <v>-1</v>
      </c>
      <c r="L229" s="2" cm="1">
        <f t="array" ref="L229:N231">MINVERSE(H229:J231)</f>
        <v>0</v>
      </c>
      <c r="M229" s="2">
        <v>0</v>
      </c>
      <c r="N229" s="2">
        <v>1.0000000000000002</v>
      </c>
      <c r="O229" s="10">
        <f t="shared" ref="O229:O231" si="285">-F227</f>
        <v>2.4246717724071697E-3</v>
      </c>
      <c r="Q229" s="2" cm="1">
        <f t="array" ref="Q229:Q231">MMULT(L229:N231,O229:O231)</f>
        <v>0</v>
      </c>
    </row>
    <row r="230" spans="1:17" x14ac:dyDescent="0.35">
      <c r="H230" s="2">
        <f t="shared" ref="H230" si="286">B$1*COS(C227)</f>
        <v>2.9775187593660695</v>
      </c>
      <c r="I230" s="2">
        <f t="shared" ref="I230" si="287">B$2*COS(C228)</f>
        <v>5.6080862275770507</v>
      </c>
      <c r="J230" s="2">
        <f t="shared" ref="J230" si="288">-SIN(B$6)</f>
        <v>0</v>
      </c>
      <c r="L230" s="2">
        <v>0</v>
      </c>
      <c r="M230" s="2">
        <v>0.1783139487197303</v>
      </c>
      <c r="N230" s="2">
        <v>-0.53093312736963638</v>
      </c>
      <c r="O230" s="10">
        <f t="shared" si="285"/>
        <v>4.9348832851237034E-4</v>
      </c>
      <c r="Q230" s="2">
        <v>8.7995852504140225E-5</v>
      </c>
    </row>
    <row r="231" spans="1:17" x14ac:dyDescent="0.35">
      <c r="H231" s="2">
        <v>1</v>
      </c>
      <c r="I231" s="2">
        <v>0</v>
      </c>
      <c r="J231" s="2">
        <v>0</v>
      </c>
      <c r="L231" s="2">
        <v>-1</v>
      </c>
      <c r="M231" s="2">
        <v>-0.38033027106557538</v>
      </c>
      <c r="N231" s="2">
        <v>0.76585896027454459</v>
      </c>
      <c r="O231" s="10">
        <f t="shared" si="285"/>
        <v>0</v>
      </c>
      <c r="Q231" s="2">
        <v>-2.6123603221579771E-3</v>
      </c>
    </row>
    <row r="234" spans="1:17" x14ac:dyDescent="0.35">
      <c r="A234" s="1" t="s">
        <v>9</v>
      </c>
      <c r="B234" s="2">
        <f t="shared" ref="B234" si="289">IF(AND((B225 = B216), ABS(B229-B220) &lt; 0.001),B225+0.1,B225)</f>
        <v>0.7</v>
      </c>
    </row>
    <row r="235" spans="1:17" x14ac:dyDescent="0.35">
      <c r="C235" s="1" t="s">
        <v>3</v>
      </c>
    </row>
    <row r="236" spans="1:17" x14ac:dyDescent="0.35">
      <c r="A236" s="1" t="s">
        <v>152</v>
      </c>
      <c r="B236" s="4">
        <f t="shared" ref="B236:B237" si="290">C236*180/PI()</f>
        <v>7.0187329903525839</v>
      </c>
      <c r="C236" s="2">
        <f t="shared" ref="C236:C237" si="291">C227+Q229</f>
        <v>0.12249999999999998</v>
      </c>
      <c r="E236" s="7" t="s">
        <v>153</v>
      </c>
      <c r="F236" s="6">
        <f t="shared" ref="F236" si="292">-B238*COS(B$6)+B$1*COS(C236)+B$2*COS(C237)-B$3*COS(C$4)</f>
        <v>-2.1712219730951002E-8</v>
      </c>
      <c r="H236" s="11" t="s">
        <v>14</v>
      </c>
      <c r="I236" s="12"/>
      <c r="J236" s="13"/>
      <c r="L236" s="11" t="s">
        <v>154</v>
      </c>
      <c r="M236" s="12"/>
      <c r="N236" s="13"/>
      <c r="O236" s="14" t="s">
        <v>18</v>
      </c>
      <c r="Q236" s="16" t="s">
        <v>19</v>
      </c>
    </row>
    <row r="237" spans="1:17" x14ac:dyDescent="0.35">
      <c r="A237" s="1" t="s">
        <v>155</v>
      </c>
      <c r="B237" s="4">
        <f t="shared" si="290"/>
        <v>20.828366413085281</v>
      </c>
      <c r="C237" s="2">
        <f t="shared" si="291"/>
        <v>0.36352357172013949</v>
      </c>
      <c r="E237" s="7" t="s">
        <v>156</v>
      </c>
      <c r="F237" s="6">
        <f t="shared" ref="F237" si="293">-B238*SIN(B$6)+B$1*SIN(C236)+B$2*SIN(C237)-B$3*SIN(C$4)</f>
        <v>-8.2585440708271562E-9</v>
      </c>
      <c r="H237" s="8" t="s">
        <v>16</v>
      </c>
      <c r="I237" s="8" t="s">
        <v>15</v>
      </c>
      <c r="J237" s="9" t="s">
        <v>8</v>
      </c>
      <c r="L237" s="8" t="s">
        <v>16</v>
      </c>
      <c r="M237" s="8" t="s">
        <v>15</v>
      </c>
      <c r="N237" s="9" t="s">
        <v>8</v>
      </c>
      <c r="O237" s="15"/>
      <c r="Q237" s="17"/>
    </row>
    <row r="238" spans="1:17" x14ac:dyDescent="0.35">
      <c r="A238" s="1" t="s">
        <v>8</v>
      </c>
      <c r="B238" s="4">
        <f t="shared" ref="B238" si="294">B229+Q231</f>
        <v>8.5854172983933683</v>
      </c>
      <c r="C238" s="2"/>
      <c r="E238" s="7" t="s">
        <v>157</v>
      </c>
      <c r="F238" s="6">
        <f>C236-F$3*B234-0.5*(F$4)*B234^2</f>
        <v>0</v>
      </c>
      <c r="H238" s="2">
        <f t="shared" ref="H238" si="295">-B$1*SIN(C236)</f>
        <v>-0.36658155657798819</v>
      </c>
      <c r="I238" s="2">
        <f t="shared" ref="I238" si="296">-B$2*SIN(C237)</f>
        <v>-2.1334184351634677</v>
      </c>
      <c r="J238" s="2">
        <f t="shared" ref="J238" si="297">-COS(B$6)</f>
        <v>-1</v>
      </c>
      <c r="L238" s="2" cm="1">
        <f t="array" ref="L238:N240">MINVERSE(H238:J240)</f>
        <v>0</v>
      </c>
      <c r="M238" s="2">
        <v>0</v>
      </c>
      <c r="N238" s="2">
        <v>0.99999999999999989</v>
      </c>
      <c r="O238" s="10">
        <f t="shared" ref="O238:O240" si="298">-F236</f>
        <v>2.1712219730951002E-8</v>
      </c>
      <c r="Q238" s="2" cm="1">
        <f t="array" ref="Q238:Q240">MMULT(L238:N240,O238:O240)</f>
        <v>0</v>
      </c>
    </row>
    <row r="239" spans="1:17" x14ac:dyDescent="0.35">
      <c r="H239" s="2">
        <f t="shared" ref="H239" si="299">B$1*COS(C236)</f>
        <v>2.9775187593660695</v>
      </c>
      <c r="I239" s="2">
        <f t="shared" ref="I239" si="300">B$2*COS(C237)</f>
        <v>5.6078985173150793</v>
      </c>
      <c r="J239" s="2">
        <f t="shared" ref="J239" si="301">-SIN(B$6)</f>
        <v>0</v>
      </c>
      <c r="L239" s="2">
        <v>0</v>
      </c>
      <c r="M239" s="2">
        <v>0.17831991732952665</v>
      </c>
      <c r="N239" s="2">
        <v>-0.53095089901727222</v>
      </c>
      <c r="O239" s="10">
        <f t="shared" si="298"/>
        <v>8.2585440708271562E-9</v>
      </c>
      <c r="Q239" s="2">
        <v>1.472662895972151E-9</v>
      </c>
    </row>
    <row r="240" spans="1:17" x14ac:dyDescent="0.35">
      <c r="H240" s="2">
        <v>1</v>
      </c>
      <c r="I240" s="2">
        <v>0</v>
      </c>
      <c r="J240" s="2">
        <v>0</v>
      </c>
      <c r="L240" s="2">
        <v>-1</v>
      </c>
      <c r="M240" s="2">
        <v>-0.38043099898763771</v>
      </c>
      <c r="N240" s="2">
        <v>0.76615887955207718</v>
      </c>
      <c r="O240" s="10">
        <f t="shared" si="298"/>
        <v>0</v>
      </c>
      <c r="Q240" s="2">
        <v>-2.4854025901999208E-8</v>
      </c>
    </row>
    <row r="243" spans="1:17" x14ac:dyDescent="0.35">
      <c r="A243" s="1" t="s">
        <v>9</v>
      </c>
      <c r="B243" s="2">
        <f t="shared" ref="B243" si="302">IF(AND((B234 = B225), ABS(B238-B229) &lt; 0.001),B234+0.1,B234)</f>
        <v>0.7</v>
      </c>
    </row>
    <row r="244" spans="1:17" x14ac:dyDescent="0.35">
      <c r="C244" s="1" t="s">
        <v>3</v>
      </c>
    </row>
    <row r="245" spans="1:17" x14ac:dyDescent="0.35">
      <c r="A245" s="1" t="s">
        <v>158</v>
      </c>
      <c r="B245" s="4">
        <f t="shared" ref="B245:B246" si="303">C245*180/PI()</f>
        <v>7.0187329903525839</v>
      </c>
      <c r="C245" s="2">
        <f t="shared" ref="C245:C246" si="304">C236+Q238</f>
        <v>0.12249999999999998</v>
      </c>
      <c r="E245" s="7" t="s">
        <v>159</v>
      </c>
      <c r="F245" s="6">
        <f t="shared" ref="F245" si="305">-B247*COS(B$6)+B$1*COS(C245)+B$2*COS(C246)-B$3*COS(C$4)</f>
        <v>7.3503486283654773E-16</v>
      </c>
      <c r="H245" s="11" t="s">
        <v>14</v>
      </c>
      <c r="I245" s="12"/>
      <c r="J245" s="13"/>
      <c r="L245" s="11" t="s">
        <v>160</v>
      </c>
      <c r="M245" s="12"/>
      <c r="N245" s="13"/>
      <c r="O245" s="14" t="s">
        <v>18</v>
      </c>
      <c r="Q245" s="16" t="s">
        <v>19</v>
      </c>
    </row>
    <row r="246" spans="1:17" x14ac:dyDescent="0.35">
      <c r="A246" s="1" t="s">
        <v>161</v>
      </c>
      <c r="B246" s="4">
        <f t="shared" si="303"/>
        <v>20.828366497462646</v>
      </c>
      <c r="C246" s="2">
        <f t="shared" si="304"/>
        <v>0.36352357319280237</v>
      </c>
      <c r="E246" s="7" t="s">
        <v>162</v>
      </c>
      <c r="F246" s="6">
        <f t="shared" ref="F246" si="306">-B247*SIN(B$6)+B$1*SIN(C245)+B$2*SIN(C246)-B$3*SIN(C$4)</f>
        <v>0</v>
      </c>
      <c r="H246" s="8" t="s">
        <v>16</v>
      </c>
      <c r="I246" s="8" t="s">
        <v>15</v>
      </c>
      <c r="J246" s="9" t="s">
        <v>8</v>
      </c>
      <c r="L246" s="8" t="s">
        <v>16</v>
      </c>
      <c r="M246" s="8" t="s">
        <v>15</v>
      </c>
      <c r="N246" s="9" t="s">
        <v>8</v>
      </c>
      <c r="O246" s="15"/>
      <c r="Q246" s="17"/>
    </row>
    <row r="247" spans="1:17" x14ac:dyDescent="0.35">
      <c r="A247" s="1" t="s">
        <v>8</v>
      </c>
      <c r="B247" s="4">
        <f t="shared" ref="B247" si="307">B238+Q240</f>
        <v>8.5854172735393419</v>
      </c>
      <c r="C247" s="2"/>
      <c r="E247" s="7" t="s">
        <v>163</v>
      </c>
      <c r="F247" s="6">
        <f>C245-F$3*B243-0.5*(F$4)*B243^2</f>
        <v>0</v>
      </c>
      <c r="H247" s="2">
        <f t="shared" ref="H247" si="308">-B$1*SIN(C245)</f>
        <v>-0.36658155657798819</v>
      </c>
      <c r="I247" s="2">
        <f t="shared" ref="I247" si="309">-B$2*SIN(C246)</f>
        <v>-2.1334184434220114</v>
      </c>
      <c r="J247" s="2">
        <f t="shared" ref="J247" si="310">-COS(B$6)</f>
        <v>-1</v>
      </c>
      <c r="L247" s="2" cm="1">
        <f t="array" ref="L247:N249">MINVERSE(H247:J249)</f>
        <v>0</v>
      </c>
      <c r="M247" s="2">
        <v>0</v>
      </c>
      <c r="N247" s="2">
        <v>1</v>
      </c>
      <c r="O247" s="10">
        <f t="shared" ref="O247:O249" si="311">-F245</f>
        <v>-7.3503486283654773E-16</v>
      </c>
      <c r="Q247" s="2" cm="1">
        <f t="array" ref="Q247:Q249">MMULT(L247:N249,O247:O249)</f>
        <v>0</v>
      </c>
    </row>
    <row r="248" spans="1:17" x14ac:dyDescent="0.35">
      <c r="H248" s="2">
        <f t="shared" ref="H248" si="312">B$1*COS(C245)</f>
        <v>2.9775187593660695</v>
      </c>
      <c r="I248" s="2">
        <f t="shared" ref="I248" si="313">B$2*COS(C246)</f>
        <v>5.6078985141732733</v>
      </c>
      <c r="J248" s="2">
        <f t="shared" ref="J248" si="314">-SIN(B$6)</f>
        <v>0</v>
      </c>
      <c r="L248" s="2">
        <v>0</v>
      </c>
      <c r="M248" s="2">
        <v>0.17831991742942976</v>
      </c>
      <c r="N248" s="2">
        <v>-0.53095089931473571</v>
      </c>
      <c r="O248" s="10">
        <f t="shared" si="311"/>
        <v>0</v>
      </c>
      <c r="Q248" s="2">
        <v>0</v>
      </c>
    </row>
    <row r="249" spans="1:17" x14ac:dyDescent="0.35">
      <c r="H249" s="2">
        <v>1</v>
      </c>
      <c r="I249" s="2">
        <v>0</v>
      </c>
      <c r="J249" s="2">
        <v>0</v>
      </c>
      <c r="L249" s="2">
        <v>-1</v>
      </c>
      <c r="M249" s="2">
        <v>-0.38043100067343566</v>
      </c>
      <c r="N249" s="2">
        <v>0.76615888457157222</v>
      </c>
      <c r="O249" s="10">
        <f t="shared" si="311"/>
        <v>0</v>
      </c>
      <c r="Q249" s="2">
        <v>7.3503486283654773E-16</v>
      </c>
    </row>
    <row r="252" spans="1:17" x14ac:dyDescent="0.35">
      <c r="A252" s="1" t="s">
        <v>9</v>
      </c>
      <c r="B252" s="2">
        <f t="shared" ref="B252" si="315">IF(AND((B243 = B234), ABS(B247-B238) &lt; 0.001),B243+0.1,B243)</f>
        <v>0.79999999999999993</v>
      </c>
    </row>
    <row r="253" spans="1:17" x14ac:dyDescent="0.35">
      <c r="C253" s="1" t="s">
        <v>3</v>
      </c>
    </row>
    <row r="254" spans="1:17" x14ac:dyDescent="0.35">
      <c r="A254" s="1" t="s">
        <v>164</v>
      </c>
      <c r="B254" s="4">
        <f t="shared" ref="B254:B255" si="316">C254*180/PI()</f>
        <v>7.0187329903525839</v>
      </c>
      <c r="C254" s="2">
        <f t="shared" ref="C254:C255" si="317">C245+Q247</f>
        <v>0.12249999999999998</v>
      </c>
      <c r="E254" s="7" t="s">
        <v>165</v>
      </c>
      <c r="F254" s="6">
        <f t="shared" ref="F254" si="318">-B256*COS(B$6)+B$1*COS(C254)+B$2*COS(C255)-B$3*COS(C$4)</f>
        <v>7.3503486283654773E-16</v>
      </c>
      <c r="H254" s="11" t="s">
        <v>14</v>
      </c>
      <c r="I254" s="12"/>
      <c r="J254" s="13"/>
      <c r="L254" s="11" t="s">
        <v>166</v>
      </c>
      <c r="M254" s="12"/>
      <c r="N254" s="13"/>
      <c r="O254" s="14" t="s">
        <v>18</v>
      </c>
      <c r="Q254" s="16" t="s">
        <v>19</v>
      </c>
    </row>
    <row r="255" spans="1:17" x14ac:dyDescent="0.35">
      <c r="A255" s="1" t="s">
        <v>167</v>
      </c>
      <c r="B255" s="4">
        <f t="shared" si="316"/>
        <v>20.828366497462646</v>
      </c>
      <c r="C255" s="2">
        <f t="shared" si="317"/>
        <v>0.36352357319280237</v>
      </c>
      <c r="E255" s="7" t="s">
        <v>168</v>
      </c>
      <c r="F255" s="6">
        <f t="shared" ref="F255" si="319">-B256*SIN(B$6)+B$1*SIN(C254)+B$2*SIN(C255)-B$3*SIN(C$4)</f>
        <v>0</v>
      </c>
      <c r="H255" s="8" t="s">
        <v>16</v>
      </c>
      <c r="I255" s="8" t="s">
        <v>15</v>
      </c>
      <c r="J255" s="9" t="s">
        <v>8</v>
      </c>
      <c r="L255" s="8" t="s">
        <v>16</v>
      </c>
      <c r="M255" s="8" t="s">
        <v>15</v>
      </c>
      <c r="N255" s="9" t="s">
        <v>8</v>
      </c>
      <c r="O255" s="15"/>
      <c r="Q255" s="17"/>
    </row>
    <row r="256" spans="1:17" x14ac:dyDescent="0.35">
      <c r="A256" s="1" t="s">
        <v>8</v>
      </c>
      <c r="B256" s="4">
        <f t="shared" ref="B256" si="320">B247+Q249</f>
        <v>8.5854172735393419</v>
      </c>
      <c r="C256" s="2"/>
      <c r="E256" s="7" t="s">
        <v>169</v>
      </c>
      <c r="F256" s="6">
        <f>C254-F$3*B252-0.5*(F$4)*B252^2</f>
        <v>-3.7499999999999992E-2</v>
      </c>
      <c r="H256" s="2">
        <f t="shared" ref="H256" si="321">-B$1*SIN(C254)</f>
        <v>-0.36658155657798819</v>
      </c>
      <c r="I256" s="2">
        <f t="shared" ref="I256" si="322">-B$2*SIN(C255)</f>
        <v>-2.1334184434220114</v>
      </c>
      <c r="J256" s="2">
        <f t="shared" ref="J256" si="323">-COS(B$6)</f>
        <v>-1</v>
      </c>
      <c r="L256" s="2" cm="1">
        <f t="array" ref="L256:N258">MINVERSE(H256:J258)</f>
        <v>0</v>
      </c>
      <c r="M256" s="2">
        <v>0</v>
      </c>
      <c r="N256" s="2">
        <v>1</v>
      </c>
      <c r="O256" s="10">
        <f t="shared" ref="O256:O258" si="324">-F254</f>
        <v>-7.3503486283654773E-16</v>
      </c>
      <c r="Q256" s="2" cm="1">
        <f t="array" ref="Q256:Q258">MMULT(L256:N258,O256:O258)</f>
        <v>3.7499999999999992E-2</v>
      </c>
    </row>
    <row r="257" spans="1:17" x14ac:dyDescent="0.35">
      <c r="H257" s="2">
        <f t="shared" ref="H257" si="325">B$1*COS(C254)</f>
        <v>2.9775187593660695</v>
      </c>
      <c r="I257" s="2">
        <f t="shared" ref="I257" si="326">B$2*COS(C255)</f>
        <v>5.6078985141732733</v>
      </c>
      <c r="J257" s="2">
        <f t="shared" ref="J257" si="327">-SIN(B$6)</f>
        <v>0</v>
      </c>
      <c r="L257" s="2">
        <v>0</v>
      </c>
      <c r="M257" s="2">
        <v>0.17831991742942976</v>
      </c>
      <c r="N257" s="2">
        <v>-0.53095089931473571</v>
      </c>
      <c r="O257" s="10">
        <f t="shared" si="324"/>
        <v>0</v>
      </c>
      <c r="Q257" s="2">
        <v>-1.9910658724302584E-2</v>
      </c>
    </row>
    <row r="258" spans="1:17" x14ac:dyDescent="0.35">
      <c r="H258" s="2">
        <v>1</v>
      </c>
      <c r="I258" s="2">
        <v>0</v>
      </c>
      <c r="J258" s="2">
        <v>0</v>
      </c>
      <c r="L258" s="2">
        <v>-1</v>
      </c>
      <c r="M258" s="2">
        <v>-0.38043100067343566</v>
      </c>
      <c r="N258" s="2">
        <v>0.76615888457157222</v>
      </c>
      <c r="O258" s="10">
        <f t="shared" si="324"/>
        <v>3.7499999999999992E-2</v>
      </c>
      <c r="Q258" s="2">
        <v>2.8730958171434687E-2</v>
      </c>
    </row>
    <row r="261" spans="1:17" x14ac:dyDescent="0.35">
      <c r="A261" s="1" t="s">
        <v>9</v>
      </c>
      <c r="B261" s="2">
        <f t="shared" ref="B261" si="328">IF(AND((B252 = B243), ABS(B256-B247) &lt; 0.001),B252+0.1,B252)</f>
        <v>0.79999999999999993</v>
      </c>
    </row>
    <row r="262" spans="1:17" x14ac:dyDescent="0.35">
      <c r="C262" s="1" t="s">
        <v>3</v>
      </c>
    </row>
    <row r="263" spans="1:17" x14ac:dyDescent="0.35">
      <c r="A263" s="1" t="s">
        <v>170</v>
      </c>
      <c r="B263" s="4">
        <f t="shared" ref="B263:B264" si="329">C263*180/PI()</f>
        <v>9.16732472209317</v>
      </c>
      <c r="C263" s="2">
        <f t="shared" ref="C263:C264" si="330">C254+Q256</f>
        <v>0.15999999999999998</v>
      </c>
      <c r="E263" s="7" t="s">
        <v>171</v>
      </c>
      <c r="F263" s="6">
        <f t="shared" ref="F263" si="331">-B265*COS(B$6)+B$1*COS(C263)+B$2*COS(C264)-B$3*COS(C$4)</f>
        <v>-3.2044524448606036E-3</v>
      </c>
      <c r="H263" s="11" t="s">
        <v>14</v>
      </c>
      <c r="I263" s="12"/>
      <c r="J263" s="13"/>
      <c r="L263" s="11" t="s">
        <v>172</v>
      </c>
      <c r="M263" s="12"/>
      <c r="N263" s="13"/>
      <c r="O263" s="14" t="s">
        <v>18</v>
      </c>
      <c r="Q263" s="16" t="s">
        <v>19</v>
      </c>
    </row>
    <row r="264" spans="1:17" x14ac:dyDescent="0.35">
      <c r="A264" s="1" t="s">
        <v>173</v>
      </c>
      <c r="B264" s="4">
        <f t="shared" si="329"/>
        <v>19.687569785234778</v>
      </c>
      <c r="C264" s="2">
        <f t="shared" si="330"/>
        <v>0.34361291446849979</v>
      </c>
      <c r="E264" s="7" t="s">
        <v>174</v>
      </c>
      <c r="F264" s="6">
        <f t="shared" ref="F264" si="332">-B265*SIN(B$6)+B$1*SIN(C263)+B$2*SIN(C264)-B$3*SIN(C$4)</f>
        <v>-6.9937910244322055E-4</v>
      </c>
      <c r="H264" s="8" t="s">
        <v>16</v>
      </c>
      <c r="I264" s="8" t="s">
        <v>15</v>
      </c>
      <c r="J264" s="9" t="s">
        <v>8</v>
      </c>
      <c r="L264" s="8" t="s">
        <v>16</v>
      </c>
      <c r="M264" s="8" t="s">
        <v>15</v>
      </c>
      <c r="N264" s="9" t="s">
        <v>8</v>
      </c>
      <c r="O264" s="15"/>
      <c r="Q264" s="17"/>
    </row>
    <row r="265" spans="1:17" x14ac:dyDescent="0.35">
      <c r="A265" s="1" t="s">
        <v>8</v>
      </c>
      <c r="B265" s="4">
        <f t="shared" ref="B265" si="333">B256+Q258</f>
        <v>8.6141482317107769</v>
      </c>
      <c r="C265" s="2"/>
      <c r="E265" s="7" t="s">
        <v>175</v>
      </c>
      <c r="F265" s="6">
        <f>C263-F$3*B261-0.5*(F$4)*B261^2</f>
        <v>0</v>
      </c>
      <c r="H265" s="2">
        <f t="shared" ref="H265" si="334">-B$1*SIN(C263)</f>
        <v>-0.47795461984273785</v>
      </c>
      <c r="I265" s="2">
        <f t="shared" ref="I265" si="335">-B$2*SIN(C264)</f>
        <v>-2.0213460010548188</v>
      </c>
      <c r="J265" s="2">
        <f t="shared" ref="J265" si="336">-COS(B$6)</f>
        <v>-1</v>
      </c>
      <c r="L265" s="2" cm="1">
        <f t="array" ref="L265:N267">MINVERSE(H265:J267)</f>
        <v>0</v>
      </c>
      <c r="M265" s="2">
        <v>0</v>
      </c>
      <c r="N265" s="2">
        <v>1</v>
      </c>
      <c r="O265" s="10">
        <f t="shared" ref="O265:O267" si="337">-F263</f>
        <v>3.2044524448606036E-3</v>
      </c>
      <c r="Q265" s="2" cm="1">
        <f t="array" ref="Q265:Q267">MMULT(L265:N267,O265:O267)</f>
        <v>0</v>
      </c>
    </row>
    <row r="266" spans="1:17" x14ac:dyDescent="0.35">
      <c r="H266" s="2">
        <f t="shared" ref="H266" si="338">B$1*COS(C263)</f>
        <v>2.9616818501268809</v>
      </c>
      <c r="I266" s="2">
        <f t="shared" ref="I266" si="339">B$2*COS(C264)</f>
        <v>5.6492619291390351</v>
      </c>
      <c r="J266" s="2">
        <f t="shared" ref="J266" si="340">-SIN(B$6)</f>
        <v>0</v>
      </c>
      <c r="L266" s="2">
        <v>0</v>
      </c>
      <c r="M266" s="2">
        <v>0.17701427417305168</v>
      </c>
      <c r="N266" s="2">
        <v>-0.52425996303171063</v>
      </c>
      <c r="O266" s="10">
        <f t="shared" si="337"/>
        <v>6.9937910244322055E-4</v>
      </c>
      <c r="Q266" s="2">
        <v>1.2380008419078705E-4</v>
      </c>
    </row>
    <row r="267" spans="1:17" x14ac:dyDescent="0.35">
      <c r="H267" s="2">
        <v>1</v>
      </c>
      <c r="I267" s="2">
        <v>0</v>
      </c>
      <c r="J267" s="2">
        <v>0</v>
      </c>
      <c r="L267" s="2">
        <v>-1</v>
      </c>
      <c r="M267" s="2">
        <v>-0.35780709522931931</v>
      </c>
      <c r="N267" s="2">
        <v>0.58175615994455765</v>
      </c>
      <c r="O267" s="10">
        <f t="shared" si="337"/>
        <v>0</v>
      </c>
      <c r="Q267" s="2">
        <v>-3.4546952499699009E-3</v>
      </c>
    </row>
    <row r="270" spans="1:17" x14ac:dyDescent="0.35">
      <c r="A270" s="1" t="s">
        <v>9</v>
      </c>
      <c r="B270" s="2">
        <f t="shared" ref="B270" si="341">IF(AND((B261 = B252), ABS(B265-B256) &lt; 0.001),B261+0.1,B261)</f>
        <v>0.79999999999999993</v>
      </c>
    </row>
    <row r="271" spans="1:17" x14ac:dyDescent="0.35">
      <c r="C271" s="1" t="s">
        <v>3</v>
      </c>
    </row>
    <row r="272" spans="1:17" x14ac:dyDescent="0.35">
      <c r="A272" s="1" t="s">
        <v>176</v>
      </c>
      <c r="B272" s="4">
        <f t="shared" ref="B272:B273" si="342">C272*180/PI()</f>
        <v>9.16732472209317</v>
      </c>
      <c r="C272" s="2">
        <f t="shared" ref="C272:C273" si="343">C263+Q265</f>
        <v>0.15999999999999998</v>
      </c>
      <c r="E272" s="7" t="s">
        <v>177</v>
      </c>
      <c r="F272" s="6">
        <f t="shared" ref="F272" si="344">-B274*COS(B$6)+B$1*COS(C272)+B$2*COS(C273)-B$3*COS(C$4)</f>
        <v>-4.3290957638596975E-8</v>
      </c>
      <c r="H272" s="11" t="s">
        <v>14</v>
      </c>
      <c r="I272" s="12"/>
      <c r="J272" s="13"/>
      <c r="L272" s="11" t="s">
        <v>178</v>
      </c>
      <c r="M272" s="12"/>
      <c r="N272" s="13"/>
      <c r="O272" s="14" t="s">
        <v>18</v>
      </c>
      <c r="Q272" s="16" t="s">
        <v>19</v>
      </c>
    </row>
    <row r="273" spans="1:17" x14ac:dyDescent="0.35">
      <c r="A273" s="1" t="s">
        <v>179</v>
      </c>
      <c r="B273" s="4">
        <f t="shared" si="342"/>
        <v>19.694663007562276</v>
      </c>
      <c r="C273" s="2">
        <f t="shared" si="343"/>
        <v>0.34373671455269056</v>
      </c>
      <c r="E273" s="7" t="s">
        <v>180</v>
      </c>
      <c r="F273" s="6">
        <f t="shared" ref="F273" si="345">-B274*SIN(B$6)+B$1*SIN(C272)+B$2*SIN(C273)-B$3*SIN(C$4)</f>
        <v>-1.549182693239004E-8</v>
      </c>
      <c r="H273" s="8" t="s">
        <v>16</v>
      </c>
      <c r="I273" s="8" t="s">
        <v>15</v>
      </c>
      <c r="J273" s="9" t="s">
        <v>8</v>
      </c>
      <c r="L273" s="8" t="s">
        <v>16</v>
      </c>
      <c r="M273" s="8" t="s">
        <v>15</v>
      </c>
      <c r="N273" s="9" t="s">
        <v>8</v>
      </c>
      <c r="O273" s="15"/>
      <c r="Q273" s="17"/>
    </row>
    <row r="274" spans="1:17" x14ac:dyDescent="0.35">
      <c r="A274" s="1" t="s">
        <v>8</v>
      </c>
      <c r="B274" s="4">
        <f t="shared" ref="B274" si="346">B265+Q267</f>
        <v>8.6106935364608077</v>
      </c>
      <c r="C274" s="2"/>
      <c r="E274" s="7" t="s">
        <v>181</v>
      </c>
      <c r="F274" s="6">
        <f>C272-F$3*B270-0.5*(F$4)*B270^2</f>
        <v>0</v>
      </c>
      <c r="H274" s="2">
        <f t="shared" ref="H274" si="347">-B$1*SIN(C272)</f>
        <v>-0.47795461984273785</v>
      </c>
      <c r="I274" s="2">
        <f t="shared" ref="I274" si="348">-B$2*SIN(C273)</f>
        <v>-2.0220453646654351</v>
      </c>
      <c r="J274" s="2">
        <f t="shared" ref="J274" si="349">-COS(B$6)</f>
        <v>-1</v>
      </c>
      <c r="L274" s="2" cm="1">
        <f t="array" ref="L274:N276">MINVERSE(H274:J276)</f>
        <v>0</v>
      </c>
      <c r="M274" s="2">
        <v>0</v>
      </c>
      <c r="N274" s="2">
        <v>1</v>
      </c>
      <c r="O274" s="10">
        <f t="shared" ref="O274:O276" si="350">-F272</f>
        <v>4.3290957638596975E-8</v>
      </c>
      <c r="Q274" s="2" cm="1">
        <f t="array" ref="Q274:Q276">MMULT(L274:N276,O274:O276)</f>
        <v>0</v>
      </c>
    </row>
    <row r="275" spans="1:17" x14ac:dyDescent="0.35">
      <c r="H275" s="2">
        <f t="shared" ref="H275" si="351">B$1*COS(C272)</f>
        <v>2.9616818501268809</v>
      </c>
      <c r="I275" s="2">
        <f t="shared" ref="I275" si="352">B$2*COS(C273)</f>
        <v>5.6490116430429689</v>
      </c>
      <c r="J275" s="2">
        <f t="shared" ref="J275" si="353">-SIN(B$6)</f>
        <v>0</v>
      </c>
      <c r="L275" s="2">
        <v>0</v>
      </c>
      <c r="M275" s="2">
        <v>0.17702211699838649</v>
      </c>
      <c r="N275" s="2">
        <v>-0.52428319098515852</v>
      </c>
      <c r="O275" s="10">
        <f t="shared" si="350"/>
        <v>1.549182693239004E-8</v>
      </c>
      <c r="Q275" s="2">
        <v>2.7423959997443047E-9</v>
      </c>
    </row>
    <row r="276" spans="1:17" x14ac:dyDescent="0.35">
      <c r="H276" s="2">
        <v>1</v>
      </c>
      <c r="I276" s="2">
        <v>0</v>
      </c>
      <c r="J276" s="2">
        <v>0</v>
      </c>
      <c r="L276" s="2">
        <v>-1</v>
      </c>
      <c r="M276" s="2">
        <v>-0.35794675111984975</v>
      </c>
      <c r="N276" s="2">
        <v>0.58216977626080491</v>
      </c>
      <c r="O276" s="10">
        <f t="shared" si="350"/>
        <v>0</v>
      </c>
      <c r="Q276" s="2">
        <v>-4.8836206757956978E-8</v>
      </c>
    </row>
    <row r="279" spans="1:17" x14ac:dyDescent="0.35">
      <c r="A279" s="1" t="s">
        <v>9</v>
      </c>
      <c r="B279" s="2">
        <f t="shared" ref="B279" si="354">IF(AND((B270 = B261), ABS(B274-B265) &lt; 0.001),B270+0.1,B270)</f>
        <v>0.79999999999999993</v>
      </c>
    </row>
    <row r="280" spans="1:17" x14ac:dyDescent="0.35">
      <c r="C280" s="1" t="s">
        <v>3</v>
      </c>
    </row>
    <row r="281" spans="1:17" x14ac:dyDescent="0.35">
      <c r="A281" s="1" t="s">
        <v>182</v>
      </c>
      <c r="B281" s="4">
        <f t="shared" ref="B281:B282" si="355">C281*180/PI()</f>
        <v>9.16732472209317</v>
      </c>
      <c r="C281" s="2">
        <f t="shared" ref="C281:C282" si="356">C272+Q274</f>
        <v>0.15999999999999998</v>
      </c>
      <c r="E281" s="7" t="s">
        <v>183</v>
      </c>
      <c r="F281" s="6">
        <f t="shared" ref="F281" si="357">-B283*COS(B$6)+B$1*COS(C281)+B$2*COS(C282)-B$3*COS(C$4)</f>
        <v>-1.531435568635775E-16</v>
      </c>
      <c r="H281" s="11" t="s">
        <v>14</v>
      </c>
      <c r="I281" s="12"/>
      <c r="J281" s="13"/>
      <c r="L281" s="11" t="s">
        <v>184</v>
      </c>
      <c r="M281" s="12"/>
      <c r="N281" s="13"/>
      <c r="O281" s="14" t="s">
        <v>18</v>
      </c>
      <c r="Q281" s="16" t="s">
        <v>19</v>
      </c>
    </row>
    <row r="282" spans="1:17" x14ac:dyDescent="0.35">
      <c r="A282" s="1" t="s">
        <v>185</v>
      </c>
      <c r="B282" s="4">
        <f t="shared" si="355"/>
        <v>19.694663164689992</v>
      </c>
      <c r="C282" s="2">
        <f t="shared" si="356"/>
        <v>0.34373671729508654</v>
      </c>
      <c r="E282" s="7" t="s">
        <v>186</v>
      </c>
      <c r="F282" s="6">
        <f t="shared" ref="F282" si="358">-B283*SIN(B$6)+B$1*SIN(C281)+B$2*SIN(C282)-B$3*SIN(C$4)</f>
        <v>0</v>
      </c>
      <c r="H282" s="8" t="s">
        <v>16</v>
      </c>
      <c r="I282" s="8" t="s">
        <v>15</v>
      </c>
      <c r="J282" s="9" t="s">
        <v>8</v>
      </c>
      <c r="L282" s="8" t="s">
        <v>16</v>
      </c>
      <c r="M282" s="8" t="s">
        <v>15</v>
      </c>
      <c r="N282" s="9" t="s">
        <v>8</v>
      </c>
      <c r="O282" s="15"/>
      <c r="Q282" s="17"/>
    </row>
    <row r="283" spans="1:17" x14ac:dyDescent="0.35">
      <c r="A283" s="1" t="s">
        <v>8</v>
      </c>
      <c r="B283" s="4">
        <f t="shared" ref="B283" si="359">B274+Q276</f>
        <v>8.6106934876246015</v>
      </c>
      <c r="C283" s="2"/>
      <c r="E283" s="7" t="s">
        <v>187</v>
      </c>
      <c r="F283" s="6">
        <f>C281-F$3*B279-0.5*(F$4)*B279^2</f>
        <v>0</v>
      </c>
      <c r="H283" s="2">
        <f t="shared" ref="H283" si="360">-B$1*SIN(C281)</f>
        <v>-0.47795461984273785</v>
      </c>
      <c r="I283" s="2">
        <f t="shared" ref="I283" si="361">-B$2*SIN(C282)</f>
        <v>-2.022045380157262</v>
      </c>
      <c r="J283" s="2">
        <f t="shared" ref="J283" si="362">-COS(B$6)</f>
        <v>-1</v>
      </c>
      <c r="L283" s="2" cm="1">
        <f t="array" ref="L283:N285">MINVERSE(H283:J285)</f>
        <v>0</v>
      </c>
      <c r="M283" s="2">
        <v>0</v>
      </c>
      <c r="N283" s="2">
        <v>1</v>
      </c>
      <c r="O283" s="10">
        <f t="shared" ref="O283:O285" si="363">-F281</f>
        <v>1.531435568635775E-16</v>
      </c>
      <c r="Q283" s="2" cm="1">
        <f t="array" ref="Q283:Q285">MMULT(L283:N285,O283:O285)</f>
        <v>0</v>
      </c>
    </row>
    <row r="284" spans="1:17" x14ac:dyDescent="0.35">
      <c r="H284" s="2">
        <f t="shared" ref="H284" si="364">B$1*COS(C281)</f>
        <v>2.9616818501268809</v>
      </c>
      <c r="I284" s="2">
        <f t="shared" ref="I284" si="365">B$2*COS(C282)</f>
        <v>5.6490116374977202</v>
      </c>
      <c r="J284" s="2">
        <f t="shared" ref="J284" si="366">-SIN(B$6)</f>
        <v>0</v>
      </c>
      <c r="L284" s="2">
        <v>0</v>
      </c>
      <c r="M284" s="2">
        <v>0.17702211717215702</v>
      </c>
      <c r="N284" s="2">
        <v>-0.52428319149981151</v>
      </c>
      <c r="O284" s="10">
        <f t="shared" si="363"/>
        <v>0</v>
      </c>
      <c r="Q284" s="2">
        <v>0</v>
      </c>
    </row>
    <row r="285" spans="1:17" x14ac:dyDescent="0.35">
      <c r="H285" s="2">
        <v>1</v>
      </c>
      <c r="I285" s="2">
        <v>0</v>
      </c>
      <c r="J285" s="2">
        <v>0</v>
      </c>
      <c r="L285" s="2">
        <v>-1</v>
      </c>
      <c r="M285" s="2">
        <v>-0.35794675421361766</v>
      </c>
      <c r="N285" s="2">
        <v>0.58216978542356113</v>
      </c>
      <c r="O285" s="10">
        <f t="shared" si="363"/>
        <v>0</v>
      </c>
      <c r="Q285" s="2">
        <v>-1.531435568635775E-16</v>
      </c>
    </row>
    <row r="288" spans="1:17" x14ac:dyDescent="0.35">
      <c r="A288" s="1" t="s">
        <v>9</v>
      </c>
      <c r="B288" s="2">
        <f t="shared" ref="B288" si="367">IF(AND((B279 = B270), ABS(B283-B274) &lt; 0.001),B279+0.1,B279)</f>
        <v>0.89999999999999991</v>
      </c>
    </row>
    <row r="289" spans="1:17" x14ac:dyDescent="0.35">
      <c r="C289" s="1" t="s">
        <v>3</v>
      </c>
    </row>
    <row r="290" spans="1:17" x14ac:dyDescent="0.35">
      <c r="A290" s="1" t="s">
        <v>188</v>
      </c>
      <c r="B290" s="4">
        <f t="shared" ref="B290:B291" si="368">C290*180/PI()</f>
        <v>9.16732472209317</v>
      </c>
      <c r="C290" s="2">
        <f t="shared" ref="C290:C291" si="369">C281+Q283</f>
        <v>0.15999999999999998</v>
      </c>
      <c r="E290" s="7" t="s">
        <v>189</v>
      </c>
      <c r="F290" s="6">
        <f t="shared" ref="F290" si="370">-B292*COS(B$6)+B$1*COS(C290)+B$2*COS(C291)-B$3*COS(C$4)</f>
        <v>-1.531435568635775E-16</v>
      </c>
      <c r="H290" s="11" t="s">
        <v>14</v>
      </c>
      <c r="I290" s="12"/>
      <c r="J290" s="13"/>
      <c r="L290" s="11" t="s">
        <v>190</v>
      </c>
      <c r="M290" s="12"/>
      <c r="N290" s="13"/>
      <c r="O290" s="14" t="s">
        <v>18</v>
      </c>
      <c r="Q290" s="16" t="s">
        <v>19</v>
      </c>
    </row>
    <row r="291" spans="1:17" x14ac:dyDescent="0.35">
      <c r="A291" s="1" t="s">
        <v>191</v>
      </c>
      <c r="B291" s="4">
        <f t="shared" si="368"/>
        <v>19.694663164689992</v>
      </c>
      <c r="C291" s="2">
        <f t="shared" si="369"/>
        <v>0.34373671729508654</v>
      </c>
      <c r="E291" s="7" t="s">
        <v>192</v>
      </c>
      <c r="F291" s="6">
        <f t="shared" ref="F291" si="371">-B292*SIN(B$6)+B$1*SIN(C290)+B$2*SIN(C291)-B$3*SIN(C$4)</f>
        <v>0</v>
      </c>
      <c r="H291" s="8" t="s">
        <v>16</v>
      </c>
      <c r="I291" s="8" t="s">
        <v>15</v>
      </c>
      <c r="J291" s="9" t="s">
        <v>8</v>
      </c>
      <c r="L291" s="8" t="s">
        <v>16</v>
      </c>
      <c r="M291" s="8" t="s">
        <v>15</v>
      </c>
      <c r="N291" s="9" t="s">
        <v>8</v>
      </c>
      <c r="O291" s="15"/>
      <c r="Q291" s="17"/>
    </row>
    <row r="292" spans="1:17" x14ac:dyDescent="0.35">
      <c r="A292" s="1" t="s">
        <v>8</v>
      </c>
      <c r="B292" s="4">
        <f t="shared" ref="B292" si="372">B283+Q285</f>
        <v>8.6106934876246015</v>
      </c>
      <c r="C292" s="2"/>
      <c r="E292" s="7" t="s">
        <v>193</v>
      </c>
      <c r="F292" s="6">
        <f>C290-F$3*B288-0.5*(F$4)*B288^2</f>
        <v>-4.2499999999999982E-2</v>
      </c>
      <c r="H292" s="2">
        <f t="shared" ref="H292" si="373">-B$1*SIN(C290)</f>
        <v>-0.47795461984273785</v>
      </c>
      <c r="I292" s="2">
        <f t="shared" ref="I292" si="374">-B$2*SIN(C291)</f>
        <v>-2.022045380157262</v>
      </c>
      <c r="J292" s="2">
        <f t="shared" ref="J292" si="375">-COS(B$6)</f>
        <v>-1</v>
      </c>
      <c r="L292" s="2" cm="1">
        <f t="array" ref="L292:N294">MINVERSE(H292:J294)</f>
        <v>0</v>
      </c>
      <c r="M292" s="2">
        <v>0</v>
      </c>
      <c r="N292" s="2">
        <v>1</v>
      </c>
      <c r="O292" s="10">
        <f t="shared" ref="O292:O294" si="376">-F290</f>
        <v>1.531435568635775E-16</v>
      </c>
      <c r="Q292" s="2" cm="1">
        <f t="array" ref="Q292:Q294">MMULT(L292:N294,O292:O294)</f>
        <v>4.2499999999999982E-2</v>
      </c>
    </row>
    <row r="293" spans="1:17" x14ac:dyDescent="0.35">
      <c r="H293" s="2">
        <f t="shared" ref="H293" si="377">B$1*COS(C290)</f>
        <v>2.9616818501268809</v>
      </c>
      <c r="I293" s="2">
        <f t="shared" ref="I293" si="378">B$2*COS(C291)</f>
        <v>5.6490116374977202</v>
      </c>
      <c r="J293" s="2">
        <f t="shared" ref="J293" si="379">-SIN(B$6)</f>
        <v>0</v>
      </c>
      <c r="L293" s="2">
        <v>0</v>
      </c>
      <c r="M293" s="2">
        <v>0.17702211717215702</v>
      </c>
      <c r="N293" s="2">
        <v>-0.52428319149981151</v>
      </c>
      <c r="O293" s="10">
        <f t="shared" si="376"/>
        <v>0</v>
      </c>
      <c r="Q293" s="2">
        <v>-2.2282035638741978E-2</v>
      </c>
    </row>
    <row r="294" spans="1:17" x14ac:dyDescent="0.35">
      <c r="H294" s="2">
        <v>1</v>
      </c>
      <c r="I294" s="2">
        <v>0</v>
      </c>
      <c r="J294" s="2">
        <v>0</v>
      </c>
      <c r="L294" s="2">
        <v>-1</v>
      </c>
      <c r="M294" s="2">
        <v>-0.35794675421361766</v>
      </c>
      <c r="N294" s="2">
        <v>0.58216978542356113</v>
      </c>
      <c r="O294" s="10">
        <f t="shared" si="376"/>
        <v>4.2499999999999982E-2</v>
      </c>
      <c r="Q294" s="2">
        <v>2.4742215880501184E-2</v>
      </c>
    </row>
    <row r="297" spans="1:17" x14ac:dyDescent="0.35">
      <c r="A297" s="1" t="s">
        <v>9</v>
      </c>
      <c r="B297" s="2">
        <f t="shared" ref="B297" si="380">IF(AND((B288 = B279), ABS(B292-B283) &lt; 0.001),B288+0.1,B288)</f>
        <v>0.89999999999999991</v>
      </c>
    </row>
    <row r="298" spans="1:17" x14ac:dyDescent="0.35">
      <c r="C298" s="1" t="s">
        <v>3</v>
      </c>
    </row>
    <row r="299" spans="1:17" x14ac:dyDescent="0.35">
      <c r="A299" s="1" t="s">
        <v>194</v>
      </c>
      <c r="B299" s="4">
        <f t="shared" ref="B299:B300" si="381">C299*180/PI()</f>
        <v>11.602395351399169</v>
      </c>
      <c r="C299" s="2">
        <f t="shared" ref="C299:C300" si="382">C290+Q292</f>
        <v>0.20249999999999996</v>
      </c>
      <c r="E299" s="7" t="s">
        <v>195</v>
      </c>
      <c r="F299" s="6">
        <f t="shared" ref="F299" si="383">-B301*COS(B$6)+B$1*COS(C299)+B$2*COS(C300)-B$3*COS(C$4)</f>
        <v>-4.0742583257246537E-3</v>
      </c>
      <c r="H299" s="11" t="s">
        <v>14</v>
      </c>
      <c r="I299" s="12"/>
      <c r="J299" s="13"/>
      <c r="L299" s="11" t="s">
        <v>196</v>
      </c>
      <c r="M299" s="12"/>
      <c r="N299" s="13"/>
      <c r="O299" s="14" t="s">
        <v>18</v>
      </c>
      <c r="Q299" s="16" t="s">
        <v>19</v>
      </c>
    </row>
    <row r="300" spans="1:17" x14ac:dyDescent="0.35">
      <c r="A300" s="1" t="s">
        <v>197</v>
      </c>
      <c r="B300" s="4">
        <f t="shared" si="381"/>
        <v>18.417996563629988</v>
      </c>
      <c r="C300" s="2">
        <f t="shared" si="382"/>
        <v>0.32145468165634455</v>
      </c>
      <c r="E300" s="7" t="s">
        <v>198</v>
      </c>
      <c r="F300" s="6">
        <f t="shared" ref="F300" si="384">-B301*SIN(B$6)+B$1*SIN(C299)+B$2*SIN(C300)-B$3*SIN(C$4)</f>
        <v>-9.6100254697351062E-4</v>
      </c>
      <c r="H300" s="8" t="s">
        <v>16</v>
      </c>
      <c r="I300" s="8" t="s">
        <v>15</v>
      </c>
      <c r="J300" s="9" t="s">
        <v>8</v>
      </c>
      <c r="L300" s="8" t="s">
        <v>16</v>
      </c>
      <c r="M300" s="8" t="s">
        <v>15</v>
      </c>
      <c r="N300" s="9" t="s">
        <v>8</v>
      </c>
      <c r="O300" s="15"/>
      <c r="Q300" s="17"/>
    </row>
    <row r="301" spans="1:17" x14ac:dyDescent="0.35">
      <c r="A301" s="1" t="s">
        <v>8</v>
      </c>
      <c r="B301" s="4">
        <f t="shared" ref="B301" si="385">B292+Q294</f>
        <v>8.6354357035051024</v>
      </c>
      <c r="C301" s="2"/>
      <c r="E301" s="7" t="s">
        <v>199</v>
      </c>
      <c r="F301" s="6">
        <f>C299-F$3*B297-0.5*(F$4)*B297^2</f>
        <v>0</v>
      </c>
      <c r="H301" s="2">
        <f t="shared" ref="H301" si="386">-B$1*SIN(C299)</f>
        <v>-0.60335662153821901</v>
      </c>
      <c r="I301" s="2">
        <f t="shared" ref="I301" si="387">-B$2*SIN(C300)</f>
        <v>-1.8956823759148076</v>
      </c>
      <c r="J301" s="2">
        <f t="shared" ref="J301" si="388">-COS(B$6)</f>
        <v>-1</v>
      </c>
      <c r="L301" s="2" cm="1">
        <f t="array" ref="L301:N303">MINVERSE(H301:J303)</f>
        <v>0</v>
      </c>
      <c r="M301" s="2">
        <v>0</v>
      </c>
      <c r="N301" s="2">
        <v>0.99999999999999989</v>
      </c>
      <c r="O301" s="10">
        <f t="shared" ref="O301:O303" si="389">-F299</f>
        <v>4.0742583257246537E-3</v>
      </c>
      <c r="Q301" s="2" cm="1">
        <f t="array" ref="Q301:Q303">MMULT(L301:N303,O301:O303)</f>
        <v>0</v>
      </c>
    </row>
    <row r="302" spans="1:17" x14ac:dyDescent="0.35">
      <c r="H302" s="2">
        <f t="shared" ref="H302" si="390">B$1*COS(C299)</f>
        <v>2.938700526975484</v>
      </c>
      <c r="I302" s="2">
        <f t="shared" ref="I302" si="391">B$2*COS(C300)</f>
        <v>5.6926609182038934</v>
      </c>
      <c r="J302" s="2">
        <f t="shared" ref="J302" si="392">-SIN(B$6)</f>
        <v>0</v>
      </c>
      <c r="L302" s="2">
        <v>0</v>
      </c>
      <c r="M302" s="2">
        <v>0.17566477511460715</v>
      </c>
      <c r="N302" s="2">
        <v>-0.51622616720032588</v>
      </c>
      <c r="O302" s="10">
        <f t="shared" si="389"/>
        <v>9.6100254697351062E-4</v>
      </c>
      <c r="Q302" s="2">
        <v>1.6881429629866644E-4</v>
      </c>
    </row>
    <row r="303" spans="1:17" x14ac:dyDescent="0.35">
      <c r="H303" s="2">
        <v>1</v>
      </c>
      <c r="I303" s="2">
        <v>0</v>
      </c>
      <c r="J303" s="2">
        <v>0</v>
      </c>
      <c r="L303" s="2">
        <v>-1</v>
      </c>
      <c r="M303" s="2">
        <v>-0.3330046182537989</v>
      </c>
      <c r="N303" s="2">
        <v>0.37524422560948961</v>
      </c>
      <c r="O303" s="10">
        <f t="shared" si="389"/>
        <v>0</v>
      </c>
      <c r="Q303" s="2">
        <v>-4.3942766120204958E-3</v>
      </c>
    </row>
    <row r="306" spans="1:17" x14ac:dyDescent="0.35">
      <c r="A306" s="1" t="s">
        <v>9</v>
      </c>
      <c r="B306" s="2">
        <f t="shared" ref="B306" si="393">IF(AND((B297 = B288), ABS(B301-B292) &lt; 0.001),B297+0.1,B297)</f>
        <v>0.89999999999999991</v>
      </c>
    </row>
    <row r="307" spans="1:17" x14ac:dyDescent="0.35">
      <c r="C307" s="1" t="s">
        <v>3</v>
      </c>
    </row>
    <row r="308" spans="1:17" x14ac:dyDescent="0.35">
      <c r="A308" s="1" t="s">
        <v>200</v>
      </c>
      <c r="B308" s="4">
        <f t="shared" ref="B308:B309" si="394">C308*180/PI()</f>
        <v>11.602395351399169</v>
      </c>
      <c r="C308" s="2">
        <f t="shared" ref="C308:C309" si="395">C299+Q301</f>
        <v>0.20249999999999996</v>
      </c>
      <c r="E308" s="7" t="s">
        <v>201</v>
      </c>
      <c r="F308" s="6">
        <f t="shared" ref="F308" si="396">-B310*COS(B$6)+B$1*COS(C308)+B$2*COS(C309)-B$3*COS(C$4)</f>
        <v>-8.1113965475431652E-8</v>
      </c>
      <c r="H308" s="11" t="s">
        <v>14</v>
      </c>
      <c r="I308" s="12"/>
      <c r="J308" s="13"/>
      <c r="L308" s="11" t="s">
        <v>202</v>
      </c>
      <c r="M308" s="12"/>
      <c r="N308" s="13"/>
      <c r="O308" s="14" t="s">
        <v>18</v>
      </c>
      <c r="Q308" s="16" t="s">
        <v>19</v>
      </c>
    </row>
    <row r="309" spans="1:17" x14ac:dyDescent="0.35">
      <c r="A309" s="1" t="s">
        <v>203</v>
      </c>
      <c r="B309" s="4">
        <f t="shared" si="394"/>
        <v>18.42766891032937</v>
      </c>
      <c r="C309" s="2">
        <f t="shared" si="395"/>
        <v>0.32162349595264322</v>
      </c>
      <c r="E309" s="7" t="s">
        <v>204</v>
      </c>
      <c r="F309" s="6">
        <f t="shared" ref="F309" si="397">-B310*SIN(B$6)+B$1*SIN(C308)+B$2*SIN(C309)-B$3*SIN(C$4)</f>
        <v>-2.7016395343082422E-8</v>
      </c>
      <c r="H309" s="8" t="s">
        <v>16</v>
      </c>
      <c r="I309" s="8" t="s">
        <v>15</v>
      </c>
      <c r="J309" s="9" t="s">
        <v>8</v>
      </c>
      <c r="L309" s="8" t="s">
        <v>16</v>
      </c>
      <c r="M309" s="8" t="s">
        <v>15</v>
      </c>
      <c r="N309" s="9" t="s">
        <v>8</v>
      </c>
      <c r="O309" s="15"/>
      <c r="Q309" s="17"/>
    </row>
    <row r="310" spans="1:17" x14ac:dyDescent="0.35">
      <c r="A310" s="1" t="s">
        <v>8</v>
      </c>
      <c r="B310" s="4">
        <f t="shared" ref="B310" si="398">B301+Q303</f>
        <v>8.6310414268930824</v>
      </c>
      <c r="C310" s="2"/>
      <c r="E310" s="7" t="s">
        <v>205</v>
      </c>
      <c r="F310" s="6">
        <f>C308-F$3*B306-0.5*(F$4)*B306^2</f>
        <v>0</v>
      </c>
      <c r="H310" s="2">
        <f t="shared" ref="H310" si="399">-B$1*SIN(C308)</f>
        <v>-0.60335662153821901</v>
      </c>
      <c r="I310" s="2">
        <f t="shared" ref="I310" si="400">-B$2*SIN(C309)</f>
        <v>-1.8966433514453858</v>
      </c>
      <c r="J310" s="2">
        <f t="shared" ref="J310" si="401">-COS(B$6)</f>
        <v>-1</v>
      </c>
      <c r="L310" s="2" cm="1">
        <f t="array" ref="L310:N312">MINVERSE(H310:J312)</f>
        <v>0</v>
      </c>
      <c r="M310" s="2">
        <v>0</v>
      </c>
      <c r="N310" s="2">
        <v>1.0000000000000002</v>
      </c>
      <c r="O310" s="10">
        <f t="shared" ref="O310:O312" si="402">-F308</f>
        <v>8.1113965475431652E-8</v>
      </c>
      <c r="Q310" s="2" cm="1">
        <f t="array" ref="Q310:Q312">MMULT(L310:N312,O310:O312)</f>
        <v>0</v>
      </c>
    </row>
    <row r="311" spans="1:17" x14ac:dyDescent="0.35">
      <c r="H311" s="2">
        <f t="shared" ref="H311" si="403">B$1*COS(C308)</f>
        <v>2.938700526975484</v>
      </c>
      <c r="I311" s="2">
        <f t="shared" ref="I311" si="404">B$2*COS(C309)</f>
        <v>5.6923408188036326</v>
      </c>
      <c r="J311" s="2">
        <f t="shared" ref="J311" si="405">-SIN(B$6)</f>
        <v>0</v>
      </c>
      <c r="L311" s="2">
        <v>0</v>
      </c>
      <c r="M311" s="2">
        <v>0.17567465333359492</v>
      </c>
      <c r="N311" s="2">
        <v>-0.51625519632767092</v>
      </c>
      <c r="O311" s="10">
        <f t="shared" si="402"/>
        <v>2.7016395343082422E-8</v>
      </c>
      <c r="Q311" s="2">
        <v>4.7460958862193529E-9</v>
      </c>
    </row>
    <row r="312" spans="1:17" x14ac:dyDescent="0.35">
      <c r="H312" s="2">
        <v>1</v>
      </c>
      <c r="I312" s="2">
        <v>0</v>
      </c>
      <c r="J312" s="2">
        <v>0</v>
      </c>
      <c r="L312" s="2">
        <v>-1</v>
      </c>
      <c r="M312" s="2">
        <v>-0.33319216326263579</v>
      </c>
      <c r="N312" s="2">
        <v>0.3757953642257903</v>
      </c>
      <c r="O312" s="10">
        <f t="shared" si="402"/>
        <v>0</v>
      </c>
      <c r="Q312" s="2">
        <v>-9.0115616683351885E-8</v>
      </c>
    </row>
    <row r="315" spans="1:17" x14ac:dyDescent="0.35">
      <c r="A315" s="1" t="s">
        <v>9</v>
      </c>
      <c r="B315" s="2">
        <f t="shared" ref="B315" si="406">IF(AND((B306 = B297), ABS(B310-B301) &lt; 0.001),B306+0.1,B306)</f>
        <v>0.89999999999999991</v>
      </c>
    </row>
    <row r="316" spans="1:17" x14ac:dyDescent="0.35">
      <c r="C316" s="1" t="s">
        <v>3</v>
      </c>
    </row>
    <row r="317" spans="1:17" x14ac:dyDescent="0.35">
      <c r="A317" s="1" t="s">
        <v>206</v>
      </c>
      <c r="B317" s="4">
        <f t="shared" ref="B317:B318" si="407">C317*180/PI()</f>
        <v>11.602395351399169</v>
      </c>
      <c r="C317" s="2">
        <f t="shared" ref="C317:C318" si="408">C308+Q310</f>
        <v>0.20249999999999996</v>
      </c>
      <c r="E317" s="7" t="s">
        <v>207</v>
      </c>
      <c r="F317" s="6">
        <f t="shared" ref="F317" si="409">-B319*COS(B$6)+B$1*COS(C317)+B$2*COS(C318)-B$3*COS(C$4)</f>
        <v>-1.531435568635775E-16</v>
      </c>
      <c r="H317" s="11" t="s">
        <v>14</v>
      </c>
      <c r="I317" s="12"/>
      <c r="J317" s="13"/>
      <c r="L317" s="11" t="s">
        <v>208</v>
      </c>
      <c r="M317" s="12"/>
      <c r="N317" s="13"/>
      <c r="O317" s="14" t="s">
        <v>18</v>
      </c>
      <c r="Q317" s="16" t="s">
        <v>19</v>
      </c>
    </row>
    <row r="318" spans="1:17" x14ac:dyDescent="0.35">
      <c r="A318" s="1" t="s">
        <v>209</v>
      </c>
      <c r="B318" s="4">
        <f t="shared" si="407"/>
        <v>18.427669182260633</v>
      </c>
      <c r="C318" s="2">
        <f t="shared" si="408"/>
        <v>0.32162350069873913</v>
      </c>
      <c r="E318" s="7" t="s">
        <v>210</v>
      </c>
      <c r="F318" s="6">
        <f t="shared" ref="F318" si="410">-B319*SIN(B$6)+B$1*SIN(C317)+B$2*SIN(C318)-B$3*SIN(C$4)</f>
        <v>0</v>
      </c>
      <c r="H318" s="8" t="s">
        <v>16</v>
      </c>
      <c r="I318" s="8" t="s">
        <v>15</v>
      </c>
      <c r="J318" s="9" t="s">
        <v>8</v>
      </c>
      <c r="L318" s="8" t="s">
        <v>16</v>
      </c>
      <c r="M318" s="8" t="s">
        <v>15</v>
      </c>
      <c r="N318" s="9" t="s">
        <v>8</v>
      </c>
      <c r="O318" s="15"/>
      <c r="Q318" s="17"/>
    </row>
    <row r="319" spans="1:17" x14ac:dyDescent="0.35">
      <c r="A319" s="1" t="s">
        <v>8</v>
      </c>
      <c r="B319" s="4">
        <f t="shared" ref="B319" si="411">B310+Q312</f>
        <v>8.6310413367774661</v>
      </c>
      <c r="C319" s="2"/>
      <c r="E319" s="7" t="s">
        <v>211</v>
      </c>
      <c r="F319" s="6">
        <f>C317-F$3*B315-0.5*(F$4)*B315^2</f>
        <v>0</v>
      </c>
      <c r="H319" s="2">
        <f t="shared" ref="H319" si="412">-B$1*SIN(C317)</f>
        <v>-0.60335662153821901</v>
      </c>
      <c r="I319" s="2">
        <f t="shared" ref="I319" si="413">-B$2*SIN(C318)</f>
        <v>-1.8966433784617811</v>
      </c>
      <c r="J319" s="2">
        <f t="shared" ref="J319" si="414">-COS(B$6)</f>
        <v>-1</v>
      </c>
      <c r="L319" s="2" cm="1">
        <f t="array" ref="L319:N321">MINVERSE(H319:J321)</f>
        <v>0</v>
      </c>
      <c r="M319" s="2">
        <v>0</v>
      </c>
      <c r="N319" s="2">
        <v>1.0000000000000002</v>
      </c>
      <c r="O319" s="10">
        <f t="shared" ref="O319:O321" si="415">-F317</f>
        <v>1.531435568635775E-16</v>
      </c>
      <c r="Q319" s="2" cm="1">
        <f t="array" ref="Q319:Q321">MMULT(L319:N321,O319:O321)</f>
        <v>0</v>
      </c>
    </row>
    <row r="320" spans="1:17" x14ac:dyDescent="0.35">
      <c r="H320" s="2">
        <f t="shared" ref="H320" si="416">B$1*COS(C317)</f>
        <v>2.938700526975484</v>
      </c>
      <c r="I320" s="2">
        <f t="shared" ref="I320" si="417">B$2*COS(C318)</f>
        <v>5.6923408098019816</v>
      </c>
      <c r="J320" s="2">
        <f t="shared" ref="J320" si="418">-SIN(B$6)</f>
        <v>0</v>
      </c>
      <c r="L320" s="2">
        <v>0</v>
      </c>
      <c r="M320" s="2">
        <v>0.17567465361140014</v>
      </c>
      <c r="N320" s="2">
        <v>-0.51625519714405721</v>
      </c>
      <c r="O320" s="10">
        <f t="shared" si="415"/>
        <v>0</v>
      </c>
      <c r="Q320" s="2">
        <v>0</v>
      </c>
    </row>
    <row r="321" spans="1:17" x14ac:dyDescent="0.35">
      <c r="H321" s="2">
        <v>1</v>
      </c>
      <c r="I321" s="2">
        <v>0</v>
      </c>
      <c r="J321" s="2">
        <v>0</v>
      </c>
      <c r="L321" s="2">
        <v>-1</v>
      </c>
      <c r="M321" s="2">
        <v>-0.33319216853562905</v>
      </c>
      <c r="N321" s="2">
        <v>0.37579537972153837</v>
      </c>
      <c r="O321" s="10">
        <f t="shared" si="415"/>
        <v>0</v>
      </c>
      <c r="Q321" s="2">
        <v>-1.531435568635775E-16</v>
      </c>
    </row>
    <row r="324" spans="1:17" x14ac:dyDescent="0.35">
      <c r="A324" s="1" t="s">
        <v>9</v>
      </c>
      <c r="B324" s="2">
        <f t="shared" ref="B324" si="419">IF(AND((B315 = B306), ABS(B319-B310) &lt; 0.001),B315+0.1,B315)</f>
        <v>0.99999999999999989</v>
      </c>
    </row>
    <row r="325" spans="1:17" x14ac:dyDescent="0.35">
      <c r="C325" s="1" t="s">
        <v>3</v>
      </c>
    </row>
    <row r="326" spans="1:17" x14ac:dyDescent="0.35">
      <c r="A326" s="1" t="s">
        <v>212</v>
      </c>
      <c r="B326" s="4">
        <f t="shared" ref="B326:B327" si="420">C326*180/PI()</f>
        <v>11.602395351399169</v>
      </c>
      <c r="C326" s="2">
        <f t="shared" ref="C326:C327" si="421">C317+Q319</f>
        <v>0.20249999999999996</v>
      </c>
      <c r="E326" s="7" t="s">
        <v>213</v>
      </c>
      <c r="F326" s="6">
        <f t="shared" ref="F326" si="422">-B328*COS(B$6)+B$1*COS(C326)+B$2*COS(C327)-B$3*COS(C$4)</f>
        <v>-1.531435568635775E-16</v>
      </c>
      <c r="H326" s="11" t="s">
        <v>14</v>
      </c>
      <c r="I326" s="12"/>
      <c r="J326" s="13"/>
      <c r="L326" s="11" t="s">
        <v>214</v>
      </c>
      <c r="M326" s="12"/>
      <c r="N326" s="13"/>
      <c r="O326" s="14" t="s">
        <v>18</v>
      </c>
      <c r="Q326" s="16" t="s">
        <v>19</v>
      </c>
    </row>
    <row r="327" spans="1:17" x14ac:dyDescent="0.35">
      <c r="A327" s="1" t="s">
        <v>215</v>
      </c>
      <c r="B327" s="4">
        <f t="shared" si="420"/>
        <v>18.427669182260633</v>
      </c>
      <c r="C327" s="2">
        <f t="shared" si="421"/>
        <v>0.32162350069873913</v>
      </c>
      <c r="E327" s="7" t="s">
        <v>216</v>
      </c>
      <c r="F327" s="6">
        <f t="shared" ref="F327" si="423">-B328*SIN(B$6)+B$1*SIN(C326)+B$2*SIN(C327)-B$3*SIN(C$4)</f>
        <v>0</v>
      </c>
      <c r="H327" s="8" t="s">
        <v>16</v>
      </c>
      <c r="I327" s="8" t="s">
        <v>15</v>
      </c>
      <c r="J327" s="9" t="s">
        <v>8</v>
      </c>
      <c r="L327" s="8" t="s">
        <v>16</v>
      </c>
      <c r="M327" s="8" t="s">
        <v>15</v>
      </c>
      <c r="N327" s="9" t="s">
        <v>8</v>
      </c>
      <c r="O327" s="15"/>
      <c r="Q327" s="17"/>
    </row>
    <row r="328" spans="1:17" x14ac:dyDescent="0.35">
      <c r="A328" s="1" t="s">
        <v>8</v>
      </c>
      <c r="B328" s="4">
        <f t="shared" ref="B328" si="424">B319+Q321</f>
        <v>8.6310413367774661</v>
      </c>
      <c r="C328" s="2"/>
      <c r="E328" s="7" t="s">
        <v>217</v>
      </c>
      <c r="F328" s="6">
        <f>C326-F$3*B324-0.5*(F$4)*B324^2</f>
        <v>-4.7499999999999987E-2</v>
      </c>
      <c r="H328" s="2">
        <f t="shared" ref="H328" si="425">-B$1*SIN(C326)</f>
        <v>-0.60335662153821901</v>
      </c>
      <c r="I328" s="2">
        <f t="shared" ref="I328" si="426">-B$2*SIN(C327)</f>
        <v>-1.8966433784617811</v>
      </c>
      <c r="J328" s="2">
        <f t="shared" ref="J328" si="427">-COS(B$6)</f>
        <v>-1</v>
      </c>
      <c r="L328" s="2" cm="1">
        <f t="array" ref="L328:N330">MINVERSE(H328:J330)</f>
        <v>0</v>
      </c>
      <c r="M328" s="2">
        <v>0</v>
      </c>
      <c r="N328" s="2">
        <v>1.0000000000000002</v>
      </c>
      <c r="O328" s="10">
        <f t="shared" ref="O328:O330" si="428">-F326</f>
        <v>1.531435568635775E-16</v>
      </c>
      <c r="Q328" s="2" cm="1">
        <f t="array" ref="Q328:Q330">MMULT(L328:N330,O328:O330)</f>
        <v>4.7500000000000001E-2</v>
      </c>
    </row>
    <row r="329" spans="1:17" x14ac:dyDescent="0.35">
      <c r="H329" s="2">
        <f t="shared" ref="H329" si="429">B$1*COS(C326)</f>
        <v>2.938700526975484</v>
      </c>
      <c r="I329" s="2">
        <f t="shared" ref="I329" si="430">B$2*COS(C327)</f>
        <v>5.6923408098019816</v>
      </c>
      <c r="J329" s="2">
        <f t="shared" ref="J329" si="431">-SIN(B$6)</f>
        <v>0</v>
      </c>
      <c r="L329" s="2">
        <v>0</v>
      </c>
      <c r="M329" s="2">
        <v>0.17567465361140014</v>
      </c>
      <c r="N329" s="2">
        <v>-0.51625519714405721</v>
      </c>
      <c r="O329" s="10">
        <f t="shared" si="428"/>
        <v>0</v>
      </c>
      <c r="Q329" s="2">
        <v>-2.4522121864342709E-2</v>
      </c>
    </row>
    <row r="330" spans="1:17" x14ac:dyDescent="0.35">
      <c r="H330" s="2">
        <v>1</v>
      </c>
      <c r="I330" s="2">
        <v>0</v>
      </c>
      <c r="J330" s="2">
        <v>0</v>
      </c>
      <c r="L330" s="2">
        <v>-1</v>
      </c>
      <c r="M330" s="2">
        <v>-0.33319216853562905</v>
      </c>
      <c r="N330" s="2">
        <v>0.37579537972153837</v>
      </c>
      <c r="O330" s="10">
        <f t="shared" si="428"/>
        <v>4.7499999999999987E-2</v>
      </c>
      <c r="Q330" s="2">
        <v>1.7850280536772914E-2</v>
      </c>
    </row>
    <row r="333" spans="1:17" x14ac:dyDescent="0.35">
      <c r="A333" s="1" t="s">
        <v>9</v>
      </c>
      <c r="B333" s="2">
        <f t="shared" ref="B333" si="432">IF(AND((B324 = B315), ABS(B328-B319) &lt; 0.001),B324+0.1,B324)</f>
        <v>0.99999999999999989</v>
      </c>
    </row>
    <row r="334" spans="1:17" x14ac:dyDescent="0.35">
      <c r="C334" s="1" t="s">
        <v>3</v>
      </c>
    </row>
    <row r="335" spans="1:17" x14ac:dyDescent="0.35">
      <c r="A335" s="1" t="s">
        <v>218</v>
      </c>
      <c r="B335" s="4">
        <f t="shared" ref="B335:B336" si="433">C335*180/PI()</f>
        <v>14.323944878270579</v>
      </c>
      <c r="C335" s="2">
        <f t="shared" ref="C335:C336" si="434">C326+Q328</f>
        <v>0.24999999999999994</v>
      </c>
      <c r="E335" s="7" t="s">
        <v>219</v>
      </c>
      <c r="F335" s="6">
        <f t="shared" ref="F335" si="435">-B337*COS(B$6)+B$1*COS(C335)+B$2*COS(C336)-B$3*COS(C$4)</f>
        <v>-5.0198980785253625E-3</v>
      </c>
      <c r="H335" s="11" t="s">
        <v>14</v>
      </c>
      <c r="I335" s="12"/>
      <c r="J335" s="13"/>
      <c r="L335" s="11" t="s">
        <v>220</v>
      </c>
      <c r="M335" s="12"/>
      <c r="N335" s="13"/>
      <c r="O335" s="14" t="s">
        <v>18</v>
      </c>
      <c r="Q335" s="16" t="s">
        <v>19</v>
      </c>
    </row>
    <row r="336" spans="1:17" x14ac:dyDescent="0.35">
      <c r="A336" s="1" t="s">
        <v>221</v>
      </c>
      <c r="B336" s="4">
        <f t="shared" si="433"/>
        <v>17.022655094728318</v>
      </c>
      <c r="C336" s="2">
        <f t="shared" si="434"/>
        <v>0.29710137883439641</v>
      </c>
      <c r="E336" s="7" t="s">
        <v>222</v>
      </c>
      <c r="F336" s="6">
        <f t="shared" ref="F336" si="436">-B337*SIN(B$6)+B$1*SIN(C335)+B$2*SIN(C336)-B$3*SIN(C$4)</f>
        <v>-1.2892592890842991E-3</v>
      </c>
      <c r="H336" s="8" t="s">
        <v>16</v>
      </c>
      <c r="I336" s="8" t="s">
        <v>15</v>
      </c>
      <c r="J336" s="9" t="s">
        <v>8</v>
      </c>
      <c r="L336" s="8" t="s">
        <v>16</v>
      </c>
      <c r="M336" s="8" t="s">
        <v>15</v>
      </c>
      <c r="N336" s="9" t="s">
        <v>8</v>
      </c>
      <c r="O336" s="15"/>
      <c r="Q336" s="17"/>
    </row>
    <row r="337" spans="1:17" x14ac:dyDescent="0.35">
      <c r="A337" s="1" t="s">
        <v>8</v>
      </c>
      <c r="B337" s="4">
        <f t="shared" ref="B337" si="437">B328+Q330</f>
        <v>8.6488916173142396</v>
      </c>
      <c r="C337" s="2"/>
      <c r="E337" s="7" t="s">
        <v>223</v>
      </c>
      <c r="F337" s="6">
        <f>C335-F$3*B333-0.5*(F$4)*B333^2</f>
        <v>0</v>
      </c>
      <c r="H337" s="2">
        <f t="shared" ref="H337" si="438">-B$1*SIN(C335)</f>
        <v>-0.74221187776356867</v>
      </c>
      <c r="I337" s="2">
        <f t="shared" ref="I337" si="439">-B$2*SIN(C336)</f>
        <v>-1.756498862947347</v>
      </c>
      <c r="J337" s="2">
        <f t="shared" ref="J337" si="440">-COS(B$6)</f>
        <v>-1</v>
      </c>
      <c r="L337" s="2" cm="1">
        <f t="array" ref="L337:N339">MINVERSE(H337:J339)</f>
        <v>0</v>
      </c>
      <c r="M337" s="2">
        <v>0</v>
      </c>
      <c r="N337" s="2">
        <v>1</v>
      </c>
      <c r="O337" s="10">
        <f t="shared" ref="O337:O339" si="441">-F335</f>
        <v>5.0198980785253625E-3</v>
      </c>
      <c r="Q337" s="2" cm="1">
        <f t="array" ref="Q337:Q339">MMULT(L337:N339,O337:O339)</f>
        <v>0</v>
      </c>
    </row>
    <row r="338" spans="1:17" x14ac:dyDescent="0.35">
      <c r="H338" s="2">
        <f t="shared" ref="H338" si="442">B$1*COS(C335)</f>
        <v>2.9067372651319348</v>
      </c>
      <c r="I338" s="2">
        <f t="shared" ref="I338" si="443">B$2*COS(C336)</f>
        <v>5.7371344541037796</v>
      </c>
      <c r="J338" s="2">
        <f t="shared" ref="J338" si="444">-SIN(B$6)</f>
        <v>0</v>
      </c>
      <c r="L338" s="2">
        <v>0</v>
      </c>
      <c r="M338" s="2">
        <v>0.17430304414160955</v>
      </c>
      <c r="N338" s="2">
        <v>-0.50665315383235299</v>
      </c>
      <c r="O338" s="10">
        <f t="shared" si="441"/>
        <v>1.2892592890842991E-3</v>
      </c>
      <c r="Q338" s="2">
        <v>2.2472181877524074E-4</v>
      </c>
    </row>
    <row r="339" spans="1:17" x14ac:dyDescent="0.35">
      <c r="H339" s="2">
        <v>1</v>
      </c>
      <c r="I339" s="2">
        <v>0</v>
      </c>
      <c r="J339" s="2">
        <v>0</v>
      </c>
      <c r="L339" s="2">
        <v>-1</v>
      </c>
      <c r="M339" s="2">
        <v>-0.30616309884299836</v>
      </c>
      <c r="N339" s="2">
        <v>0.14772381085164654</v>
      </c>
      <c r="O339" s="10">
        <f t="shared" si="441"/>
        <v>0</v>
      </c>
      <c r="Q339" s="2">
        <v>-5.4146216976835321E-3</v>
      </c>
    </row>
    <row r="342" spans="1:17" x14ac:dyDescent="0.35">
      <c r="A342" s="1" t="s">
        <v>9</v>
      </c>
      <c r="B342" s="2">
        <f t="shared" ref="B342" si="445">IF(AND((B333 = B324), ABS(B337-B328) &lt; 0.001),B333+0.1,B333)</f>
        <v>0.99999999999999989</v>
      </c>
    </row>
    <row r="343" spans="1:17" x14ac:dyDescent="0.35">
      <c r="C343" s="1" t="s">
        <v>3</v>
      </c>
    </row>
    <row r="344" spans="1:17" x14ac:dyDescent="0.35">
      <c r="A344" s="1" t="s">
        <v>224</v>
      </c>
      <c r="B344" s="4">
        <f t="shared" ref="B344:B345" si="446">C344*180/PI()</f>
        <v>14.323944878270579</v>
      </c>
      <c r="C344" s="2">
        <f t="shared" ref="C344:C345" si="447">C335+Q337</f>
        <v>0.24999999999999994</v>
      </c>
      <c r="E344" s="7" t="s">
        <v>225</v>
      </c>
      <c r="F344" s="6">
        <f t="shared" ref="F344" si="448">-B346*COS(B$6)+B$1*COS(C344)+B$2*COS(C345)-B$3*COS(C$4)</f>
        <v>-1.4485902270815415E-7</v>
      </c>
      <c r="H344" s="11" t="s">
        <v>14</v>
      </c>
      <c r="I344" s="12"/>
      <c r="J344" s="13"/>
      <c r="L344" s="11" t="s">
        <v>226</v>
      </c>
      <c r="M344" s="12"/>
      <c r="N344" s="13"/>
      <c r="O344" s="14" t="s">
        <v>18</v>
      </c>
      <c r="Q344" s="16" t="s">
        <v>19</v>
      </c>
    </row>
    <row r="345" spans="1:17" x14ac:dyDescent="0.35">
      <c r="A345" s="1" t="s">
        <v>227</v>
      </c>
      <c r="B345" s="4">
        <f t="shared" si="446"/>
        <v>17.035530706508645</v>
      </c>
      <c r="C345" s="2">
        <f t="shared" si="447"/>
        <v>0.29732610065317167</v>
      </c>
      <c r="E345" s="7" t="s">
        <v>228</v>
      </c>
      <c r="F345" s="6">
        <f t="shared" ref="F345" si="449">-B346*SIN(B$6)+B$1*SIN(C344)+B$2*SIN(C345)-B$3*SIN(C$4)</f>
        <v>-4.4362356010907433E-8</v>
      </c>
      <c r="H345" s="8" t="s">
        <v>16</v>
      </c>
      <c r="I345" s="8" t="s">
        <v>15</v>
      </c>
      <c r="J345" s="9" t="s">
        <v>8</v>
      </c>
      <c r="L345" s="8" t="s">
        <v>16</v>
      </c>
      <c r="M345" s="8" t="s">
        <v>15</v>
      </c>
      <c r="N345" s="9" t="s">
        <v>8</v>
      </c>
      <c r="O345" s="15"/>
      <c r="Q345" s="17"/>
    </row>
    <row r="346" spans="1:17" x14ac:dyDescent="0.35">
      <c r="A346" s="1" t="s">
        <v>8</v>
      </c>
      <c r="B346" s="4">
        <f t="shared" ref="B346" si="450">B337+Q339</f>
        <v>8.643476995616556</v>
      </c>
      <c r="C346" s="2"/>
      <c r="E346" s="7" t="s">
        <v>229</v>
      </c>
      <c r="F346" s="6">
        <f>C344-F$3*B342-0.5*(F$4)*B342^2</f>
        <v>0</v>
      </c>
      <c r="H346" s="2">
        <f t="shared" ref="H346" si="451">-B$1*SIN(C344)</f>
        <v>-0.74221187776356867</v>
      </c>
      <c r="I346" s="2">
        <f t="shared" ref="I346" si="452">-B$2*SIN(C345)</f>
        <v>-1.7577880778740753</v>
      </c>
      <c r="J346" s="2">
        <f t="shared" ref="J346" si="453">-COS(B$6)</f>
        <v>-1</v>
      </c>
      <c r="L346" s="2" cm="1">
        <f t="array" ref="L346:N348">MINVERSE(H346:J348)</f>
        <v>0</v>
      </c>
      <c r="M346" s="2">
        <v>0</v>
      </c>
      <c r="N346" s="2">
        <v>1</v>
      </c>
      <c r="O346" s="10">
        <f t="shared" ref="O346:O348" si="454">-F344</f>
        <v>1.4485902270815415E-7</v>
      </c>
      <c r="Q346" s="2" cm="1">
        <f t="array" ref="Q346:Q348">MMULT(L346:N348,O346:O348)</f>
        <v>0</v>
      </c>
    </row>
    <row r="347" spans="1:17" x14ac:dyDescent="0.35">
      <c r="H347" s="2">
        <f t="shared" ref="H347" si="455">B$1*COS(C344)</f>
        <v>2.9067372651319348</v>
      </c>
      <c r="I347" s="2">
        <f t="shared" ref="I347" si="456">B$2*COS(C345)</f>
        <v>5.7367395856255987</v>
      </c>
      <c r="J347" s="2">
        <f t="shared" ref="J347" si="457">-SIN(B$6)</f>
        <v>0</v>
      </c>
      <c r="L347" s="2">
        <v>0</v>
      </c>
      <c r="M347" s="2">
        <v>0.17431504168424769</v>
      </c>
      <c r="N347" s="2">
        <v>-0.50668802753662934</v>
      </c>
      <c r="O347" s="10">
        <f t="shared" si="454"/>
        <v>4.4362356010907433E-8</v>
      </c>
      <c r="Q347" s="2">
        <v>7.7330259372527659E-9</v>
      </c>
    </row>
    <row r="348" spans="1:17" x14ac:dyDescent="0.35">
      <c r="H348" s="2">
        <v>1</v>
      </c>
      <c r="I348" s="2">
        <v>0</v>
      </c>
      <c r="J348" s="2">
        <v>0</v>
      </c>
      <c r="L348" s="2">
        <v>-1</v>
      </c>
      <c r="M348" s="2">
        <v>-0.30640890206669302</v>
      </c>
      <c r="N348" s="2">
        <v>0.14843829624184943</v>
      </c>
      <c r="O348" s="10">
        <f t="shared" si="454"/>
        <v>0</v>
      </c>
      <c r="Q348" s="2">
        <v>-1.5845204350654806E-7</v>
      </c>
    </row>
    <row r="351" spans="1:17" x14ac:dyDescent="0.35">
      <c r="A351" s="1" t="s">
        <v>9</v>
      </c>
      <c r="B351" s="2">
        <f t="shared" ref="B351" si="458">IF(AND((B342 = B333), ABS(B346-B337) &lt; 0.001),B342+0.1,B342)</f>
        <v>0.99999999999999989</v>
      </c>
    </row>
    <row r="352" spans="1:17" x14ac:dyDescent="0.35">
      <c r="C352" s="1" t="s">
        <v>3</v>
      </c>
    </row>
    <row r="353" spans="1:17" x14ac:dyDescent="0.35">
      <c r="A353" s="1" t="s">
        <v>230</v>
      </c>
      <c r="B353" s="4">
        <f t="shared" ref="B353:B354" si="459">C353*180/PI()</f>
        <v>14.323944878270579</v>
      </c>
      <c r="C353" s="2">
        <f t="shared" ref="C353:C354" si="460">C344+Q346</f>
        <v>0.24999999999999994</v>
      </c>
      <c r="E353" s="7" t="s">
        <v>231</v>
      </c>
      <c r="F353" s="6">
        <f t="shared" ref="F353" si="461">-B355*COS(B$6)+B$1*COS(C353)+B$2*COS(C354)-B$3*COS(C$4)</f>
        <v>7.3503486283654773E-16</v>
      </c>
      <c r="H353" s="11" t="s">
        <v>14</v>
      </c>
      <c r="I353" s="12"/>
      <c r="J353" s="13"/>
      <c r="L353" s="11" t="s">
        <v>232</v>
      </c>
      <c r="M353" s="12"/>
      <c r="N353" s="13"/>
      <c r="O353" s="14" t="s">
        <v>18</v>
      </c>
      <c r="Q353" s="16" t="s">
        <v>19</v>
      </c>
    </row>
    <row r="354" spans="1:17" x14ac:dyDescent="0.35">
      <c r="A354" s="1" t="s">
        <v>233</v>
      </c>
      <c r="B354" s="4">
        <f t="shared" si="459"/>
        <v>17.035531149578397</v>
      </c>
      <c r="C354" s="2">
        <f t="shared" si="460"/>
        <v>0.29732610838619761</v>
      </c>
      <c r="E354" s="7" t="s">
        <v>234</v>
      </c>
      <c r="F354" s="6">
        <f t="shared" ref="F354" si="462">-B355*SIN(B$6)+B$1*SIN(C353)+B$2*SIN(C354)-B$3*SIN(C$4)</f>
        <v>0</v>
      </c>
      <c r="H354" s="8" t="s">
        <v>16</v>
      </c>
      <c r="I354" s="8" t="s">
        <v>15</v>
      </c>
      <c r="J354" s="9" t="s">
        <v>8</v>
      </c>
      <c r="L354" s="8" t="s">
        <v>16</v>
      </c>
      <c r="M354" s="8" t="s">
        <v>15</v>
      </c>
      <c r="N354" s="9" t="s">
        <v>8</v>
      </c>
      <c r="O354" s="15"/>
      <c r="Q354" s="17"/>
    </row>
    <row r="355" spans="1:17" x14ac:dyDescent="0.35">
      <c r="A355" s="1" t="s">
        <v>8</v>
      </c>
      <c r="B355" s="4">
        <f t="shared" ref="B355" si="463">B346+Q348</f>
        <v>8.6434768371645117</v>
      </c>
      <c r="C355" s="2"/>
      <c r="E355" s="7" t="s">
        <v>235</v>
      </c>
      <c r="F355" s="6">
        <f>C353-F$3*B351-0.5*(F$4)*B351^2</f>
        <v>0</v>
      </c>
      <c r="H355" s="2">
        <f t="shared" ref="H355" si="464">-B$1*SIN(C353)</f>
        <v>-0.74221187776356867</v>
      </c>
      <c r="I355" s="2">
        <f t="shared" ref="I355" si="465">-B$2*SIN(C354)</f>
        <v>-1.7577881222364315</v>
      </c>
      <c r="J355" s="2">
        <f t="shared" ref="J355" si="466">-COS(B$6)</f>
        <v>-1</v>
      </c>
      <c r="L355" s="2" cm="1">
        <f t="array" ref="L355:N357">MINVERSE(H355:J357)</f>
        <v>0</v>
      </c>
      <c r="M355" s="2">
        <v>0</v>
      </c>
      <c r="N355" s="2">
        <v>1</v>
      </c>
      <c r="O355" s="10">
        <f t="shared" ref="O355:O357" si="467">-F353</f>
        <v>-7.3503486283654773E-16</v>
      </c>
      <c r="Q355" s="2" cm="1">
        <f t="array" ref="Q355:Q357">MMULT(L355:N357,O355:O357)</f>
        <v>0</v>
      </c>
    </row>
    <row r="356" spans="1:17" x14ac:dyDescent="0.35">
      <c r="H356" s="2">
        <f t="shared" ref="H356" si="468">B$1*COS(C353)</f>
        <v>2.9067372651319348</v>
      </c>
      <c r="I356" s="2">
        <f t="shared" ref="I356" si="469">B$2*COS(C354)</f>
        <v>5.7367395720325778</v>
      </c>
      <c r="J356" s="2">
        <f t="shared" ref="J356" si="470">-SIN(B$6)</f>
        <v>0</v>
      </c>
      <c r="L356" s="2">
        <v>0</v>
      </c>
      <c r="M356" s="2">
        <v>0.1743150420972816</v>
      </c>
      <c r="N356" s="2">
        <v>-0.50668802873721042</v>
      </c>
      <c r="O356" s="10">
        <f t="shared" si="467"/>
        <v>0</v>
      </c>
      <c r="Q356" s="2">
        <v>0</v>
      </c>
    </row>
    <row r="357" spans="1:17" x14ac:dyDescent="0.35">
      <c r="H357" s="2">
        <v>1</v>
      </c>
      <c r="I357" s="2">
        <v>0</v>
      </c>
      <c r="J357" s="2">
        <v>0</v>
      </c>
      <c r="L357" s="2">
        <v>-1</v>
      </c>
      <c r="M357" s="2">
        <v>-0.30640891052574515</v>
      </c>
      <c r="N357" s="2">
        <v>0.14843832083009134</v>
      </c>
      <c r="O357" s="10">
        <f t="shared" si="467"/>
        <v>0</v>
      </c>
      <c r="Q357" s="2">
        <v>7.3503486283654773E-16</v>
      </c>
    </row>
    <row r="360" spans="1:17" x14ac:dyDescent="0.35">
      <c r="A360" s="1" t="s">
        <v>9</v>
      </c>
      <c r="B360" s="2">
        <f t="shared" ref="B360" si="471">IF(AND((B351 = B342), ABS(B355-B346) &lt; 0.001),B351+0.1,B351)</f>
        <v>1.0999999999999999</v>
      </c>
    </row>
    <row r="361" spans="1:17" x14ac:dyDescent="0.35">
      <c r="C361" s="1" t="s">
        <v>3</v>
      </c>
    </row>
    <row r="362" spans="1:17" x14ac:dyDescent="0.35">
      <c r="A362" s="1" t="s">
        <v>236</v>
      </c>
      <c r="B362" s="4">
        <f t="shared" ref="B362:B363" si="472">C362*180/PI()</f>
        <v>14.323944878270579</v>
      </c>
      <c r="C362" s="2">
        <f t="shared" ref="C362:C363" si="473">C353+Q355</f>
        <v>0.24999999999999994</v>
      </c>
      <c r="E362" s="7" t="s">
        <v>237</v>
      </c>
      <c r="F362" s="6">
        <f t="shared" ref="F362" si="474">-B364*COS(B$6)+B$1*COS(C362)+B$2*COS(C363)-B$3*COS(C$4)</f>
        <v>7.3503486283654773E-16</v>
      </c>
      <c r="H362" s="11" t="s">
        <v>14</v>
      </c>
      <c r="I362" s="12"/>
      <c r="J362" s="13"/>
      <c r="L362" s="11" t="s">
        <v>238</v>
      </c>
      <c r="M362" s="12"/>
      <c r="N362" s="13"/>
      <c r="O362" s="14" t="s">
        <v>18</v>
      </c>
      <c r="Q362" s="16" t="s">
        <v>19</v>
      </c>
    </row>
    <row r="363" spans="1:17" x14ac:dyDescent="0.35">
      <c r="A363" s="1" t="s">
        <v>239</v>
      </c>
      <c r="B363" s="4">
        <f t="shared" si="472"/>
        <v>17.035531149578397</v>
      </c>
      <c r="C363" s="2">
        <f t="shared" si="473"/>
        <v>0.29732610838619761</v>
      </c>
      <c r="E363" s="7" t="s">
        <v>240</v>
      </c>
      <c r="F363" s="6">
        <f t="shared" ref="F363" si="475">-B364*SIN(B$6)+B$1*SIN(C362)+B$2*SIN(C363)-B$3*SIN(C$4)</f>
        <v>0</v>
      </c>
      <c r="H363" s="8" t="s">
        <v>16</v>
      </c>
      <c r="I363" s="8" t="s">
        <v>15</v>
      </c>
      <c r="J363" s="9" t="s">
        <v>8</v>
      </c>
      <c r="L363" s="8" t="s">
        <v>16</v>
      </c>
      <c r="M363" s="8" t="s">
        <v>15</v>
      </c>
      <c r="N363" s="9" t="s">
        <v>8</v>
      </c>
      <c r="O363" s="15"/>
      <c r="Q363" s="17"/>
    </row>
    <row r="364" spans="1:17" x14ac:dyDescent="0.35">
      <c r="A364" s="1" t="s">
        <v>8</v>
      </c>
      <c r="B364" s="4">
        <f t="shared" ref="B364" si="476">B355+Q357</f>
        <v>8.6434768371645117</v>
      </c>
      <c r="C364" s="2"/>
      <c r="E364" s="7" t="s">
        <v>241</v>
      </c>
      <c r="F364" s="6">
        <f>C362-F$3*B360-0.5*(F$4)*B360^2</f>
        <v>-5.2499999999999991E-2</v>
      </c>
      <c r="H364" s="2">
        <f t="shared" ref="H364" si="477">-B$1*SIN(C362)</f>
        <v>-0.74221187776356867</v>
      </c>
      <c r="I364" s="2">
        <f t="shared" ref="I364" si="478">-B$2*SIN(C363)</f>
        <v>-1.7577881222364315</v>
      </c>
      <c r="J364" s="2">
        <f t="shared" ref="J364" si="479">-COS(B$6)</f>
        <v>-1</v>
      </c>
      <c r="L364" s="2" cm="1">
        <f t="array" ref="L364:N366">MINVERSE(H364:J366)</f>
        <v>0</v>
      </c>
      <c r="M364" s="2">
        <v>0</v>
      </c>
      <c r="N364" s="2">
        <v>1</v>
      </c>
      <c r="O364" s="10">
        <f t="shared" ref="O364:O366" si="480">-F362</f>
        <v>-7.3503486283654773E-16</v>
      </c>
      <c r="Q364" s="2" cm="1">
        <f t="array" ref="Q364:Q366">MMULT(L364:N366,O364:O366)</f>
        <v>5.2499999999999991E-2</v>
      </c>
    </row>
    <row r="365" spans="1:17" x14ac:dyDescent="0.35">
      <c r="H365" s="2">
        <f t="shared" ref="H365" si="481">B$1*COS(C362)</f>
        <v>2.9067372651319348</v>
      </c>
      <c r="I365" s="2">
        <f t="shared" ref="I365" si="482">B$2*COS(C363)</f>
        <v>5.7367395720325778</v>
      </c>
      <c r="J365" s="2">
        <f t="shared" ref="J365" si="483">-SIN(B$6)</f>
        <v>0</v>
      </c>
      <c r="L365" s="2">
        <v>0</v>
      </c>
      <c r="M365" s="2">
        <v>0.1743150420972816</v>
      </c>
      <c r="N365" s="2">
        <v>-0.50668802873721042</v>
      </c>
      <c r="O365" s="10">
        <f t="shared" si="480"/>
        <v>0</v>
      </c>
      <c r="Q365" s="2">
        <v>-2.6601121508703543E-2</v>
      </c>
    </row>
    <row r="366" spans="1:17" x14ac:dyDescent="0.35">
      <c r="H366" s="2">
        <v>1</v>
      </c>
      <c r="I366" s="2">
        <v>0</v>
      </c>
      <c r="J366" s="2">
        <v>0</v>
      </c>
      <c r="L366" s="2">
        <v>-1</v>
      </c>
      <c r="M366" s="2">
        <v>-0.30640891052574515</v>
      </c>
      <c r="N366" s="2">
        <v>0.14843832083009134</v>
      </c>
      <c r="O366" s="10">
        <f t="shared" si="480"/>
        <v>5.2499999999999991E-2</v>
      </c>
      <c r="Q366" s="2">
        <v>7.7930118435805291E-3</v>
      </c>
    </row>
    <row r="369" spans="1:17" x14ac:dyDescent="0.35">
      <c r="A369" s="1" t="s">
        <v>9</v>
      </c>
      <c r="B369" s="2">
        <f t="shared" ref="B369" si="484">IF(AND((B360 = B351), ABS(B364-B355) &lt; 0.001),B360+0.1,B360)</f>
        <v>1.0999999999999999</v>
      </c>
    </row>
    <row r="370" spans="1:17" x14ac:dyDescent="0.35">
      <c r="C370" s="1" t="s">
        <v>3</v>
      </c>
    </row>
    <row r="371" spans="1:17" x14ac:dyDescent="0.35">
      <c r="A371" s="1" t="s">
        <v>242</v>
      </c>
      <c r="B371" s="4">
        <f t="shared" ref="B371:B372" si="485">C371*180/PI()</f>
        <v>17.3319733027074</v>
      </c>
      <c r="C371" s="2">
        <f t="shared" ref="C371:C372" si="486">C362+Q364</f>
        <v>0.30249999999999994</v>
      </c>
      <c r="E371" s="7" t="s">
        <v>243</v>
      </c>
      <c r="F371" s="6">
        <f t="shared" ref="F371" si="487">-B373*COS(B$6)+B$1*COS(C371)+B$2*COS(C372)-B$3*COS(C$4)</f>
        <v>-6.0221392900585017E-3</v>
      </c>
      <c r="H371" s="11" t="s">
        <v>14</v>
      </c>
      <c r="I371" s="12"/>
      <c r="J371" s="13"/>
      <c r="L371" s="11" t="s">
        <v>244</v>
      </c>
      <c r="M371" s="12"/>
      <c r="N371" s="13"/>
      <c r="O371" s="14" t="s">
        <v>18</v>
      </c>
      <c r="Q371" s="16" t="s">
        <v>19</v>
      </c>
    </row>
    <row r="372" spans="1:17" x14ac:dyDescent="0.35">
      <c r="A372" s="1" t="s">
        <v>245</v>
      </c>
      <c r="B372" s="4">
        <f t="shared" si="485"/>
        <v>15.511399156815006</v>
      </c>
      <c r="C372" s="2">
        <f t="shared" si="486"/>
        <v>0.27072498687749408</v>
      </c>
      <c r="E372" s="7" t="s">
        <v>246</v>
      </c>
      <c r="F372" s="6">
        <f t="shared" ref="F372" si="488">-B373*SIN(B$6)+B$1*SIN(C371)+B$2*SIN(C372)-B$3*SIN(C$4)</f>
        <v>-1.6966076160978005E-3</v>
      </c>
      <c r="H372" s="8" t="s">
        <v>16</v>
      </c>
      <c r="I372" s="8" t="s">
        <v>15</v>
      </c>
      <c r="J372" s="9" t="s">
        <v>8</v>
      </c>
      <c r="L372" s="8" t="s">
        <v>16</v>
      </c>
      <c r="M372" s="8" t="s">
        <v>15</v>
      </c>
      <c r="N372" s="9" t="s">
        <v>8</v>
      </c>
      <c r="O372" s="15"/>
      <c r="Q372" s="17"/>
    </row>
    <row r="373" spans="1:17" x14ac:dyDescent="0.35">
      <c r="A373" s="1" t="s">
        <v>8</v>
      </c>
      <c r="B373" s="4">
        <f t="shared" ref="B373" si="489">B364+Q366</f>
        <v>8.6512698490080915</v>
      </c>
      <c r="C373" s="2"/>
      <c r="E373" s="7" t="s">
        <v>247</v>
      </c>
      <c r="F373" s="6">
        <f>C371-F$3*B369-0.5*(F$4)*B369^2</f>
        <v>0</v>
      </c>
      <c r="H373" s="2">
        <f t="shared" ref="H373" si="490">-B$1*SIN(C371)</f>
        <v>-0.89372286568840198</v>
      </c>
      <c r="I373" s="2">
        <f t="shared" ref="I373" si="491">-B$2*SIN(C372)</f>
        <v>-1.6045805266955004</v>
      </c>
      <c r="J373" s="2">
        <f t="shared" ref="J373" si="492">-COS(B$6)</f>
        <v>-1</v>
      </c>
      <c r="L373" s="2" cm="1">
        <f t="array" ref="L373:N375">MINVERSE(H373:J375)</f>
        <v>0</v>
      </c>
      <c r="M373" s="2">
        <v>0</v>
      </c>
      <c r="N373" s="2">
        <v>1</v>
      </c>
      <c r="O373" s="10">
        <f t="shared" ref="O373:O375" si="493">-F371</f>
        <v>6.0221392900585017E-3</v>
      </c>
      <c r="Q373" s="2" cm="1">
        <f t="array" ref="Q373:Q375">MMULT(L373:N375,O373:O375)</f>
        <v>0</v>
      </c>
    </row>
    <row r="374" spans="1:17" x14ac:dyDescent="0.35">
      <c r="H374" s="2">
        <f t="shared" ref="H374" si="494">B$1*COS(C371)</f>
        <v>2.8637841118606882</v>
      </c>
      <c r="I374" s="2">
        <f t="shared" ref="I374" si="495">B$2*COS(C372)</f>
        <v>5.7814635978573445</v>
      </c>
      <c r="J374" s="2">
        <f t="shared" ref="J374" si="496">-SIN(B$6)</f>
        <v>0</v>
      </c>
      <c r="L374" s="2">
        <v>0</v>
      </c>
      <c r="M374" s="2">
        <v>0.17296658243608207</v>
      </c>
      <c r="N374" s="2">
        <v>-0.49533895066329375</v>
      </c>
      <c r="O374" s="10">
        <f t="shared" si="493"/>
        <v>1.6966076160978005E-3</v>
      </c>
      <c r="Q374" s="2">
        <v>2.9345642109146491E-4</v>
      </c>
    </row>
    <row r="375" spans="1:17" x14ac:dyDescent="0.35">
      <c r="H375" s="2">
        <v>1</v>
      </c>
      <c r="I375" s="2">
        <v>0</v>
      </c>
      <c r="J375" s="2">
        <v>0</v>
      </c>
      <c r="L375" s="2">
        <v>-1</v>
      </c>
      <c r="M375" s="2">
        <v>-0.27753880994600927</v>
      </c>
      <c r="N375" s="2">
        <v>-9.8911631340297609E-2</v>
      </c>
      <c r="O375" s="10">
        <f t="shared" si="493"/>
        <v>0</v>
      </c>
      <c r="Q375" s="2">
        <v>-6.4930137487756211E-3</v>
      </c>
    </row>
    <row r="378" spans="1:17" x14ac:dyDescent="0.35">
      <c r="A378" s="1" t="s">
        <v>9</v>
      </c>
      <c r="B378" s="2">
        <f t="shared" ref="B378" si="497">IF(AND((B369 = B360), ABS(B373-B364) &lt; 0.001),B369+0.1,B369)</f>
        <v>1.0999999999999999</v>
      </c>
    </row>
    <row r="379" spans="1:17" x14ac:dyDescent="0.35">
      <c r="C379" s="1" t="s">
        <v>3</v>
      </c>
    </row>
    <row r="380" spans="1:17" x14ac:dyDescent="0.35">
      <c r="A380" s="1" t="s">
        <v>248</v>
      </c>
      <c r="B380" s="4">
        <f t="shared" ref="B380:B381" si="498">C380*180/PI()</f>
        <v>17.3319733027074</v>
      </c>
      <c r="C380" s="2">
        <f t="shared" ref="C380:C381" si="499">C371+Q373</f>
        <v>0.30249999999999994</v>
      </c>
      <c r="E380" s="7" t="s">
        <v>249</v>
      </c>
      <c r="F380" s="6">
        <f t="shared" ref="F380" si="500">-B382*COS(B$6)+B$1*COS(C380)+B$2*COS(C381)-B$3*COS(C$4)</f>
        <v>-2.4893343934844154E-7</v>
      </c>
      <c r="H380" s="11" t="s">
        <v>14</v>
      </c>
      <c r="I380" s="12"/>
      <c r="J380" s="13"/>
      <c r="L380" s="11" t="s">
        <v>250</v>
      </c>
      <c r="M380" s="12"/>
      <c r="N380" s="13"/>
      <c r="O380" s="14" t="s">
        <v>18</v>
      </c>
      <c r="Q380" s="16" t="s">
        <v>19</v>
      </c>
    </row>
    <row r="381" spans="1:17" x14ac:dyDescent="0.35">
      <c r="A381" s="1" t="s">
        <v>251</v>
      </c>
      <c r="B381" s="4">
        <f t="shared" si="498"/>
        <v>15.528212971214561</v>
      </c>
      <c r="C381" s="2">
        <f t="shared" si="499"/>
        <v>0.27101844329858554</v>
      </c>
      <c r="E381" s="7" t="s">
        <v>252</v>
      </c>
      <c r="F381" s="6">
        <f t="shared" ref="F381" si="501">-B382*SIN(B$6)+B$1*SIN(C380)+B$2*SIN(C381)-B$3*SIN(C$4)</f>
        <v>-6.9114916900758772E-8</v>
      </c>
      <c r="H381" s="8" t="s">
        <v>16</v>
      </c>
      <c r="I381" s="8" t="s">
        <v>15</v>
      </c>
      <c r="J381" s="9" t="s">
        <v>8</v>
      </c>
      <c r="L381" s="8" t="s">
        <v>16</v>
      </c>
      <c r="M381" s="8" t="s">
        <v>15</v>
      </c>
      <c r="N381" s="9" t="s">
        <v>8</v>
      </c>
      <c r="O381" s="15"/>
      <c r="Q381" s="17"/>
    </row>
    <row r="382" spans="1:17" x14ac:dyDescent="0.35">
      <c r="A382" s="1" t="s">
        <v>8</v>
      </c>
      <c r="B382" s="4">
        <f t="shared" ref="B382" si="502">B373+Q375</f>
        <v>8.6447768352593162</v>
      </c>
      <c r="C382" s="2"/>
      <c r="E382" s="7" t="s">
        <v>253</v>
      </c>
      <c r="F382" s="6">
        <f>C380-F$3*B378-0.5*(F$4)*B378^2</f>
        <v>0</v>
      </c>
      <c r="H382" s="2">
        <f t="shared" ref="H382" si="503">-B$1*SIN(C380)</f>
        <v>-0.89372286568840198</v>
      </c>
      <c r="I382" s="2">
        <f t="shared" ref="I382" si="504">-B$2*SIN(C381)</f>
        <v>-1.6062770651966811</v>
      </c>
      <c r="J382" s="2">
        <f t="shared" ref="J382" si="505">-COS(B$6)</f>
        <v>-1</v>
      </c>
      <c r="L382" s="2" cm="1">
        <f t="array" ref="L382:N384">MINVERSE(H382:J384)</f>
        <v>0</v>
      </c>
      <c r="M382" s="2">
        <v>3.8767692719120879E-17</v>
      </c>
      <c r="N382" s="2">
        <v>1</v>
      </c>
      <c r="O382" s="10">
        <f t="shared" ref="O382:O384" si="506">-F380</f>
        <v>2.4893343934844154E-7</v>
      </c>
      <c r="Q382" s="2" cm="1">
        <f t="array" ref="Q382:Q384">MMULT(L382:N384,O382:O384)</f>
        <v>2.6794258607161902E-24</v>
      </c>
    </row>
    <row r="383" spans="1:17" x14ac:dyDescent="0.35">
      <c r="H383" s="2">
        <f t="shared" ref="H383" si="507">B$1*COS(C380)</f>
        <v>2.8637841118606882</v>
      </c>
      <c r="I383" s="2">
        <f t="shared" ref="I383" si="508">B$2*COS(C381)</f>
        <v>5.7809924744651884</v>
      </c>
      <c r="J383" s="2">
        <f t="shared" ref="J383" si="509">-SIN(B$6)</f>
        <v>0</v>
      </c>
      <c r="L383" s="2">
        <v>0</v>
      </c>
      <c r="M383" s="2">
        <v>0.17298067838991815</v>
      </c>
      <c r="N383" s="2">
        <v>-0.49537931843193111</v>
      </c>
      <c r="O383" s="10">
        <f t="shared" si="506"/>
        <v>6.9114916900758772E-8</v>
      </c>
      <c r="Q383" s="2">
        <v>1.1955545212356072E-8</v>
      </c>
    </row>
    <row r="384" spans="1:17" x14ac:dyDescent="0.35">
      <c r="H384" s="2">
        <v>1</v>
      </c>
      <c r="I384" s="2">
        <v>0</v>
      </c>
      <c r="J384" s="2">
        <v>0</v>
      </c>
      <c r="L384" s="2">
        <v>-1</v>
      </c>
      <c r="M384" s="2">
        <v>-0.27785489641988875</v>
      </c>
      <c r="N384" s="2">
        <v>-9.8006427918427452E-2</v>
      </c>
      <c r="O384" s="10">
        <f t="shared" si="506"/>
        <v>0</v>
      </c>
      <c r="Q384" s="2">
        <v>-2.6813735742497111E-7</v>
      </c>
    </row>
    <row r="387" spans="1:17" x14ac:dyDescent="0.35">
      <c r="A387" s="1" t="s">
        <v>9</v>
      </c>
      <c r="B387" s="2">
        <f t="shared" ref="B387" si="510">IF(AND((B378 = B369), ABS(B382-B373) &lt; 0.001),B378+0.1,B378)</f>
        <v>1.0999999999999999</v>
      </c>
    </row>
    <row r="388" spans="1:17" x14ac:dyDescent="0.35">
      <c r="C388" s="1" t="s">
        <v>3</v>
      </c>
    </row>
    <row r="389" spans="1:17" x14ac:dyDescent="0.35">
      <c r="A389" s="1" t="s">
        <v>254</v>
      </c>
      <c r="B389" s="4">
        <f t="shared" ref="B389:B390" si="511">C389*180/PI()</f>
        <v>17.3319733027074</v>
      </c>
      <c r="C389" s="2">
        <f t="shared" ref="C389:C390" si="512">C380+Q382</f>
        <v>0.30249999999999994</v>
      </c>
      <c r="E389" s="7" t="s">
        <v>255</v>
      </c>
      <c r="F389" s="6">
        <f t="shared" ref="F389" si="513">-B391*COS(B$6)+B$1*COS(C389)+B$2*COS(C390)-B$3*COS(C$4)</f>
        <v>-1.531435568635775E-16</v>
      </c>
      <c r="H389" s="11" t="s">
        <v>14</v>
      </c>
      <c r="I389" s="12"/>
      <c r="J389" s="13"/>
      <c r="L389" s="11" t="s">
        <v>256</v>
      </c>
      <c r="M389" s="12"/>
      <c r="N389" s="13"/>
      <c r="O389" s="14" t="s">
        <v>18</v>
      </c>
      <c r="Q389" s="16" t="s">
        <v>19</v>
      </c>
    </row>
    <row r="390" spans="1:17" x14ac:dyDescent="0.35">
      <c r="A390" s="1" t="s">
        <v>257</v>
      </c>
      <c r="B390" s="4">
        <f t="shared" si="511"/>
        <v>15.528213656216844</v>
      </c>
      <c r="C390" s="2">
        <f t="shared" si="512"/>
        <v>0.27101845525413076</v>
      </c>
      <c r="E390" s="7" t="s">
        <v>258</v>
      </c>
      <c r="F390" s="6">
        <f t="shared" ref="F390" si="514">-B391*SIN(B$6)+B$1*SIN(C389)+B$2*SIN(C390)-B$3*SIN(C$4)</f>
        <v>0</v>
      </c>
      <c r="H390" s="8" t="s">
        <v>16</v>
      </c>
      <c r="I390" s="8" t="s">
        <v>15</v>
      </c>
      <c r="J390" s="9" t="s">
        <v>8</v>
      </c>
      <c r="L390" s="8" t="s">
        <v>16</v>
      </c>
      <c r="M390" s="8" t="s">
        <v>15</v>
      </c>
      <c r="N390" s="9" t="s">
        <v>8</v>
      </c>
      <c r="O390" s="15"/>
      <c r="Q390" s="17"/>
    </row>
    <row r="391" spans="1:17" x14ac:dyDescent="0.35">
      <c r="A391" s="1" t="s">
        <v>8</v>
      </c>
      <c r="B391" s="4">
        <f t="shared" ref="B391" si="515">B382+Q384</f>
        <v>8.6447765671219585</v>
      </c>
      <c r="C391" s="2"/>
      <c r="E391" s="7" t="s">
        <v>259</v>
      </c>
      <c r="F391" s="6">
        <f>C389-F$3*B387-0.5*(F$4)*B387^2</f>
        <v>0</v>
      </c>
      <c r="H391" s="2">
        <f t="shared" ref="H391" si="516">-B$1*SIN(C389)</f>
        <v>-0.89372286568840198</v>
      </c>
      <c r="I391" s="2">
        <f t="shared" ref="I391" si="517">-B$2*SIN(C390)</f>
        <v>-1.6062771343115978</v>
      </c>
      <c r="J391" s="2">
        <f t="shared" ref="J391" si="518">-COS(B$6)</f>
        <v>-1</v>
      </c>
      <c r="L391" s="2" cm="1">
        <f t="array" ref="L391:N393">MINVERSE(H391:J393)</f>
        <v>0</v>
      </c>
      <c r="M391" s="2">
        <v>3.8767692719120879E-17</v>
      </c>
      <c r="N391" s="2">
        <v>1</v>
      </c>
      <c r="O391" s="10">
        <f t="shared" ref="O391:O393" si="519">-F389</f>
        <v>1.531435568635775E-16</v>
      </c>
      <c r="Q391" s="2" cm="1">
        <f t="array" ref="Q391:Q393">MMULT(L391:N393,O391:O393)</f>
        <v>0</v>
      </c>
    </row>
    <row r="392" spans="1:17" x14ac:dyDescent="0.35">
      <c r="H392" s="2">
        <f t="shared" ref="H392" si="520">B$1*COS(C389)</f>
        <v>2.8637841118606882</v>
      </c>
      <c r="I392" s="2">
        <f t="shared" ref="I392" si="521">B$2*COS(C390)</f>
        <v>5.7809924552612699</v>
      </c>
      <c r="J392" s="2">
        <f t="shared" ref="J392" si="522">-SIN(B$6)</f>
        <v>0</v>
      </c>
      <c r="L392" s="2">
        <v>0</v>
      </c>
      <c r="M392" s="2">
        <v>0.17298067896454386</v>
      </c>
      <c r="N392" s="2">
        <v>-0.4953793200775351</v>
      </c>
      <c r="O392" s="10">
        <f t="shared" si="519"/>
        <v>0</v>
      </c>
      <c r="Q392" s="2">
        <v>0</v>
      </c>
    </row>
    <row r="393" spans="1:17" x14ac:dyDescent="0.35">
      <c r="H393" s="2">
        <v>1</v>
      </c>
      <c r="I393" s="2">
        <v>0</v>
      </c>
      <c r="J393" s="2">
        <v>0</v>
      </c>
      <c r="L393" s="2">
        <v>-1</v>
      </c>
      <c r="M393" s="2">
        <v>-0.27785490929844203</v>
      </c>
      <c r="N393" s="2">
        <v>-9.8006391037031168E-2</v>
      </c>
      <c r="O393" s="10">
        <f t="shared" si="519"/>
        <v>0</v>
      </c>
      <c r="Q393" s="2">
        <v>-1.531435568635775E-16</v>
      </c>
    </row>
    <row r="396" spans="1:17" x14ac:dyDescent="0.35">
      <c r="A396" s="1" t="s">
        <v>9</v>
      </c>
      <c r="B396" s="2">
        <f t="shared" ref="B396" si="523">IF(AND((B387 = B378), ABS(B391-B382) &lt; 0.001),B387+0.1,B387)</f>
        <v>1.2</v>
      </c>
    </row>
    <row r="397" spans="1:17" x14ac:dyDescent="0.35">
      <c r="C397" s="1" t="s">
        <v>3</v>
      </c>
    </row>
    <row r="398" spans="1:17" x14ac:dyDescent="0.35">
      <c r="A398" s="1" t="s">
        <v>260</v>
      </c>
      <c r="B398" s="4">
        <f t="shared" ref="B398:B399" si="524">C398*180/PI()</f>
        <v>17.3319733027074</v>
      </c>
      <c r="C398" s="2">
        <f t="shared" ref="C398:C399" si="525">C389+Q391</f>
        <v>0.30249999999999994</v>
      </c>
      <c r="E398" s="7" t="s">
        <v>261</v>
      </c>
      <c r="F398" s="6">
        <f t="shared" ref="F398" si="526">-B400*COS(B$6)+B$1*COS(C398)+B$2*COS(C399)-B$3*COS(C$4)</f>
        <v>-1.531435568635775E-16</v>
      </c>
      <c r="H398" s="11" t="s">
        <v>14</v>
      </c>
      <c r="I398" s="12"/>
      <c r="J398" s="13"/>
      <c r="L398" s="11" t="s">
        <v>262</v>
      </c>
      <c r="M398" s="12"/>
      <c r="N398" s="13"/>
      <c r="O398" s="14" t="s">
        <v>18</v>
      </c>
      <c r="Q398" s="16" t="s">
        <v>19</v>
      </c>
    </row>
    <row r="399" spans="1:17" x14ac:dyDescent="0.35">
      <c r="A399" s="1" t="s">
        <v>263</v>
      </c>
      <c r="B399" s="4">
        <f t="shared" si="524"/>
        <v>15.528213656216844</v>
      </c>
      <c r="C399" s="2">
        <f t="shared" si="525"/>
        <v>0.27101845525413076</v>
      </c>
      <c r="E399" s="7" t="s">
        <v>264</v>
      </c>
      <c r="F399" s="6">
        <f t="shared" ref="F399" si="527">-B400*SIN(B$6)+B$1*SIN(C398)+B$2*SIN(C399)-B$3*SIN(C$4)</f>
        <v>0</v>
      </c>
      <c r="H399" s="8" t="s">
        <v>16</v>
      </c>
      <c r="I399" s="8" t="s">
        <v>15</v>
      </c>
      <c r="J399" s="9" t="s">
        <v>8</v>
      </c>
      <c r="L399" s="8" t="s">
        <v>16</v>
      </c>
      <c r="M399" s="8" t="s">
        <v>15</v>
      </c>
      <c r="N399" s="9" t="s">
        <v>8</v>
      </c>
      <c r="O399" s="15"/>
      <c r="Q399" s="17"/>
    </row>
    <row r="400" spans="1:17" x14ac:dyDescent="0.35">
      <c r="A400" s="1" t="s">
        <v>8</v>
      </c>
      <c r="B400" s="4">
        <f t="shared" ref="B400" si="528">B391+Q393</f>
        <v>8.6447765671219585</v>
      </c>
      <c r="C400" s="2"/>
      <c r="E400" s="7" t="s">
        <v>265</v>
      </c>
      <c r="F400" s="6">
        <f>C398-F$3*B396-0.5*(F$4)*B396^2</f>
        <v>-5.7500000000000051E-2</v>
      </c>
      <c r="H400" s="2">
        <f t="shared" ref="H400" si="529">-B$1*SIN(C398)</f>
        <v>-0.89372286568840198</v>
      </c>
      <c r="I400" s="2">
        <f t="shared" ref="I400" si="530">-B$2*SIN(C399)</f>
        <v>-1.6062771343115978</v>
      </c>
      <c r="J400" s="2">
        <f t="shared" ref="J400" si="531">-COS(B$6)</f>
        <v>-1</v>
      </c>
      <c r="L400" s="2" cm="1">
        <f t="array" ref="L400:N402">MINVERSE(H400:J402)</f>
        <v>0</v>
      </c>
      <c r="M400" s="2">
        <v>3.8767692719120879E-17</v>
      </c>
      <c r="N400" s="2">
        <v>1</v>
      </c>
      <c r="O400" s="10">
        <f t="shared" ref="O400:O402" si="532">-F398</f>
        <v>1.531435568635775E-16</v>
      </c>
      <c r="Q400" s="2" cm="1">
        <f t="array" ref="Q400:Q402">MMULT(L400:N402,O400:O402)</f>
        <v>5.7500000000000051E-2</v>
      </c>
    </row>
    <row r="401" spans="1:17" x14ac:dyDescent="0.35">
      <c r="H401" s="2">
        <f t="shared" ref="H401" si="533">B$1*COS(C398)</f>
        <v>2.8637841118606882</v>
      </c>
      <c r="I401" s="2">
        <f t="shared" ref="I401" si="534">B$2*COS(C399)</f>
        <v>5.7809924552612699</v>
      </c>
      <c r="J401" s="2">
        <f t="shared" ref="J401" si="535">-SIN(B$6)</f>
        <v>0</v>
      </c>
      <c r="L401" s="2">
        <v>0</v>
      </c>
      <c r="M401" s="2">
        <v>0.17298067896454386</v>
      </c>
      <c r="N401" s="2">
        <v>-0.4953793200775351</v>
      </c>
      <c r="O401" s="10">
        <f t="shared" si="532"/>
        <v>0</v>
      </c>
      <c r="Q401" s="2">
        <v>-2.8484310904458295E-2</v>
      </c>
    </row>
    <row r="402" spans="1:17" x14ac:dyDescent="0.35">
      <c r="H402" s="2">
        <v>1</v>
      </c>
      <c r="I402" s="2">
        <v>0</v>
      </c>
      <c r="J402" s="2">
        <v>0</v>
      </c>
      <c r="L402" s="2">
        <v>-1</v>
      </c>
      <c r="M402" s="2">
        <v>-0.27785490929844203</v>
      </c>
      <c r="N402" s="2">
        <v>-9.8006391037031168E-2</v>
      </c>
      <c r="O402" s="10">
        <f t="shared" si="532"/>
        <v>5.7500000000000051E-2</v>
      </c>
      <c r="Q402" s="2">
        <v>-5.6353674846294508E-3</v>
      </c>
    </row>
    <row r="405" spans="1:17" x14ac:dyDescent="0.35">
      <c r="A405" s="1" t="s">
        <v>9</v>
      </c>
      <c r="B405" s="2">
        <f t="shared" ref="B405" si="536">IF(AND((B396 = B387), ABS(B400-B391) &lt; 0.001),B396+0.1,B396)</f>
        <v>1.2</v>
      </c>
    </row>
    <row r="406" spans="1:17" x14ac:dyDescent="0.35">
      <c r="C406" s="1" t="s">
        <v>3</v>
      </c>
    </row>
    <row r="407" spans="1:17" x14ac:dyDescent="0.35">
      <c r="A407" s="1" t="s">
        <v>266</v>
      </c>
      <c r="B407" s="4">
        <f t="shared" ref="B407:B408" si="537">C407*180/PI()</f>
        <v>20.626480624709636</v>
      </c>
      <c r="C407" s="2">
        <f t="shared" ref="C407:C408" si="538">C398+Q400</f>
        <v>0.36</v>
      </c>
      <c r="E407" s="7" t="s">
        <v>267</v>
      </c>
      <c r="F407" s="6">
        <f t="shared" ref="F407" si="539">-B409*COS(B$6)+B$1*COS(C407)+B$2*COS(C408)-B$3*COS(C$4)</f>
        <v>-7.0558256887835328E-3</v>
      </c>
      <c r="H407" s="11" t="s">
        <v>14</v>
      </c>
      <c r="I407" s="12"/>
      <c r="J407" s="13"/>
      <c r="L407" s="11" t="s">
        <v>268</v>
      </c>
      <c r="M407" s="12"/>
      <c r="N407" s="13"/>
      <c r="O407" s="14" t="s">
        <v>18</v>
      </c>
      <c r="Q407" s="16" t="s">
        <v>19</v>
      </c>
    </row>
    <row r="408" spans="1:17" x14ac:dyDescent="0.35">
      <c r="A408" s="1" t="s">
        <v>269</v>
      </c>
      <c r="B408" s="4">
        <f t="shared" si="537"/>
        <v>13.896182859052914</v>
      </c>
      <c r="C408" s="2">
        <f t="shared" si="538"/>
        <v>0.24253414434967246</v>
      </c>
      <c r="E408" s="7" t="s">
        <v>270</v>
      </c>
      <c r="F408" s="6">
        <f t="shared" ref="F408" si="540">-B409*SIN(B$6)+B$1*SIN(C407)+B$2*SIN(C408)-B$3*SIN(C$4)</f>
        <v>-2.1970730720868303E-3</v>
      </c>
      <c r="H408" s="8" t="s">
        <v>16</v>
      </c>
      <c r="I408" s="8" t="s">
        <v>15</v>
      </c>
      <c r="J408" s="9" t="s">
        <v>8</v>
      </c>
      <c r="L408" s="8" t="s">
        <v>16</v>
      </c>
      <c r="M408" s="8" t="s">
        <v>15</v>
      </c>
      <c r="N408" s="9" t="s">
        <v>8</v>
      </c>
      <c r="O408" s="15"/>
      <c r="Q408" s="17"/>
    </row>
    <row r="409" spans="1:17" x14ac:dyDescent="0.35">
      <c r="A409" s="1" t="s">
        <v>8</v>
      </c>
      <c r="B409" s="4">
        <f t="shared" ref="B409" si="541">B400+Q402</f>
        <v>8.6391411996373293</v>
      </c>
      <c r="C409" s="2"/>
      <c r="E409" s="7" t="s">
        <v>271</v>
      </c>
      <c r="F409" s="6">
        <f>C407-F$3*B405-0.5*(F$4)*B405^2</f>
        <v>0</v>
      </c>
      <c r="H409" s="2">
        <f t="shared" ref="H409" si="542">-B$1*SIN(C407)</f>
        <v>-1.0568226998252699</v>
      </c>
      <c r="I409" s="2">
        <f t="shared" ref="I409" si="543">-B$2*SIN(C408)</f>
        <v>-1.4409802271026435</v>
      </c>
      <c r="J409" s="2">
        <f t="shared" ref="J409" si="544">-COS(B$6)</f>
        <v>-1</v>
      </c>
      <c r="L409" s="2" cm="1">
        <f t="array" ref="L409:N411">MINVERSE(H409:J411)</f>
        <v>0</v>
      </c>
      <c r="M409" s="2">
        <v>-7.908443156957878E-17</v>
      </c>
      <c r="N409" s="2">
        <v>1</v>
      </c>
      <c r="O409" s="10">
        <f t="shared" ref="O409:O411" si="545">-F407</f>
        <v>7.0558256887835328E-3</v>
      </c>
      <c r="Q409" s="2" cm="1">
        <f t="array" ref="Q409:Q411">MMULT(L409:N411,O409:O411)</f>
        <v>-1.7375427502281516E-19</v>
      </c>
    </row>
    <row r="410" spans="1:17" x14ac:dyDescent="0.35">
      <c r="H410" s="2">
        <f t="shared" ref="H410" si="546">B$1*COS(C407)</f>
        <v>2.8076904710338044</v>
      </c>
      <c r="I410" s="2">
        <f t="shared" ref="I410" si="547">B$2*COS(C408)</f>
        <v>5.824394902914741</v>
      </c>
      <c r="J410" s="2">
        <f t="shared" ref="J410" si="548">-SIN(B$6)</f>
        <v>0</v>
      </c>
      <c r="L410" s="2">
        <v>0</v>
      </c>
      <c r="M410" s="2">
        <v>0.1716916549562193</v>
      </c>
      <c r="N410" s="2">
        <v>-0.48205702357660074</v>
      </c>
      <c r="O410" s="10">
        <f t="shared" si="545"/>
        <v>2.1970730720868303E-3</v>
      </c>
      <c r="Q410" s="2">
        <v>3.7721911180633278E-4</v>
      </c>
    </row>
    <row r="411" spans="1:17" x14ac:dyDescent="0.35">
      <c r="H411" s="2">
        <v>1</v>
      </c>
      <c r="I411" s="2">
        <v>0</v>
      </c>
      <c r="J411" s="2">
        <v>0</v>
      </c>
      <c r="L411" s="2">
        <v>-1</v>
      </c>
      <c r="M411" s="2">
        <v>-0.24740427995044156</v>
      </c>
      <c r="N411" s="2">
        <v>-0.36218806051543539</v>
      </c>
      <c r="O411" s="10">
        <f t="shared" si="545"/>
        <v>0</v>
      </c>
      <c r="Q411" s="2">
        <v>-7.5993909701816799E-3</v>
      </c>
    </row>
    <row r="414" spans="1:17" x14ac:dyDescent="0.35">
      <c r="A414" s="1" t="s">
        <v>9</v>
      </c>
      <c r="B414" s="2">
        <f t="shared" ref="B414" si="549">IF(AND((B405 = B396), ABS(B409-B400) &lt; 0.001),B405+0.1,B405)</f>
        <v>1.2</v>
      </c>
    </row>
    <row r="415" spans="1:17" x14ac:dyDescent="0.35">
      <c r="C415" s="1" t="s">
        <v>3</v>
      </c>
    </row>
    <row r="416" spans="1:17" x14ac:dyDescent="0.35">
      <c r="A416" s="1" t="s">
        <v>272</v>
      </c>
      <c r="B416" s="4">
        <f t="shared" ref="B416:B417" si="550">C416*180/PI()</f>
        <v>20.626480624709636</v>
      </c>
      <c r="C416" s="2">
        <f t="shared" ref="C416:C417" si="551">C407+Q409</f>
        <v>0.36</v>
      </c>
      <c r="E416" s="7" t="s">
        <v>273</v>
      </c>
      <c r="F416" s="6">
        <f t="shared" ref="F416" si="552">-B418*COS(B$6)+B$1*COS(C416)+B$2*COS(C417)-B$3*COS(C$4)</f>
        <v>-4.1437608026877399E-7</v>
      </c>
      <c r="H416" s="11" t="s">
        <v>14</v>
      </c>
      <c r="I416" s="12"/>
      <c r="J416" s="13"/>
      <c r="L416" s="11" t="s">
        <v>274</v>
      </c>
      <c r="M416" s="12"/>
      <c r="N416" s="13"/>
      <c r="O416" s="14" t="s">
        <v>18</v>
      </c>
      <c r="Q416" s="16" t="s">
        <v>19</v>
      </c>
    </row>
    <row r="417" spans="1:17" x14ac:dyDescent="0.35">
      <c r="A417" s="1" t="s">
        <v>275</v>
      </c>
      <c r="B417" s="4">
        <f t="shared" si="550"/>
        <v>13.91779592211109</v>
      </c>
      <c r="C417" s="2">
        <f t="shared" si="551"/>
        <v>0.24291136346147879</v>
      </c>
      <c r="E417" s="7" t="s">
        <v>276</v>
      </c>
      <c r="F417" s="6">
        <f t="shared" ref="F417" si="553">-B418*SIN(B$6)+B$1*SIN(C416)+B$2*SIN(C417)-B$3*SIN(C$4)</f>
        <v>-1.0257371041433316E-7</v>
      </c>
      <c r="H417" s="8" t="s">
        <v>16</v>
      </c>
      <c r="I417" s="8" t="s">
        <v>15</v>
      </c>
      <c r="J417" s="9" t="s">
        <v>8</v>
      </c>
      <c r="L417" s="8" t="s">
        <v>16</v>
      </c>
      <c r="M417" s="8" t="s">
        <v>15</v>
      </c>
      <c r="N417" s="9" t="s">
        <v>8</v>
      </c>
      <c r="O417" s="15"/>
      <c r="Q417" s="17"/>
    </row>
    <row r="418" spans="1:17" x14ac:dyDescent="0.35">
      <c r="A418" s="1" t="s">
        <v>8</v>
      </c>
      <c r="B418" s="4">
        <f t="shared" ref="B418" si="554">B409+Q411</f>
        <v>8.6315418086671478</v>
      </c>
      <c r="C418" s="2"/>
      <c r="E418" s="7" t="s">
        <v>277</v>
      </c>
      <c r="F418" s="6">
        <f>C416-F$3*B414-0.5*(F$4)*B414^2</f>
        <v>0</v>
      </c>
      <c r="H418" s="2">
        <f t="shared" ref="H418" si="555">-B$1*SIN(C416)</f>
        <v>-1.0568226998252699</v>
      </c>
      <c r="I418" s="2">
        <f t="shared" ref="I418" si="556">-B$2*SIN(C417)</f>
        <v>-1.4431771976010199</v>
      </c>
      <c r="J418" s="2">
        <f t="shared" ref="J418" si="557">-COS(B$6)</f>
        <v>-1</v>
      </c>
      <c r="L418" s="2" cm="1">
        <f t="array" ref="L418:N420">MINVERSE(H418:J420)</f>
        <v>0</v>
      </c>
      <c r="M418" s="2">
        <v>0</v>
      </c>
      <c r="N418" s="2">
        <v>1.0000000000000002</v>
      </c>
      <c r="O418" s="10">
        <f t="shared" ref="O418:O420" si="558">-F416</f>
        <v>4.1437608026877399E-7</v>
      </c>
      <c r="Q418" s="2" cm="1">
        <f t="array" ref="Q418:Q420">MMULT(L418:N420,O418:O420)</f>
        <v>0</v>
      </c>
    </row>
    <row r="419" spans="1:17" x14ac:dyDescent="0.35">
      <c r="H419" s="2">
        <f t="shared" ref="H419" si="559">B$1*COS(C416)</f>
        <v>2.8076904710338044</v>
      </c>
      <c r="I419" s="2">
        <f t="shared" ref="I419" si="560">B$2*COS(C417)</f>
        <v>5.8238509232572628</v>
      </c>
      <c r="J419" s="2">
        <f t="shared" ref="J419" si="561">-SIN(B$6)</f>
        <v>0</v>
      </c>
      <c r="L419" s="2">
        <v>0</v>
      </c>
      <c r="M419" s="2">
        <v>0.1717076918996242</v>
      </c>
      <c r="N419" s="2">
        <v>-0.48210205034978326</v>
      </c>
      <c r="O419" s="10">
        <f t="shared" si="558"/>
        <v>1.0257371041433316E-7</v>
      </c>
      <c r="Q419" s="2">
        <v>1.7612695064825594E-8</v>
      </c>
    </row>
    <row r="420" spans="1:17" x14ac:dyDescent="0.35">
      <c r="H420" s="2">
        <v>1</v>
      </c>
      <c r="I420" s="2">
        <v>0</v>
      </c>
      <c r="J420" s="2">
        <v>0</v>
      </c>
      <c r="L420" s="2">
        <v>-1</v>
      </c>
      <c r="M420" s="2">
        <v>-0.24780462560223895</v>
      </c>
      <c r="N420" s="2">
        <v>-0.36106401384376402</v>
      </c>
      <c r="O420" s="10">
        <f t="shared" si="558"/>
        <v>0</v>
      </c>
      <c r="Q420" s="2">
        <v>-4.3979432017463029E-7</v>
      </c>
    </row>
    <row r="423" spans="1:17" x14ac:dyDescent="0.35">
      <c r="A423" s="1" t="s">
        <v>9</v>
      </c>
      <c r="B423" s="2">
        <f t="shared" ref="B423" si="562">IF(AND((B414 = B405), ABS(B418-B409) &lt; 0.001),B414+0.1,B414)</f>
        <v>1.2</v>
      </c>
    </row>
    <row r="424" spans="1:17" x14ac:dyDescent="0.35">
      <c r="C424" s="1" t="s">
        <v>3</v>
      </c>
    </row>
    <row r="425" spans="1:17" x14ac:dyDescent="0.35">
      <c r="A425" s="1" t="s">
        <v>278</v>
      </c>
      <c r="B425" s="4">
        <f t="shared" ref="B425:B426" si="563">C425*180/PI()</f>
        <v>20.626480624709636</v>
      </c>
      <c r="C425" s="2">
        <f t="shared" ref="C425:C426" si="564">C416+Q418</f>
        <v>0.36</v>
      </c>
      <c r="E425" s="7" t="s">
        <v>279</v>
      </c>
      <c r="F425" s="6">
        <f t="shared" ref="F425" si="565">-B427*COS(B$6)+B$1*COS(C425)+B$2*COS(C426)-B$3*COS(C$4)</f>
        <v>-1.929500396263828E-15</v>
      </c>
      <c r="H425" s="11" t="s">
        <v>14</v>
      </c>
      <c r="I425" s="12"/>
      <c r="J425" s="13"/>
      <c r="L425" s="11" t="s">
        <v>280</v>
      </c>
      <c r="M425" s="12"/>
      <c r="N425" s="13"/>
      <c r="O425" s="14" t="s">
        <v>18</v>
      </c>
      <c r="Q425" s="16" t="s">
        <v>19</v>
      </c>
    </row>
    <row r="426" spans="1:17" x14ac:dyDescent="0.35">
      <c r="A426" s="1" t="s">
        <v>281</v>
      </c>
      <c r="B426" s="4">
        <f t="shared" si="563"/>
        <v>13.917796931244183</v>
      </c>
      <c r="C426" s="2">
        <f t="shared" si="564"/>
        <v>0.24291138107417384</v>
      </c>
      <c r="E426" s="7" t="s">
        <v>282</v>
      </c>
      <c r="F426" s="6">
        <f t="shared" ref="F426" si="566">-B427*SIN(B$6)+B$1*SIN(C425)+B$2*SIN(C426)-B$3*SIN(C$4)</f>
        <v>0</v>
      </c>
      <c r="H426" s="8" t="s">
        <v>16</v>
      </c>
      <c r="I426" s="8" t="s">
        <v>15</v>
      </c>
      <c r="J426" s="9" t="s">
        <v>8</v>
      </c>
      <c r="L426" s="8" t="s">
        <v>16</v>
      </c>
      <c r="M426" s="8" t="s">
        <v>15</v>
      </c>
      <c r="N426" s="9" t="s">
        <v>8</v>
      </c>
      <c r="O426" s="15"/>
      <c r="Q426" s="17"/>
    </row>
    <row r="427" spans="1:17" x14ac:dyDescent="0.35">
      <c r="A427" s="1" t="s">
        <v>8</v>
      </c>
      <c r="B427" s="4">
        <f t="shared" ref="B427" si="567">B418+Q420</f>
        <v>8.6315413688728277</v>
      </c>
      <c r="C427" s="2"/>
      <c r="E427" s="7" t="s">
        <v>283</v>
      </c>
      <c r="F427" s="6">
        <f>C425-F$3*B423-0.5*(F$4)*B423^2</f>
        <v>0</v>
      </c>
      <c r="H427" s="2">
        <f t="shared" ref="H427" si="568">-B$1*SIN(C425)</f>
        <v>-1.0568226998252699</v>
      </c>
      <c r="I427" s="2">
        <f t="shared" ref="I427" si="569">-B$2*SIN(C426)</f>
        <v>-1.4431773001747301</v>
      </c>
      <c r="J427" s="2">
        <f t="shared" ref="J427" si="570">-COS(B$6)</f>
        <v>-1</v>
      </c>
      <c r="L427" s="2" cm="1">
        <f t="array" ref="L427:N429">MINVERSE(H427:J429)</f>
        <v>0</v>
      </c>
      <c r="M427" s="2">
        <v>0</v>
      </c>
      <c r="N427" s="2">
        <v>1</v>
      </c>
      <c r="O427" s="10">
        <f t="shared" ref="O427:O429" si="571">-F425</f>
        <v>1.929500396263828E-15</v>
      </c>
      <c r="Q427" s="2" cm="1">
        <f t="array" ref="Q427:Q429">MMULT(L427:N429,O427:O429)</f>
        <v>0</v>
      </c>
    </row>
    <row r="428" spans="1:17" x14ac:dyDescent="0.35">
      <c r="H428" s="2">
        <f t="shared" ref="H428" si="572">B$1*COS(C425)</f>
        <v>2.8076904710338044</v>
      </c>
      <c r="I428" s="2">
        <f t="shared" ref="I428" si="573">B$2*COS(C426)</f>
        <v>5.8238508978390211</v>
      </c>
      <c r="J428" s="2">
        <f t="shared" ref="J428" si="574">-SIN(B$6)</f>
        <v>0</v>
      </c>
      <c r="L428" s="2">
        <v>0</v>
      </c>
      <c r="M428" s="2">
        <v>0.17170769264904373</v>
      </c>
      <c r="N428" s="2">
        <v>-0.48210205245392129</v>
      </c>
      <c r="O428" s="10">
        <f t="shared" si="571"/>
        <v>0</v>
      </c>
      <c r="Q428" s="2">
        <v>0</v>
      </c>
    </row>
    <row r="429" spans="1:17" x14ac:dyDescent="0.35">
      <c r="H429" s="2">
        <v>1</v>
      </c>
      <c r="I429" s="2">
        <v>0</v>
      </c>
      <c r="J429" s="2">
        <v>0</v>
      </c>
      <c r="L429" s="2">
        <v>-1</v>
      </c>
      <c r="M429" s="2">
        <v>-0.24780464429647925</v>
      </c>
      <c r="N429" s="2">
        <v>-0.36106396135612367</v>
      </c>
      <c r="O429" s="10">
        <f t="shared" si="571"/>
        <v>0</v>
      </c>
      <c r="Q429" s="2">
        <v>-1.929500396263828E-15</v>
      </c>
    </row>
    <row r="432" spans="1:17" x14ac:dyDescent="0.35">
      <c r="A432" s="1" t="s">
        <v>9</v>
      </c>
      <c r="B432" s="2">
        <f t="shared" ref="B432" si="575">IF(AND((B423 = B414), ABS(B427-B418) &lt; 0.001),B423+0.1,B423)</f>
        <v>1.3</v>
      </c>
    </row>
    <row r="433" spans="1:17" x14ac:dyDescent="0.35">
      <c r="C433" s="1" t="s">
        <v>3</v>
      </c>
    </row>
    <row r="434" spans="1:17" x14ac:dyDescent="0.35">
      <c r="A434" s="1" t="s">
        <v>284</v>
      </c>
      <c r="B434" s="4">
        <f t="shared" ref="B434:B435" si="576">C434*180/PI()</f>
        <v>20.626480624709636</v>
      </c>
      <c r="C434" s="2">
        <f t="shared" ref="C434:C435" si="577">C425+Q427</f>
        <v>0.36</v>
      </c>
      <c r="E434" s="7" t="s">
        <v>285</v>
      </c>
      <c r="F434" s="6">
        <f t="shared" ref="F434" si="578">-B436*COS(B$6)+B$1*COS(C434)+B$2*COS(C435)-B$3*COS(C$4)</f>
        <v>-1.531435568635775E-16</v>
      </c>
      <c r="H434" s="11" t="s">
        <v>14</v>
      </c>
      <c r="I434" s="12"/>
      <c r="J434" s="13"/>
      <c r="L434" s="11" t="s">
        <v>286</v>
      </c>
      <c r="M434" s="12"/>
      <c r="N434" s="13"/>
      <c r="O434" s="14" t="s">
        <v>18</v>
      </c>
      <c r="Q434" s="16" t="s">
        <v>19</v>
      </c>
    </row>
    <row r="435" spans="1:17" x14ac:dyDescent="0.35">
      <c r="A435" s="1" t="s">
        <v>287</v>
      </c>
      <c r="B435" s="4">
        <f t="shared" si="576"/>
        <v>13.917796931244183</v>
      </c>
      <c r="C435" s="2">
        <f t="shared" si="577"/>
        <v>0.24291138107417384</v>
      </c>
      <c r="E435" s="7" t="s">
        <v>288</v>
      </c>
      <c r="F435" s="6">
        <f t="shared" ref="F435" si="579">-B436*SIN(B$6)+B$1*SIN(C434)+B$2*SIN(C435)-B$3*SIN(C$4)</f>
        <v>0</v>
      </c>
      <c r="H435" s="8" t="s">
        <v>16</v>
      </c>
      <c r="I435" s="8" t="s">
        <v>15</v>
      </c>
      <c r="J435" s="9" t="s">
        <v>8</v>
      </c>
      <c r="L435" s="8" t="s">
        <v>16</v>
      </c>
      <c r="M435" s="8" t="s">
        <v>15</v>
      </c>
      <c r="N435" s="9" t="s">
        <v>8</v>
      </c>
      <c r="O435" s="15"/>
      <c r="Q435" s="17"/>
    </row>
    <row r="436" spans="1:17" x14ac:dyDescent="0.35">
      <c r="A436" s="1" t="s">
        <v>8</v>
      </c>
      <c r="B436" s="4">
        <f t="shared" ref="B436" si="580">B427+Q429</f>
        <v>8.631541368872826</v>
      </c>
      <c r="C436" s="2"/>
      <c r="E436" s="7" t="s">
        <v>289</v>
      </c>
      <c r="F436" s="6">
        <f>C434-F$3*B432-0.5*(F$4)*B432^2</f>
        <v>-6.2500000000000056E-2</v>
      </c>
      <c r="H436" s="2">
        <f t="shared" ref="H436" si="581">-B$1*SIN(C434)</f>
        <v>-1.0568226998252699</v>
      </c>
      <c r="I436" s="2">
        <f t="shared" ref="I436" si="582">-B$2*SIN(C435)</f>
        <v>-1.4431773001747301</v>
      </c>
      <c r="J436" s="2">
        <f t="shared" ref="J436" si="583">-COS(B$6)</f>
        <v>-1</v>
      </c>
      <c r="L436" s="2" cm="1">
        <f t="array" ref="L436:N438">MINVERSE(H436:J438)</f>
        <v>0</v>
      </c>
      <c r="M436" s="2">
        <v>0</v>
      </c>
      <c r="N436" s="2">
        <v>1</v>
      </c>
      <c r="O436" s="10">
        <f t="shared" ref="O436:O438" si="584">-F434</f>
        <v>1.531435568635775E-16</v>
      </c>
      <c r="Q436" s="2" cm="1">
        <f t="array" ref="Q436:Q438">MMULT(L436:N438,O436:O438)</f>
        <v>6.2500000000000056E-2</v>
      </c>
    </row>
    <row r="437" spans="1:17" x14ac:dyDescent="0.35">
      <c r="H437" s="2">
        <f t="shared" ref="H437" si="585">B$1*COS(C434)</f>
        <v>2.8076904710338044</v>
      </c>
      <c r="I437" s="2">
        <f t="shared" ref="I437" si="586">B$2*COS(C435)</f>
        <v>5.8238508978390211</v>
      </c>
      <c r="J437" s="2">
        <f t="shared" ref="J437" si="587">-SIN(B$6)</f>
        <v>0</v>
      </c>
      <c r="L437" s="2">
        <v>0</v>
      </c>
      <c r="M437" s="2">
        <v>0.17170769264904373</v>
      </c>
      <c r="N437" s="2">
        <v>-0.48210205245392129</v>
      </c>
      <c r="O437" s="10">
        <f t="shared" si="584"/>
        <v>0</v>
      </c>
      <c r="Q437" s="2">
        <v>-3.0131378278370109E-2</v>
      </c>
    </row>
    <row r="438" spans="1:17" x14ac:dyDescent="0.35">
      <c r="H438" s="2">
        <v>1</v>
      </c>
      <c r="I438" s="2">
        <v>0</v>
      </c>
      <c r="J438" s="2">
        <v>0</v>
      </c>
      <c r="L438" s="2">
        <v>-1</v>
      </c>
      <c r="M438" s="2">
        <v>-0.24780464429647925</v>
      </c>
      <c r="N438" s="2">
        <v>-0.36106396135612367</v>
      </c>
      <c r="O438" s="10">
        <f t="shared" si="584"/>
        <v>6.2500000000000056E-2</v>
      </c>
      <c r="Q438" s="2">
        <v>-2.2566497584757903E-2</v>
      </c>
    </row>
    <row r="441" spans="1:17" x14ac:dyDescent="0.35">
      <c r="A441" s="1" t="s">
        <v>9</v>
      </c>
      <c r="B441" s="2">
        <f t="shared" ref="B441" si="588">IF(AND((B432 = B423), ABS(B436-B427) &lt; 0.001),B432+0.1,B432)</f>
        <v>1.3</v>
      </c>
    </row>
    <row r="442" spans="1:17" x14ac:dyDescent="0.35">
      <c r="C442" s="1" t="s">
        <v>3</v>
      </c>
    </row>
    <row r="443" spans="1:17" x14ac:dyDescent="0.35">
      <c r="A443" s="1" t="s">
        <v>290</v>
      </c>
      <c r="B443" s="4">
        <f t="shared" ref="B443:B444" si="589">C443*180/PI()</f>
        <v>24.207466844277285</v>
      </c>
      <c r="C443" s="2">
        <f t="shared" ref="C443:C444" si="590">C434+Q436</f>
        <v>0.42250000000000004</v>
      </c>
      <c r="E443" s="7" t="s">
        <v>291</v>
      </c>
      <c r="F443" s="6">
        <f t="shared" ref="F443" si="591">-B445*COS(B$6)+B$1*COS(C443)+B$2*COS(C444)-B$3*COS(C$4)</f>
        <v>-8.0891084438469568E-3</v>
      </c>
      <c r="H443" s="11" t="s">
        <v>14</v>
      </c>
      <c r="I443" s="12"/>
      <c r="J443" s="13"/>
      <c r="L443" s="11" t="s">
        <v>292</v>
      </c>
      <c r="M443" s="12"/>
      <c r="N443" s="13"/>
      <c r="O443" s="14" t="s">
        <v>18</v>
      </c>
      <c r="Q443" s="16" t="s">
        <v>19</v>
      </c>
    </row>
    <row r="444" spans="1:17" x14ac:dyDescent="0.35">
      <c r="A444" s="1" t="s">
        <v>293</v>
      </c>
      <c r="B444" s="4">
        <f t="shared" si="589"/>
        <v>12.191396124981409</v>
      </c>
      <c r="C444" s="2">
        <f t="shared" si="590"/>
        <v>0.21278000279580372</v>
      </c>
      <c r="E444" s="7" t="s">
        <v>294</v>
      </c>
      <c r="F444" s="6">
        <f t="shared" ref="F444" si="592">-B445*SIN(B$6)+B$1*SIN(C443)+B$2*SIN(C444)-B$3*SIN(C$4)</f>
        <v>-2.8061867182982425E-3</v>
      </c>
      <c r="H444" s="8" t="s">
        <v>16</v>
      </c>
      <c r="I444" s="8" t="s">
        <v>15</v>
      </c>
      <c r="J444" s="9" t="s">
        <v>8</v>
      </c>
      <c r="L444" s="8" t="s">
        <v>16</v>
      </c>
      <c r="M444" s="8" t="s">
        <v>15</v>
      </c>
      <c r="N444" s="9" t="s">
        <v>8</v>
      </c>
      <c r="O444" s="15"/>
      <c r="Q444" s="17"/>
    </row>
    <row r="445" spans="1:17" x14ac:dyDescent="0.35">
      <c r="A445" s="1" t="s">
        <v>8</v>
      </c>
      <c r="B445" s="4">
        <f t="shared" ref="B445" si="593">B436+Q438</f>
        <v>8.6089748712880674</v>
      </c>
      <c r="C445" s="2"/>
      <c r="E445" s="7" t="s">
        <v>295</v>
      </c>
      <c r="F445" s="6">
        <f>C443-F$3*B441-0.5*(F$4)*B441^2</f>
        <v>0</v>
      </c>
      <c r="H445" s="2">
        <f t="shared" ref="H445" si="594">-B$1*SIN(C443)</f>
        <v>-1.2301256963452916</v>
      </c>
      <c r="I445" s="2">
        <f t="shared" ref="I445" si="595">-B$2*SIN(C444)</f>
        <v>-1.26706811693641</v>
      </c>
      <c r="J445" s="2">
        <f t="shared" ref="J445" si="596">-COS(B$6)</f>
        <v>-1</v>
      </c>
      <c r="L445" s="2" cm="1">
        <f t="array" ref="L445:N447">MINVERSE(H445:J447)</f>
        <v>0</v>
      </c>
      <c r="M445" s="2">
        <v>0</v>
      </c>
      <c r="N445" s="2">
        <v>1.0000000000000002</v>
      </c>
      <c r="O445" s="10">
        <f t="shared" ref="O445:O447" si="597">-F443</f>
        <v>8.0891084438469568E-3</v>
      </c>
      <c r="Q445" s="2" cm="1">
        <f t="array" ref="Q445:Q447">MMULT(L445:N447,O445:O447)</f>
        <v>0</v>
      </c>
    </row>
    <row r="446" spans="1:17" x14ac:dyDescent="0.35">
      <c r="H446" s="2">
        <f t="shared" ref="H446" si="598">B$1*COS(C443)</f>
        <v>2.7362000605202486</v>
      </c>
      <c r="I446" s="2">
        <f t="shared" ref="I446" si="599">B$2*COS(C444)</f>
        <v>5.864685702323972</v>
      </c>
      <c r="J446" s="2">
        <f t="shared" ref="J446" si="600">-SIN(B$6)</f>
        <v>0</v>
      </c>
      <c r="L446" s="2">
        <v>0</v>
      </c>
      <c r="M446" s="2">
        <v>0.17051212132369423</v>
      </c>
      <c r="N446" s="2">
        <v>-0.46655527668532815</v>
      </c>
      <c r="O446" s="10">
        <f t="shared" si="597"/>
        <v>2.8061867182982425E-3</v>
      </c>
      <c r="Q446" s="2">
        <v>4.7848885016740929E-4</v>
      </c>
    </row>
    <row r="447" spans="1:17" x14ac:dyDescent="0.35">
      <c r="H447" s="2">
        <v>1</v>
      </c>
      <c r="I447" s="2">
        <v>0</v>
      </c>
      <c r="J447" s="2">
        <v>0</v>
      </c>
      <c r="L447" s="2">
        <v>-1</v>
      </c>
      <c r="M447" s="2">
        <v>-0.21605047248044593</v>
      </c>
      <c r="N447" s="2">
        <v>-0.63896838046886717</v>
      </c>
      <c r="O447" s="10">
        <f t="shared" si="597"/>
        <v>0</v>
      </c>
      <c r="Q447" s="2">
        <v>-8.6953864102036448E-3</v>
      </c>
    </row>
    <row r="450" spans="1:17" x14ac:dyDescent="0.35">
      <c r="A450" s="1" t="s">
        <v>9</v>
      </c>
      <c r="B450" s="2">
        <f t="shared" ref="B450" si="601">IF(AND((B441 = B432), ABS(B445-B436) &lt; 0.001),B441+0.1,B441)</f>
        <v>1.3</v>
      </c>
    </row>
    <row r="451" spans="1:17" x14ac:dyDescent="0.35">
      <c r="C451" s="1" t="s">
        <v>3</v>
      </c>
    </row>
    <row r="452" spans="1:17" x14ac:dyDescent="0.35">
      <c r="A452" s="1" t="s">
        <v>296</v>
      </c>
      <c r="B452" s="4">
        <f t="shared" ref="B452:B453" si="602">C452*180/PI()</f>
        <v>24.207466844277285</v>
      </c>
      <c r="C452" s="2">
        <f t="shared" ref="C452:C453" si="603">C443+Q445</f>
        <v>0.42250000000000004</v>
      </c>
      <c r="E452" s="7" t="s">
        <v>297</v>
      </c>
      <c r="F452" s="6">
        <f t="shared" ref="F452" si="604">-B454*COS(B$6)+B$1*COS(C452)+B$2*COS(C453)-B$3*COS(C$4)</f>
        <v>-6.7134138175044484E-7</v>
      </c>
      <c r="H452" s="11" t="s">
        <v>14</v>
      </c>
      <c r="I452" s="12"/>
      <c r="J452" s="13"/>
      <c r="L452" s="11" t="s">
        <v>298</v>
      </c>
      <c r="M452" s="12"/>
      <c r="N452" s="13"/>
      <c r="O452" s="14" t="s">
        <v>18</v>
      </c>
      <c r="Q452" s="16" t="s">
        <v>19</v>
      </c>
    </row>
    <row r="453" spans="1:17" x14ac:dyDescent="0.35">
      <c r="A453" s="1" t="s">
        <v>299</v>
      </c>
      <c r="B453" s="4">
        <f t="shared" si="602"/>
        <v>12.218811516640072</v>
      </c>
      <c r="C453" s="2">
        <f t="shared" si="603"/>
        <v>0.21325849164597113</v>
      </c>
      <c r="E453" s="7" t="s">
        <v>300</v>
      </c>
      <c r="F453" s="6">
        <f t="shared" ref="F453" si="605">-B454*SIN(B$6)+B$1*SIN(C452)+B$2*SIN(C453)-B$3*SIN(C$4)</f>
        <v>-1.4515570079254303E-7</v>
      </c>
      <c r="H453" s="8" t="s">
        <v>16</v>
      </c>
      <c r="I453" s="8" t="s">
        <v>15</v>
      </c>
      <c r="J453" s="9" t="s">
        <v>8</v>
      </c>
      <c r="L453" s="8" t="s">
        <v>16</v>
      </c>
      <c r="M453" s="8" t="s">
        <v>15</v>
      </c>
      <c r="N453" s="9" t="s">
        <v>8</v>
      </c>
      <c r="O453" s="15"/>
      <c r="Q453" s="17"/>
    </row>
    <row r="454" spans="1:17" x14ac:dyDescent="0.35">
      <c r="A454" s="1" t="s">
        <v>8</v>
      </c>
      <c r="B454" s="4">
        <f t="shared" ref="B454" si="606">B445+Q447</f>
        <v>8.6002794848778645</v>
      </c>
      <c r="C454" s="2"/>
      <c r="E454" s="7" t="s">
        <v>301</v>
      </c>
      <c r="F454" s="6">
        <f>C452-F$3*B450-0.5*(F$4)*B450^2</f>
        <v>0</v>
      </c>
      <c r="H454" s="2">
        <f t="shared" ref="H454" si="607">-B$1*SIN(C452)</f>
        <v>-1.2301256963452916</v>
      </c>
      <c r="I454" s="2">
        <f t="shared" ref="I454" si="608">-B$2*SIN(C453)</f>
        <v>-1.2698741584990074</v>
      </c>
      <c r="J454" s="2">
        <f t="shared" ref="J454" si="609">-COS(B$6)</f>
        <v>-1</v>
      </c>
      <c r="L454" s="2" cm="1">
        <f t="array" ref="L454:N456">MINVERSE(H454:J456)</f>
        <v>0</v>
      </c>
      <c r="M454" s="2">
        <v>0</v>
      </c>
      <c r="N454" s="2">
        <v>1.0000000000000002</v>
      </c>
      <c r="O454" s="10">
        <f t="shared" ref="O454:O456" si="610">-F452</f>
        <v>6.7134138175044484E-7</v>
      </c>
      <c r="Q454" s="2" cm="1">
        <f t="array" ref="Q454:Q456">MMULT(L454:N456,O454:O456)</f>
        <v>0</v>
      </c>
    </row>
    <row r="455" spans="1:17" x14ac:dyDescent="0.35">
      <c r="H455" s="2">
        <f t="shared" ref="H455" si="611">B$1*COS(C452)</f>
        <v>2.7362000605202486</v>
      </c>
      <c r="I455" s="2">
        <f t="shared" ref="I455" si="612">B$2*COS(C453)</f>
        <v>5.8640787530162344</v>
      </c>
      <c r="J455" s="2">
        <f t="shared" ref="J455" si="613">-SIN(B$6)</f>
        <v>0</v>
      </c>
      <c r="L455" s="2">
        <v>0</v>
      </c>
      <c r="M455" s="2">
        <v>0.17052976982712625</v>
      </c>
      <c r="N455" s="2">
        <v>-0.46660356652148699</v>
      </c>
      <c r="O455" s="10">
        <f t="shared" si="610"/>
        <v>1.4515570079254303E-7</v>
      </c>
      <c r="Q455" s="2">
        <v>2.4753368245247572E-8</v>
      </c>
    </row>
    <row r="456" spans="1:17" x14ac:dyDescent="0.35">
      <c r="H456" s="2">
        <v>1</v>
      </c>
      <c r="I456" s="2">
        <v>0</v>
      </c>
      <c r="J456" s="2">
        <v>0</v>
      </c>
      <c r="L456" s="2">
        <v>-1</v>
      </c>
      <c r="M456" s="2">
        <v>-0.21655134795825137</v>
      </c>
      <c r="N456" s="2">
        <v>-0.63759788495618286</v>
      </c>
      <c r="O456" s="10">
        <f t="shared" si="610"/>
        <v>0</v>
      </c>
      <c r="Q456" s="2">
        <v>-7.0277504442089466E-7</v>
      </c>
    </row>
    <row r="459" spans="1:17" x14ac:dyDescent="0.35">
      <c r="A459" s="1" t="s">
        <v>9</v>
      </c>
      <c r="B459" s="2">
        <f t="shared" ref="B459" si="614">IF(AND((B450 = B441), ABS(B454-B445) &lt; 0.001),B450+0.1,B450)</f>
        <v>1.3</v>
      </c>
    </row>
    <row r="460" spans="1:17" x14ac:dyDescent="0.35">
      <c r="C460" s="1" t="s">
        <v>3</v>
      </c>
    </row>
    <row r="461" spans="1:17" x14ac:dyDescent="0.35">
      <c r="A461" s="1" t="s">
        <v>302</v>
      </c>
      <c r="B461" s="4">
        <f t="shared" ref="B461:B462" si="615">C461*180/PI()</f>
        <v>24.207466844277285</v>
      </c>
      <c r="C461" s="2">
        <f t="shared" ref="C461:C462" si="616">C452+Q454</f>
        <v>0.42250000000000004</v>
      </c>
      <c r="E461" s="7" t="s">
        <v>303</v>
      </c>
      <c r="F461" s="6">
        <f t="shared" ref="F461" si="617">-B463*COS(B$6)+B$1*COS(C461)+B$2*COS(C462)-B$3*COS(C$4)</f>
        <v>-1.531435568635775E-16</v>
      </c>
      <c r="H461" s="11" t="s">
        <v>14</v>
      </c>
      <c r="I461" s="12"/>
      <c r="J461" s="13"/>
      <c r="L461" s="11" t="s">
        <v>304</v>
      </c>
      <c r="M461" s="12"/>
      <c r="N461" s="13"/>
      <c r="O461" s="14" t="s">
        <v>18</v>
      </c>
      <c r="Q461" s="16" t="s">
        <v>19</v>
      </c>
    </row>
    <row r="462" spans="1:17" x14ac:dyDescent="0.35">
      <c r="A462" s="1" t="s">
        <v>305</v>
      </c>
      <c r="B462" s="4">
        <f t="shared" si="615"/>
        <v>12.2188129349036</v>
      </c>
      <c r="C462" s="2">
        <f t="shared" si="616"/>
        <v>0.21325851639933938</v>
      </c>
      <c r="E462" s="7" t="s">
        <v>306</v>
      </c>
      <c r="F462" s="6">
        <f t="shared" ref="F462" si="618">-B463*SIN(B$6)+B$1*SIN(C461)+B$2*SIN(C462)-B$3*SIN(C$4)</f>
        <v>0</v>
      </c>
      <c r="H462" s="8" t="s">
        <v>16</v>
      </c>
      <c r="I462" s="8" t="s">
        <v>15</v>
      </c>
      <c r="J462" s="9" t="s">
        <v>8</v>
      </c>
      <c r="L462" s="8" t="s">
        <v>16</v>
      </c>
      <c r="M462" s="8" t="s">
        <v>15</v>
      </c>
      <c r="N462" s="9" t="s">
        <v>8</v>
      </c>
      <c r="O462" s="15"/>
      <c r="Q462" s="17"/>
    </row>
    <row r="463" spans="1:17" x14ac:dyDescent="0.35">
      <c r="A463" s="1" t="s">
        <v>8</v>
      </c>
      <c r="B463" s="4">
        <f t="shared" ref="B463" si="619">B454+Q456</f>
        <v>8.6002787821028193</v>
      </c>
      <c r="C463" s="2"/>
      <c r="E463" s="7" t="s">
        <v>307</v>
      </c>
      <c r="F463" s="6">
        <f>C461-F$3*B459-0.5*(F$4)*B459^2</f>
        <v>0</v>
      </c>
      <c r="H463" s="2">
        <f t="shared" ref="H463" si="620">-B$1*SIN(C461)</f>
        <v>-1.2301256963452916</v>
      </c>
      <c r="I463" s="2">
        <f t="shared" ref="I463" si="621">-B$2*SIN(C462)</f>
        <v>-1.2698743036547078</v>
      </c>
      <c r="J463" s="2">
        <f t="shared" ref="J463" si="622">-COS(B$6)</f>
        <v>-1</v>
      </c>
      <c r="L463" s="2" cm="1">
        <f t="array" ref="L463:N465">MINVERSE(H463:J465)</f>
        <v>0</v>
      </c>
      <c r="M463" s="2">
        <v>4.057535999082113E-17</v>
      </c>
      <c r="N463" s="2">
        <v>1</v>
      </c>
      <c r="O463" s="10">
        <f t="shared" ref="O463:O465" si="623">-F461</f>
        <v>1.531435568635775E-16</v>
      </c>
      <c r="Q463" s="2" cm="1">
        <f t="array" ref="Q463:Q465">MMULT(L463:N465,O463:O465)</f>
        <v>0</v>
      </c>
    </row>
    <row r="464" spans="1:17" x14ac:dyDescent="0.35">
      <c r="H464" s="2">
        <f t="shared" ref="H464" si="624">B$1*COS(C461)</f>
        <v>2.7362000605202486</v>
      </c>
      <c r="I464" s="2">
        <f t="shared" ref="I464" si="625">B$2*COS(C462)</f>
        <v>5.8640787215825707</v>
      </c>
      <c r="J464" s="2">
        <f t="shared" ref="J464" si="626">-SIN(B$6)</f>
        <v>0</v>
      </c>
      <c r="L464" s="2">
        <v>0</v>
      </c>
      <c r="M464" s="2">
        <v>0.17052977074122982</v>
      </c>
      <c r="N464" s="2">
        <v>-0.46660356902265721</v>
      </c>
      <c r="O464" s="10">
        <f t="shared" si="623"/>
        <v>0</v>
      </c>
      <c r="Q464" s="2">
        <v>0</v>
      </c>
    </row>
    <row r="465" spans="1:17" x14ac:dyDescent="0.35">
      <c r="H465" s="2">
        <v>1</v>
      </c>
      <c r="I465" s="2">
        <v>0</v>
      </c>
      <c r="J465" s="2">
        <v>0</v>
      </c>
      <c r="L465" s="2">
        <v>-1</v>
      </c>
      <c r="M465" s="2">
        <v>-0.21655137387241619</v>
      </c>
      <c r="N465" s="2">
        <v>-0.6375978140498435</v>
      </c>
      <c r="O465" s="10">
        <f t="shared" si="623"/>
        <v>0</v>
      </c>
      <c r="Q465" s="2">
        <v>-1.531435568635775E-16</v>
      </c>
    </row>
    <row r="468" spans="1:17" x14ac:dyDescent="0.35">
      <c r="A468" s="1" t="s">
        <v>9</v>
      </c>
      <c r="B468" s="2">
        <f t="shared" ref="B468" si="627">IF(AND((B459 = B450), ABS(B463-B454) &lt; 0.001),B459+0.1,B459)</f>
        <v>1.4000000000000001</v>
      </c>
    </row>
    <row r="469" spans="1:17" x14ac:dyDescent="0.35">
      <c r="C469" s="1" t="s">
        <v>3</v>
      </c>
    </row>
    <row r="470" spans="1:17" x14ac:dyDescent="0.35">
      <c r="A470" s="1" t="s">
        <v>308</v>
      </c>
      <c r="B470" s="4">
        <f t="shared" ref="B470:B471" si="628">C470*180/PI()</f>
        <v>24.207466844277285</v>
      </c>
      <c r="C470" s="2">
        <f t="shared" ref="C470:C471" si="629">C461+Q463</f>
        <v>0.42250000000000004</v>
      </c>
      <c r="E470" s="7" t="s">
        <v>309</v>
      </c>
      <c r="F470" s="6">
        <f t="shared" ref="F470" si="630">-B472*COS(B$6)+B$1*COS(C470)+B$2*COS(C471)-B$3*COS(C$4)</f>
        <v>-1.531435568635775E-16</v>
      </c>
      <c r="H470" s="11" t="s">
        <v>14</v>
      </c>
      <c r="I470" s="12"/>
      <c r="J470" s="13"/>
      <c r="L470" s="11" t="s">
        <v>310</v>
      </c>
      <c r="M470" s="12"/>
      <c r="N470" s="13"/>
      <c r="O470" s="14" t="s">
        <v>18</v>
      </c>
      <c r="Q470" s="16" t="s">
        <v>19</v>
      </c>
    </row>
    <row r="471" spans="1:17" x14ac:dyDescent="0.35">
      <c r="A471" s="1" t="s">
        <v>311</v>
      </c>
      <c r="B471" s="4">
        <f t="shared" si="628"/>
        <v>12.2188129349036</v>
      </c>
      <c r="C471" s="2">
        <f t="shared" si="629"/>
        <v>0.21325851639933938</v>
      </c>
      <c r="E471" s="7" t="s">
        <v>312</v>
      </c>
      <c r="F471" s="6">
        <f t="shared" ref="F471" si="631">-B472*SIN(B$6)+B$1*SIN(C470)+B$2*SIN(C471)-B$3*SIN(C$4)</f>
        <v>0</v>
      </c>
      <c r="H471" s="8" t="s">
        <v>16</v>
      </c>
      <c r="I471" s="8" t="s">
        <v>15</v>
      </c>
      <c r="J471" s="9" t="s">
        <v>8</v>
      </c>
      <c r="L471" s="8" t="s">
        <v>16</v>
      </c>
      <c r="M471" s="8" t="s">
        <v>15</v>
      </c>
      <c r="N471" s="9" t="s">
        <v>8</v>
      </c>
      <c r="O471" s="15"/>
      <c r="Q471" s="17"/>
    </row>
    <row r="472" spans="1:17" x14ac:dyDescent="0.35">
      <c r="A472" s="1" t="s">
        <v>8</v>
      </c>
      <c r="B472" s="4">
        <f t="shared" ref="B472" si="632">B463+Q465</f>
        <v>8.6002787821028193</v>
      </c>
      <c r="C472" s="2"/>
      <c r="E472" s="7" t="s">
        <v>313</v>
      </c>
      <c r="F472" s="6">
        <f>C470-F$3*B468-0.5*(F$4)*B468^2</f>
        <v>-6.750000000000006E-2</v>
      </c>
      <c r="H472" s="2">
        <f t="shared" ref="H472" si="633">-B$1*SIN(C470)</f>
        <v>-1.2301256963452916</v>
      </c>
      <c r="I472" s="2">
        <f t="shared" ref="I472" si="634">-B$2*SIN(C471)</f>
        <v>-1.2698743036547078</v>
      </c>
      <c r="J472" s="2">
        <f t="shared" ref="J472" si="635">-COS(B$6)</f>
        <v>-1</v>
      </c>
      <c r="L472" s="2" cm="1">
        <f t="array" ref="L472:N474">MINVERSE(H472:J474)</f>
        <v>0</v>
      </c>
      <c r="M472" s="2">
        <v>4.057535999082113E-17</v>
      </c>
      <c r="N472" s="2">
        <v>1</v>
      </c>
      <c r="O472" s="10">
        <f t="shared" ref="O472:O474" si="636">-F470</f>
        <v>1.531435568635775E-16</v>
      </c>
      <c r="Q472" s="2" cm="1">
        <f t="array" ref="Q472:Q474">MMULT(L472:N474,O472:O474)</f>
        <v>6.750000000000006E-2</v>
      </c>
    </row>
    <row r="473" spans="1:17" x14ac:dyDescent="0.35">
      <c r="H473" s="2">
        <f t="shared" ref="H473" si="637">B$1*COS(C470)</f>
        <v>2.7362000605202486</v>
      </c>
      <c r="I473" s="2">
        <f t="shared" ref="I473" si="638">B$2*COS(C471)</f>
        <v>5.8640787215825707</v>
      </c>
      <c r="J473" s="2">
        <f t="shared" ref="J473" si="639">-SIN(B$6)</f>
        <v>0</v>
      </c>
      <c r="L473" s="2">
        <v>0</v>
      </c>
      <c r="M473" s="2">
        <v>0.17052977074122982</v>
      </c>
      <c r="N473" s="2">
        <v>-0.46660356902265721</v>
      </c>
      <c r="O473" s="10">
        <f t="shared" si="636"/>
        <v>0</v>
      </c>
      <c r="Q473" s="2">
        <v>-3.1495740909029388E-2</v>
      </c>
    </row>
    <row r="474" spans="1:17" x14ac:dyDescent="0.35">
      <c r="H474" s="2">
        <v>1</v>
      </c>
      <c r="I474" s="2">
        <v>0</v>
      </c>
      <c r="J474" s="2">
        <v>0</v>
      </c>
      <c r="L474" s="2">
        <v>-1</v>
      </c>
      <c r="M474" s="2">
        <v>-0.21655137387241619</v>
      </c>
      <c r="N474" s="2">
        <v>-0.6375978140498435</v>
      </c>
      <c r="O474" s="10">
        <f t="shared" si="636"/>
        <v>6.750000000000006E-2</v>
      </c>
      <c r="Q474" s="2">
        <v>-4.3037852448364625E-2</v>
      </c>
    </row>
    <row r="477" spans="1:17" x14ac:dyDescent="0.35">
      <c r="A477" s="1" t="s">
        <v>9</v>
      </c>
      <c r="B477" s="2">
        <f t="shared" ref="B477" si="640">IF(AND((B468 = B459), ABS(B472-B463) &lt; 0.001),B468+0.1,B468)</f>
        <v>1.4000000000000001</v>
      </c>
    </row>
    <row r="478" spans="1:17" x14ac:dyDescent="0.35">
      <c r="C478" s="1" t="s">
        <v>3</v>
      </c>
    </row>
    <row r="479" spans="1:17" x14ac:dyDescent="0.35">
      <c r="A479" s="1" t="s">
        <v>314</v>
      </c>
      <c r="B479" s="4">
        <f t="shared" ref="B479:B480" si="641">C479*180/PI()</f>
        <v>28.074931961410343</v>
      </c>
      <c r="C479" s="2">
        <f t="shared" ref="C479:C480" si="642">C470+Q472</f>
        <v>0.4900000000000001</v>
      </c>
      <c r="E479" s="7" t="s">
        <v>315</v>
      </c>
      <c r="F479" s="6">
        <f t="shared" ref="F479" si="643">-B481*COS(B$6)+B$1*COS(C479)+B$2*COS(C480)-B$3*COS(C$4)</f>
        <v>-9.0829012978421025E-3</v>
      </c>
      <c r="H479" s="11" t="s">
        <v>14</v>
      </c>
      <c r="I479" s="12"/>
      <c r="J479" s="13"/>
      <c r="L479" s="11" t="s">
        <v>316</v>
      </c>
      <c r="M479" s="12"/>
      <c r="N479" s="13"/>
      <c r="O479" s="14" t="s">
        <v>18</v>
      </c>
      <c r="Q479" s="16" t="s">
        <v>19</v>
      </c>
    </row>
    <row r="480" spans="1:17" x14ac:dyDescent="0.35">
      <c r="A480" s="1" t="s">
        <v>317</v>
      </c>
      <c r="B480" s="4">
        <f t="shared" si="641"/>
        <v>10.414239908178685</v>
      </c>
      <c r="C480" s="2">
        <f t="shared" si="642"/>
        <v>0.18176277549031</v>
      </c>
      <c r="E480" s="7" t="s">
        <v>318</v>
      </c>
      <c r="F480" s="6">
        <f t="shared" ref="F480" si="644">-B481*SIN(B$6)+B$1*SIN(C479)+B$2*SIN(C480)-B$3*SIN(C$4)</f>
        <v>-3.5407959699673697E-3</v>
      </c>
      <c r="H480" s="8" t="s">
        <v>16</v>
      </c>
      <c r="I480" s="8" t="s">
        <v>15</v>
      </c>
      <c r="J480" s="9" t="s">
        <v>8</v>
      </c>
      <c r="L480" s="8" t="s">
        <v>16</v>
      </c>
      <c r="M480" s="8" t="s">
        <v>15</v>
      </c>
      <c r="N480" s="9" t="s">
        <v>8</v>
      </c>
      <c r="O480" s="15"/>
      <c r="Q480" s="17"/>
    </row>
    <row r="481" spans="1:17" x14ac:dyDescent="0.35">
      <c r="A481" s="1" t="s">
        <v>8</v>
      </c>
      <c r="B481" s="4">
        <f t="shared" ref="B481" si="645">B472+Q474</f>
        <v>8.5572409296544549</v>
      </c>
      <c r="C481" s="2"/>
      <c r="E481" s="7" t="s">
        <v>319</v>
      </c>
      <c r="F481" s="6">
        <f>C479-F$3*B477-0.5*(F$4)*B477^2</f>
        <v>0</v>
      </c>
      <c r="H481" s="2">
        <f t="shared" ref="H481" si="646">-B$1*SIN(C479)</f>
        <v>-1.4118776645134745</v>
      </c>
      <c r="I481" s="2">
        <f t="shared" ref="I481" si="647">-B$2*SIN(C480)</f>
        <v>-1.0845815395165581</v>
      </c>
      <c r="J481" s="2">
        <f t="shared" ref="J481" si="648">-COS(B$6)</f>
        <v>-1</v>
      </c>
      <c r="L481" s="2" cm="1">
        <f t="array" ref="L481:N483">MINVERSE(H481:J483)</f>
        <v>0</v>
      </c>
      <c r="M481" s="2">
        <v>0</v>
      </c>
      <c r="N481" s="2">
        <v>1</v>
      </c>
      <c r="O481" s="10">
        <f t="shared" ref="O481:O483" si="649">-F479</f>
        <v>9.0829012978421025E-3</v>
      </c>
      <c r="Q481" s="2" cm="1">
        <f t="array" ref="Q481:Q483">MMULT(L481:N483,O481:O483)</f>
        <v>0</v>
      </c>
    </row>
    <row r="482" spans="1:17" x14ac:dyDescent="0.35">
      <c r="H482" s="2">
        <f t="shared" ref="H482" si="650">B$1*COS(C479)</f>
        <v>2.6469985758303642</v>
      </c>
      <c r="I482" s="2">
        <f t="shared" ref="I482" si="651">B$2*COS(C480)</f>
        <v>5.9011594525262483</v>
      </c>
      <c r="J482" s="2">
        <f t="shared" ref="J482" si="652">-SIN(B$6)</f>
        <v>0</v>
      </c>
      <c r="L482" s="2">
        <v>0</v>
      </c>
      <c r="M482" s="2">
        <v>0.16945822393799348</v>
      </c>
      <c r="N482" s="2">
        <v>-0.44855567742661168</v>
      </c>
      <c r="O482" s="10">
        <f t="shared" si="649"/>
        <v>3.5407959699673697E-3</v>
      </c>
      <c r="Q482" s="2">
        <v>6.0001699639747536E-4</v>
      </c>
    </row>
    <row r="483" spans="1:17" x14ac:dyDescent="0.35">
      <c r="H483" s="2">
        <v>1</v>
      </c>
      <c r="I483" s="2">
        <v>0</v>
      </c>
      <c r="J483" s="2">
        <v>0</v>
      </c>
      <c r="L483" s="2">
        <v>-1</v>
      </c>
      <c r="M483" s="2">
        <v>-0.18379126140241064</v>
      </c>
      <c r="N483" s="2">
        <v>-0.92538245733122726</v>
      </c>
      <c r="O483" s="10">
        <f t="shared" si="649"/>
        <v>0</v>
      </c>
      <c r="Q483" s="2">
        <v>-9.7336686555309776E-3</v>
      </c>
    </row>
    <row r="486" spans="1:17" x14ac:dyDescent="0.35">
      <c r="A486" s="1" t="s">
        <v>9</v>
      </c>
      <c r="B486" s="2">
        <f t="shared" ref="B486" si="653">IF(AND((B477 = B468), ABS(B481-B472) &lt; 0.001),B477+0.1,B477)</f>
        <v>1.4000000000000001</v>
      </c>
    </row>
    <row r="487" spans="1:17" x14ac:dyDescent="0.35">
      <c r="C487" s="1" t="s">
        <v>3</v>
      </c>
    </row>
    <row r="488" spans="1:17" x14ac:dyDescent="0.35">
      <c r="A488" s="1" t="s">
        <v>320</v>
      </c>
      <c r="B488" s="4">
        <f t="shared" ref="B488:B489" si="654">C488*180/PI()</f>
        <v>28.074931961410343</v>
      </c>
      <c r="C488" s="2">
        <f t="shared" ref="C488:C489" si="655">C479+Q481</f>
        <v>0.4900000000000001</v>
      </c>
      <c r="E488" s="7" t="s">
        <v>321</v>
      </c>
      <c r="F488" s="6">
        <f t="shared" ref="F488" si="656">-B490*COS(B$6)+B$1*COS(C488)+B$2*COS(C489)-B$3*COS(C$4)</f>
        <v>-1.0622298002726399E-6</v>
      </c>
      <c r="H488" s="11" t="s">
        <v>14</v>
      </c>
      <c r="I488" s="12"/>
      <c r="J488" s="13"/>
      <c r="L488" s="11" t="s">
        <v>322</v>
      </c>
      <c r="M488" s="12"/>
      <c r="N488" s="13"/>
      <c r="O488" s="14" t="s">
        <v>18</v>
      </c>
      <c r="Q488" s="16" t="s">
        <v>19</v>
      </c>
    </row>
    <row r="489" spans="1:17" x14ac:dyDescent="0.35">
      <c r="A489" s="1" t="s">
        <v>323</v>
      </c>
      <c r="B489" s="4">
        <f t="shared" si="654"/>
        <v>10.448618349708378</v>
      </c>
      <c r="C489" s="2">
        <f t="shared" si="655"/>
        <v>0.18236279248670748</v>
      </c>
      <c r="E489" s="7" t="s">
        <v>324</v>
      </c>
      <c r="F489" s="6">
        <f t="shared" ref="F489" si="657">-B490*SIN(B$6)+B$1*SIN(C488)+B$2*SIN(C489)-B$3*SIN(C$4)</f>
        <v>-1.9544819140904224E-7</v>
      </c>
      <c r="H489" s="8" t="s">
        <v>16</v>
      </c>
      <c r="I489" s="8" t="s">
        <v>15</v>
      </c>
      <c r="J489" s="9" t="s">
        <v>8</v>
      </c>
      <c r="L489" s="8" t="s">
        <v>16</v>
      </c>
      <c r="M489" s="8" t="s">
        <v>15</v>
      </c>
      <c r="N489" s="9" t="s">
        <v>8</v>
      </c>
      <c r="O489" s="15"/>
      <c r="Q489" s="17"/>
    </row>
    <row r="490" spans="1:17" x14ac:dyDescent="0.35">
      <c r="A490" s="1" t="s">
        <v>8</v>
      </c>
      <c r="B490" s="4">
        <f t="shared" ref="B490" si="658">B481+Q483</f>
        <v>8.5475072609989233</v>
      </c>
      <c r="C490" s="2"/>
      <c r="E490" s="7" t="s">
        <v>325</v>
      </c>
      <c r="F490" s="6">
        <f>C488-F$3*B486-0.5*(F$4)*B486^2</f>
        <v>0</v>
      </c>
      <c r="H490" s="2">
        <f t="shared" ref="H490" si="659">-B$1*SIN(C488)</f>
        <v>-1.4118776645134745</v>
      </c>
      <c r="I490" s="2">
        <f t="shared" ref="I490" si="660">-B$2*SIN(C489)</f>
        <v>-1.0881221400383341</v>
      </c>
      <c r="J490" s="2">
        <f t="shared" ref="J490" si="661">-COS(B$6)</f>
        <v>-1</v>
      </c>
      <c r="L490" s="2" cm="1">
        <f t="array" ref="L490:N492">MINVERSE(H490:J492)</f>
        <v>0</v>
      </c>
      <c r="M490" s="2">
        <v>4.1942713334361326E-17</v>
      </c>
      <c r="N490" s="2">
        <v>1</v>
      </c>
      <c r="O490" s="10">
        <f t="shared" ref="O490:O492" si="662">-F488</f>
        <v>1.0622298002726399E-6</v>
      </c>
      <c r="Q490" s="2" cm="1">
        <f t="array" ref="Q490:Q492">MMULT(L490:N492,O490:O492)</f>
        <v>8.1976274639888408E-24</v>
      </c>
    </row>
    <row r="491" spans="1:17" x14ac:dyDescent="0.35">
      <c r="H491" s="2">
        <f t="shared" ref="H491" si="663">B$1*COS(C488)</f>
        <v>2.6469985758303642</v>
      </c>
      <c r="I491" s="2">
        <f t="shared" ref="I491" si="664">B$2*COS(C489)</f>
        <v>5.9005076229387585</v>
      </c>
      <c r="J491" s="2">
        <f t="shared" ref="J491" si="665">-SIN(B$6)</f>
        <v>0</v>
      </c>
      <c r="L491" s="2">
        <v>0</v>
      </c>
      <c r="M491" s="2">
        <v>0.16947694400264973</v>
      </c>
      <c r="N491" s="2">
        <v>-0.44860522941109626</v>
      </c>
      <c r="O491" s="10">
        <f t="shared" si="662"/>
        <v>1.9544819140904224E-7</v>
      </c>
      <c r="Q491" s="2">
        <v>3.3123962190849421E-8</v>
      </c>
    </row>
    <row r="492" spans="1:17" x14ac:dyDescent="0.35">
      <c r="H492" s="2">
        <v>1</v>
      </c>
      <c r="I492" s="2">
        <v>0</v>
      </c>
      <c r="J492" s="2">
        <v>0</v>
      </c>
      <c r="L492" s="2">
        <v>-1</v>
      </c>
      <c r="M492" s="2">
        <v>-0.18441161499532022</v>
      </c>
      <c r="N492" s="2">
        <v>-0.92374038225428445</v>
      </c>
      <c r="O492" s="10">
        <f t="shared" si="662"/>
        <v>0</v>
      </c>
      <c r="Q492" s="2">
        <v>-1.0982727168982959E-6</v>
      </c>
    </row>
    <row r="495" spans="1:17" x14ac:dyDescent="0.35">
      <c r="A495" s="1" t="s">
        <v>9</v>
      </c>
      <c r="B495" s="2">
        <f t="shared" ref="B495" si="666">IF(AND((B486 = B477), ABS(B490-B481) &lt; 0.001),B486+0.1,B486)</f>
        <v>1.4000000000000001</v>
      </c>
    </row>
    <row r="496" spans="1:17" x14ac:dyDescent="0.35">
      <c r="C496" s="1" t="s">
        <v>3</v>
      </c>
    </row>
    <row r="497" spans="1:17" x14ac:dyDescent="0.35">
      <c r="A497" s="1" t="s">
        <v>326</v>
      </c>
      <c r="B497" s="4">
        <f t="shared" ref="B497:B498" si="667">C497*180/PI()</f>
        <v>28.074931961410343</v>
      </c>
      <c r="C497" s="2">
        <f t="shared" ref="C497:C498" si="668">C488+Q490</f>
        <v>0.4900000000000001</v>
      </c>
      <c r="E497" s="7" t="s">
        <v>327</v>
      </c>
      <c r="F497" s="6">
        <f t="shared" ref="F497" si="669">-B499*COS(B$6)+B$1*COS(C497)+B$2*COS(C498)-B$3*COS(C$4)</f>
        <v>-2.8176788159639532E-15</v>
      </c>
      <c r="H497" s="11" t="s">
        <v>14</v>
      </c>
      <c r="I497" s="12"/>
      <c r="J497" s="13"/>
      <c r="L497" s="11" t="s">
        <v>328</v>
      </c>
      <c r="M497" s="12"/>
      <c r="N497" s="13"/>
      <c r="O497" s="14" t="s">
        <v>18</v>
      </c>
      <c r="Q497" s="16" t="s">
        <v>19</v>
      </c>
    </row>
    <row r="498" spans="1:17" x14ac:dyDescent="0.35">
      <c r="A498" s="1" t="s">
        <v>329</v>
      </c>
      <c r="B498" s="4">
        <f t="shared" si="667"/>
        <v>10.448620247571611</v>
      </c>
      <c r="C498" s="2">
        <f t="shared" si="668"/>
        <v>0.18236282561066966</v>
      </c>
      <c r="E498" s="7" t="s">
        <v>330</v>
      </c>
      <c r="F498" s="6">
        <f t="shared" ref="F498" si="670">-B499*SIN(B$6)+B$1*SIN(C497)+B$2*SIN(C498)-B$3*SIN(C$4)</f>
        <v>0</v>
      </c>
      <c r="H498" s="8" t="s">
        <v>16</v>
      </c>
      <c r="I498" s="8" t="s">
        <v>15</v>
      </c>
      <c r="J498" s="9" t="s">
        <v>8</v>
      </c>
      <c r="L498" s="8" t="s">
        <v>16</v>
      </c>
      <c r="M498" s="8" t="s">
        <v>15</v>
      </c>
      <c r="N498" s="9" t="s">
        <v>8</v>
      </c>
      <c r="O498" s="15"/>
      <c r="Q498" s="17"/>
    </row>
    <row r="499" spans="1:17" x14ac:dyDescent="0.35">
      <c r="A499" s="1" t="s">
        <v>8</v>
      </c>
      <c r="B499" s="4">
        <f t="shared" ref="B499" si="671">B490+Q492</f>
        <v>8.5475061627262061</v>
      </c>
      <c r="C499" s="2"/>
      <c r="E499" s="7" t="s">
        <v>331</v>
      </c>
      <c r="F499" s="6">
        <f>C497-F$3*B495-0.5*(F$4)*B495^2</f>
        <v>0</v>
      </c>
      <c r="H499" s="2">
        <f t="shared" ref="H499" si="672">-B$1*SIN(C497)</f>
        <v>-1.4118776645134745</v>
      </c>
      <c r="I499" s="2">
        <f t="shared" ref="I499" si="673">-B$2*SIN(C498)</f>
        <v>-1.0881223354865248</v>
      </c>
      <c r="J499" s="2">
        <f t="shared" ref="J499" si="674">-COS(B$6)</f>
        <v>-1</v>
      </c>
      <c r="L499" s="2" cm="1">
        <f t="array" ref="L499:N501">MINVERSE(H499:J501)</f>
        <v>0</v>
      </c>
      <c r="M499" s="2">
        <v>0</v>
      </c>
      <c r="N499" s="2">
        <v>1</v>
      </c>
      <c r="O499" s="10">
        <f t="shared" ref="O499:O501" si="675">-F497</f>
        <v>2.8176788159639532E-15</v>
      </c>
      <c r="Q499" s="2" cm="1">
        <f t="array" ref="Q499:Q501">MMULT(L499:N501,O499:O501)</f>
        <v>0</v>
      </c>
    </row>
    <row r="500" spans="1:17" x14ac:dyDescent="0.35">
      <c r="H500" s="2">
        <f t="shared" ref="H500" si="676">B$1*COS(C497)</f>
        <v>2.6469985758303642</v>
      </c>
      <c r="I500" s="2">
        <f t="shared" ref="I500" si="677">B$2*COS(C498)</f>
        <v>5.9005075868958388</v>
      </c>
      <c r="J500" s="2">
        <f t="shared" ref="J500" si="678">-SIN(B$6)</f>
        <v>0</v>
      </c>
      <c r="L500" s="2">
        <v>0</v>
      </c>
      <c r="M500" s="2">
        <v>0.16947694503789018</v>
      </c>
      <c r="N500" s="2">
        <v>-0.44860523215137621</v>
      </c>
      <c r="O500" s="10">
        <f t="shared" si="675"/>
        <v>0</v>
      </c>
      <c r="Q500" s="2">
        <v>0</v>
      </c>
    </row>
    <row r="501" spans="1:17" x14ac:dyDescent="0.35">
      <c r="H501" s="2">
        <v>1</v>
      </c>
      <c r="I501" s="2">
        <v>0</v>
      </c>
      <c r="J501" s="2">
        <v>0</v>
      </c>
      <c r="L501" s="2">
        <v>-1</v>
      </c>
      <c r="M501" s="2">
        <v>-0.18441164924575038</v>
      </c>
      <c r="N501" s="2">
        <v>-0.92374029159344451</v>
      </c>
      <c r="O501" s="10">
        <f t="shared" si="675"/>
        <v>0</v>
      </c>
      <c r="Q501" s="2">
        <v>-2.8176788159639532E-15</v>
      </c>
    </row>
    <row r="504" spans="1:17" x14ac:dyDescent="0.35">
      <c r="A504" s="1" t="s">
        <v>9</v>
      </c>
      <c r="B504" s="2">
        <f t="shared" ref="B504" si="679">IF(AND((B495 = B486), ABS(B499-B490) &lt; 0.001),B495+0.1,B495)</f>
        <v>1.5000000000000002</v>
      </c>
    </row>
    <row r="505" spans="1:17" x14ac:dyDescent="0.35">
      <c r="C505" s="1" t="s">
        <v>3</v>
      </c>
    </row>
    <row r="506" spans="1:17" x14ac:dyDescent="0.35">
      <c r="A506" s="1" t="s">
        <v>332</v>
      </c>
      <c r="B506" s="4">
        <f t="shared" ref="B506:B507" si="680">C506*180/PI()</f>
        <v>28.074931961410343</v>
      </c>
      <c r="C506" s="2">
        <f t="shared" ref="C506:C507" si="681">C497+Q499</f>
        <v>0.4900000000000001</v>
      </c>
      <c r="E506" s="7" t="s">
        <v>333</v>
      </c>
      <c r="F506" s="6">
        <f t="shared" ref="F506" si="682">-B508*COS(B$6)+B$1*COS(C506)+B$2*COS(C507)-B$3*COS(C$4)</f>
        <v>7.3503486283654773E-16</v>
      </c>
      <c r="H506" s="11" t="s">
        <v>14</v>
      </c>
      <c r="I506" s="12"/>
      <c r="J506" s="13"/>
      <c r="L506" s="11" t="s">
        <v>334</v>
      </c>
      <c r="M506" s="12"/>
      <c r="N506" s="13"/>
      <c r="O506" s="14" t="s">
        <v>18</v>
      </c>
      <c r="Q506" s="16" t="s">
        <v>19</v>
      </c>
    </row>
    <row r="507" spans="1:17" x14ac:dyDescent="0.35">
      <c r="A507" s="1" t="s">
        <v>335</v>
      </c>
      <c r="B507" s="4">
        <f t="shared" si="680"/>
        <v>10.448620247571611</v>
      </c>
      <c r="C507" s="2">
        <f t="shared" si="681"/>
        <v>0.18236282561066966</v>
      </c>
      <c r="E507" s="7" t="s">
        <v>336</v>
      </c>
      <c r="F507" s="6">
        <f t="shared" ref="F507" si="683">-B508*SIN(B$6)+B$1*SIN(C506)+B$2*SIN(C507)-B$3*SIN(C$4)</f>
        <v>0</v>
      </c>
      <c r="H507" s="8" t="s">
        <v>16</v>
      </c>
      <c r="I507" s="8" t="s">
        <v>15</v>
      </c>
      <c r="J507" s="9" t="s">
        <v>8</v>
      </c>
      <c r="L507" s="8" t="s">
        <v>16</v>
      </c>
      <c r="M507" s="8" t="s">
        <v>15</v>
      </c>
      <c r="N507" s="9" t="s">
        <v>8</v>
      </c>
      <c r="O507" s="15"/>
      <c r="Q507" s="17"/>
    </row>
    <row r="508" spans="1:17" x14ac:dyDescent="0.35">
      <c r="A508" s="1" t="s">
        <v>8</v>
      </c>
      <c r="B508" s="4">
        <f t="shared" ref="B508" si="684">B499+Q501</f>
        <v>8.5475061627262026</v>
      </c>
      <c r="C508" s="2"/>
      <c r="E508" s="7" t="s">
        <v>337</v>
      </c>
      <c r="F508" s="6">
        <f>C506-F$3*B504-0.5*(F$4)*B504^2</f>
        <v>-7.250000000000012E-2</v>
      </c>
      <c r="H508" s="2">
        <f t="shared" ref="H508" si="685">-B$1*SIN(C506)</f>
        <v>-1.4118776645134745</v>
      </c>
      <c r="I508" s="2">
        <f t="shared" ref="I508" si="686">-B$2*SIN(C507)</f>
        <v>-1.0881223354865248</v>
      </c>
      <c r="J508" s="2">
        <f t="shared" ref="J508" si="687">-COS(B$6)</f>
        <v>-1</v>
      </c>
      <c r="L508" s="2" cm="1">
        <f t="array" ref="L508:N510">MINVERSE(H508:J510)</f>
        <v>0</v>
      </c>
      <c r="M508" s="2">
        <v>0</v>
      </c>
      <c r="N508" s="2">
        <v>1</v>
      </c>
      <c r="O508" s="10">
        <f t="shared" ref="O508:O510" si="688">-F506</f>
        <v>-7.3503486283654773E-16</v>
      </c>
      <c r="Q508" s="2" cm="1">
        <f t="array" ref="Q508:Q510">MMULT(L508:N510,O508:O510)</f>
        <v>7.250000000000012E-2</v>
      </c>
    </row>
    <row r="509" spans="1:17" x14ac:dyDescent="0.35">
      <c r="H509" s="2">
        <f t="shared" ref="H509" si="689">B$1*COS(C506)</f>
        <v>2.6469985758303642</v>
      </c>
      <c r="I509" s="2">
        <f t="shared" ref="I509" si="690">B$2*COS(C507)</f>
        <v>5.9005075868958388</v>
      </c>
      <c r="J509" s="2">
        <f t="shared" ref="J509" si="691">-SIN(B$6)</f>
        <v>0</v>
      </c>
      <c r="L509" s="2">
        <v>0</v>
      </c>
      <c r="M509" s="2">
        <v>0.16947694503789018</v>
      </c>
      <c r="N509" s="2">
        <v>-0.44860523215137621</v>
      </c>
      <c r="O509" s="10">
        <f t="shared" si="688"/>
        <v>0</v>
      </c>
      <c r="Q509" s="2">
        <v>-3.2523879330974829E-2</v>
      </c>
    </row>
    <row r="510" spans="1:17" x14ac:dyDescent="0.35">
      <c r="H510" s="2">
        <v>1</v>
      </c>
      <c r="I510" s="2">
        <v>0</v>
      </c>
      <c r="J510" s="2">
        <v>0</v>
      </c>
      <c r="L510" s="2">
        <v>-1</v>
      </c>
      <c r="M510" s="2">
        <v>-0.18441164924575038</v>
      </c>
      <c r="N510" s="2">
        <v>-0.92374029159344451</v>
      </c>
      <c r="O510" s="10">
        <f t="shared" si="688"/>
        <v>7.250000000000012E-2</v>
      </c>
      <c r="Q510" s="2">
        <v>-6.6971171140524102E-2</v>
      </c>
    </row>
    <row r="513" spans="1:17" x14ac:dyDescent="0.35">
      <c r="A513" s="1" t="s">
        <v>9</v>
      </c>
      <c r="B513" s="2">
        <f t="shared" ref="B513" si="692">IF(AND((B504 = B495), ABS(B508-B499) &lt; 0.001),B504+0.1,B504)</f>
        <v>1.5000000000000002</v>
      </c>
    </row>
    <row r="514" spans="1:17" x14ac:dyDescent="0.35">
      <c r="C514" s="1" t="s">
        <v>3</v>
      </c>
    </row>
    <row r="515" spans="1:17" x14ac:dyDescent="0.35">
      <c r="A515" s="1" t="s">
        <v>338</v>
      </c>
      <c r="B515" s="4">
        <f t="shared" ref="B515:B516" si="693">C515*180/PI()</f>
        <v>32.228875976108817</v>
      </c>
      <c r="C515" s="2">
        <f t="shared" ref="C515:C516" si="694">C506+Q508</f>
        <v>0.56250000000000022</v>
      </c>
      <c r="E515" s="7" t="s">
        <v>339</v>
      </c>
      <c r="F515" s="6">
        <f t="shared" ref="F515" si="695">-B517*COS(B$6)+B$1*COS(C515)+B$2*COS(C516)-B$3*COS(C$4)</f>
        <v>-9.9906978148284614E-3</v>
      </c>
      <c r="H515" s="11" t="s">
        <v>14</v>
      </c>
      <c r="I515" s="12"/>
      <c r="J515" s="13"/>
      <c r="L515" s="11" t="s">
        <v>340</v>
      </c>
      <c r="M515" s="12"/>
      <c r="N515" s="13"/>
      <c r="O515" s="14" t="s">
        <v>18</v>
      </c>
      <c r="Q515" s="16" t="s">
        <v>19</v>
      </c>
    </row>
    <row r="516" spans="1:17" x14ac:dyDescent="0.35">
      <c r="A516" s="1" t="s">
        <v>341</v>
      </c>
      <c r="B516" s="4">
        <f t="shared" si="693"/>
        <v>8.5851392285139809</v>
      </c>
      <c r="C516" s="2">
        <f t="shared" si="694"/>
        <v>0.14983894627969482</v>
      </c>
      <c r="E516" s="7" t="s">
        <v>342</v>
      </c>
      <c r="F516" s="6">
        <f t="shared" ref="F516" si="696">-B517*SIN(B$6)+B$1*SIN(C515)+B$2*SIN(C516)-B$3*SIN(C$4)</f>
        <v>-4.4186677385171791E-3</v>
      </c>
      <c r="H516" s="8" t="s">
        <v>16</v>
      </c>
      <c r="I516" s="8" t="s">
        <v>15</v>
      </c>
      <c r="J516" s="9" t="s">
        <v>8</v>
      </c>
      <c r="L516" s="8" t="s">
        <v>16</v>
      </c>
      <c r="M516" s="8" t="s">
        <v>15</v>
      </c>
      <c r="N516" s="9" t="s">
        <v>8</v>
      </c>
      <c r="O516" s="15"/>
      <c r="Q516" s="17"/>
    </row>
    <row r="517" spans="1:17" x14ac:dyDescent="0.35">
      <c r="A517" s="1" t="s">
        <v>8</v>
      </c>
      <c r="B517" s="4">
        <f t="shared" ref="B517" si="697">B508+Q510</f>
        <v>8.480534991585678</v>
      </c>
      <c r="C517" s="2"/>
      <c r="E517" s="7" t="s">
        <v>343</v>
      </c>
      <c r="F517" s="6">
        <f>C515-F$3*B513-0.5*(F$4)*B513^2</f>
        <v>0</v>
      </c>
      <c r="H517" s="2">
        <f t="shared" ref="H517" si="698">-B$1*SIN(C515)</f>
        <v>-1.5999080206080611</v>
      </c>
      <c r="I517" s="2">
        <f t="shared" ref="I517" si="699">-B$2*SIN(C516)</f>
        <v>-0.89567331165342157</v>
      </c>
      <c r="J517" s="2">
        <f t="shared" ref="J517" si="700">-COS(B$6)</f>
        <v>-1</v>
      </c>
      <c r="L517" s="2" cm="1">
        <f t="array" ref="L517:N519">MINVERSE(H517:J519)</f>
        <v>0</v>
      </c>
      <c r="M517" s="2">
        <v>0</v>
      </c>
      <c r="N517" s="2">
        <v>1</v>
      </c>
      <c r="O517" s="10">
        <f t="shared" ref="O517:O519" si="701">-F515</f>
        <v>9.9906978148284614E-3</v>
      </c>
      <c r="Q517" s="2" cm="1">
        <f t="array" ref="Q517:Q519">MMULT(L517:N519,O517:O519)</f>
        <v>0</v>
      </c>
    </row>
    <row r="518" spans="1:17" x14ac:dyDescent="0.35">
      <c r="H518" s="2">
        <f t="shared" ref="H518" si="702">B$1*COS(C515)</f>
        <v>2.5377734976932036</v>
      </c>
      <c r="I518" s="2">
        <f t="shared" ref="I518" si="703">B$2*COS(C516)</f>
        <v>5.9327707960776461</v>
      </c>
      <c r="J518" s="2">
        <f t="shared" ref="J518" si="704">-SIN(B$6)</f>
        <v>0</v>
      </c>
      <c r="L518" s="2">
        <v>0</v>
      </c>
      <c r="M518" s="2">
        <v>0.16855530651228487</v>
      </c>
      <c r="N518" s="2">
        <v>-0.42775518976243121</v>
      </c>
      <c r="O518" s="10">
        <f t="shared" si="701"/>
        <v>4.4186677385171791E-3</v>
      </c>
      <c r="Q518" s="2">
        <v>7.4478989504170778E-4</v>
      </c>
    </row>
    <row r="519" spans="1:17" x14ac:dyDescent="0.35">
      <c r="H519" s="2">
        <v>1</v>
      </c>
      <c r="I519" s="2">
        <v>0</v>
      </c>
      <c r="J519" s="2">
        <v>0</v>
      </c>
      <c r="L519" s="2">
        <v>-1</v>
      </c>
      <c r="M519" s="2">
        <v>-0.15097048958061571</v>
      </c>
      <c r="N519" s="2">
        <v>-1.2167791132166068</v>
      </c>
      <c r="O519" s="10">
        <f t="shared" si="701"/>
        <v>0</v>
      </c>
      <c r="Q519" s="2">
        <v>-1.0657786246606472E-2</v>
      </c>
    </row>
    <row r="522" spans="1:17" x14ac:dyDescent="0.35">
      <c r="A522" s="1" t="s">
        <v>9</v>
      </c>
      <c r="B522" s="2">
        <f t="shared" ref="B522" si="705">IF(AND((B513 = B504), ABS(B517-B508) &lt; 0.001),B513+0.1,B513)</f>
        <v>1.5000000000000002</v>
      </c>
    </row>
    <row r="523" spans="1:17" x14ac:dyDescent="0.35">
      <c r="C523" s="1" t="s">
        <v>3</v>
      </c>
    </row>
    <row r="524" spans="1:17" x14ac:dyDescent="0.35">
      <c r="A524" s="1" t="s">
        <v>344</v>
      </c>
      <c r="B524" s="4">
        <f t="shared" ref="B524:B525" si="706">C524*180/PI()</f>
        <v>32.228875976108817</v>
      </c>
      <c r="C524" s="2">
        <f t="shared" ref="C524:C525" si="707">C515+Q517</f>
        <v>0.56250000000000022</v>
      </c>
      <c r="E524" s="7" t="s">
        <v>345</v>
      </c>
      <c r="F524" s="6">
        <f t="shared" ref="F524" si="708">-B526*COS(B$6)+B$1*COS(C524)+B$2*COS(C525)-B$3*COS(C$4)</f>
        <v>-1.6454277906174258E-6</v>
      </c>
      <c r="H524" s="11" t="s">
        <v>14</v>
      </c>
      <c r="I524" s="12"/>
      <c r="J524" s="13"/>
      <c r="L524" s="11" t="s">
        <v>346</v>
      </c>
      <c r="M524" s="12"/>
      <c r="N524" s="13"/>
      <c r="O524" s="14" t="s">
        <v>18</v>
      </c>
      <c r="Q524" s="16" t="s">
        <v>19</v>
      </c>
    </row>
    <row r="525" spans="1:17" x14ac:dyDescent="0.35">
      <c r="A525" s="1" t="s">
        <v>347</v>
      </c>
      <c r="B525" s="4">
        <f t="shared" si="706"/>
        <v>8.6278125461238631</v>
      </c>
      <c r="C525" s="2">
        <f t="shared" si="707"/>
        <v>0.15058373617473653</v>
      </c>
      <c r="E525" s="7" t="s">
        <v>348</v>
      </c>
      <c r="F525" s="6">
        <f t="shared" ref="F525" si="709">-B526*SIN(B$6)+B$1*SIN(C524)+B$2*SIN(C525)-B$3*SIN(C$4)</f>
        <v>-2.4882886506816249E-7</v>
      </c>
      <c r="H525" s="8" t="s">
        <v>16</v>
      </c>
      <c r="I525" s="8" t="s">
        <v>15</v>
      </c>
      <c r="J525" s="9" t="s">
        <v>8</v>
      </c>
      <c r="L525" s="8" t="s">
        <v>16</v>
      </c>
      <c r="M525" s="8" t="s">
        <v>15</v>
      </c>
      <c r="N525" s="9" t="s">
        <v>8</v>
      </c>
      <c r="O525" s="15"/>
      <c r="Q525" s="17"/>
    </row>
    <row r="526" spans="1:17" x14ac:dyDescent="0.35">
      <c r="A526" s="1" t="s">
        <v>8</v>
      </c>
      <c r="B526" s="4">
        <f t="shared" ref="B526" si="710">B517+Q519</f>
        <v>8.4698772053390723</v>
      </c>
      <c r="C526" s="2"/>
      <c r="E526" s="7" t="s">
        <v>349</v>
      </c>
      <c r="F526" s="6">
        <f>C524-F$3*B522-0.5*(F$4)*B522^2</f>
        <v>0</v>
      </c>
      <c r="H526" s="2">
        <f t="shared" ref="H526" si="711">-B$1*SIN(C524)</f>
        <v>-1.5999080206080611</v>
      </c>
      <c r="I526" s="2">
        <f t="shared" ref="I526" si="712">-B$2*SIN(C525)</f>
        <v>-0.90009173056307401</v>
      </c>
      <c r="J526" s="2">
        <f t="shared" ref="J526" si="713">-COS(B$6)</f>
        <v>-1</v>
      </c>
      <c r="L526" s="2" cm="1">
        <f t="array" ref="L526:N528">MINVERSE(H526:J528)</f>
        <v>0</v>
      </c>
      <c r="M526" s="2">
        <v>0</v>
      </c>
      <c r="N526" s="2">
        <v>1</v>
      </c>
      <c r="O526" s="10">
        <f t="shared" ref="O526:O528" si="714">-F524</f>
        <v>1.6454277906174258E-6</v>
      </c>
      <c r="Q526" s="2" cm="1">
        <f t="array" ref="Q526:Q528">MMULT(L526:N528,O526:O528)</f>
        <v>0</v>
      </c>
    </row>
    <row r="527" spans="1:17" x14ac:dyDescent="0.35">
      <c r="H527" s="2">
        <f t="shared" ref="H527" si="715">B$1*COS(C524)</f>
        <v>2.5377734976932036</v>
      </c>
      <c r="I527" s="2">
        <f t="shared" ref="I527" si="716">B$2*COS(C525)</f>
        <v>5.9321020622180782</v>
      </c>
      <c r="J527" s="2">
        <f t="shared" ref="J527" si="717">-SIN(B$6)</f>
        <v>0</v>
      </c>
      <c r="L527" s="2">
        <v>0</v>
      </c>
      <c r="M527" s="2">
        <v>0.16857430797913295</v>
      </c>
      <c r="N527" s="2">
        <v>-0.42780341118141557</v>
      </c>
      <c r="O527" s="10">
        <f t="shared" si="714"/>
        <v>2.4882886506816249E-7</v>
      </c>
      <c r="Q527" s="2">
        <v>4.1946153734098537E-8</v>
      </c>
    </row>
    <row r="528" spans="1:17" x14ac:dyDescent="0.35">
      <c r="H528" s="2">
        <v>1</v>
      </c>
      <c r="I528" s="2">
        <v>0</v>
      </c>
      <c r="J528" s="2">
        <v>0</v>
      </c>
      <c r="L528" s="2">
        <v>-1</v>
      </c>
      <c r="M528" s="2">
        <v>-0.15173234059741045</v>
      </c>
      <c r="N528" s="2">
        <v>-1.2148457078969945</v>
      </c>
      <c r="O528" s="10">
        <f t="shared" si="714"/>
        <v>0</v>
      </c>
      <c r="Q528" s="2">
        <v>-1.6831831767224153E-6</v>
      </c>
    </row>
    <row r="531" spans="1:17" x14ac:dyDescent="0.35">
      <c r="A531" s="1" t="s">
        <v>9</v>
      </c>
      <c r="B531" s="2">
        <f t="shared" ref="B531" si="718">IF(AND((B522 = B513), ABS(B526-B517) &lt; 0.001),B522+0.1,B522)</f>
        <v>1.5000000000000002</v>
      </c>
    </row>
    <row r="532" spans="1:17" x14ac:dyDescent="0.35">
      <c r="C532" s="1" t="s">
        <v>3</v>
      </c>
    </row>
    <row r="533" spans="1:17" x14ac:dyDescent="0.35">
      <c r="A533" s="1" t="s">
        <v>350</v>
      </c>
      <c r="B533" s="4">
        <f t="shared" ref="B533:B534" si="719">C533*180/PI()</f>
        <v>32.228875976108817</v>
      </c>
      <c r="C533" s="2">
        <f t="shared" ref="C533:C534" si="720">C524+Q526</f>
        <v>0.56250000000000022</v>
      </c>
      <c r="E533" s="7" t="s">
        <v>351</v>
      </c>
      <c r="F533" s="6">
        <f t="shared" ref="F533" si="721">-B535*COS(B$6)+B$1*COS(C533)+B$2*COS(C534)-B$3*COS(C$4)</f>
        <v>-5.4822140750643289E-15</v>
      </c>
      <c r="H533" s="11" t="s">
        <v>14</v>
      </c>
      <c r="I533" s="12"/>
      <c r="J533" s="13"/>
      <c r="L533" s="11" t="s">
        <v>352</v>
      </c>
      <c r="M533" s="12"/>
      <c r="N533" s="13"/>
      <c r="O533" s="14" t="s">
        <v>18</v>
      </c>
      <c r="Q533" s="16" t="s">
        <v>19</v>
      </c>
    </row>
    <row r="534" spans="1:17" x14ac:dyDescent="0.35">
      <c r="A534" s="1" t="s">
        <v>353</v>
      </c>
      <c r="B534" s="4">
        <f t="shared" si="719"/>
        <v>8.6278149494614382</v>
      </c>
      <c r="C534" s="2">
        <f t="shared" si="720"/>
        <v>0.15058377812089027</v>
      </c>
      <c r="E534" s="7" t="s">
        <v>354</v>
      </c>
      <c r="F534" s="6">
        <f t="shared" ref="F534" si="722">-B535*SIN(B$6)+B$1*SIN(C533)+B$2*SIN(C534)-B$3*SIN(C$4)</f>
        <v>0</v>
      </c>
      <c r="H534" s="8" t="s">
        <v>16</v>
      </c>
      <c r="I534" s="8" t="s">
        <v>15</v>
      </c>
      <c r="J534" s="9" t="s">
        <v>8</v>
      </c>
      <c r="L534" s="8" t="s">
        <v>16</v>
      </c>
      <c r="M534" s="8" t="s">
        <v>15</v>
      </c>
      <c r="N534" s="9" t="s">
        <v>8</v>
      </c>
      <c r="O534" s="15"/>
      <c r="Q534" s="17"/>
    </row>
    <row r="535" spans="1:17" x14ac:dyDescent="0.35">
      <c r="A535" s="1" t="s">
        <v>8</v>
      </c>
      <c r="B535" s="4">
        <f t="shared" ref="B535" si="723">B526+Q528</f>
        <v>8.4698755221558955</v>
      </c>
      <c r="C535" s="2"/>
      <c r="E535" s="7" t="s">
        <v>355</v>
      </c>
      <c r="F535" s="6">
        <f>C533-F$3*B531-0.5*(F$4)*B531^2</f>
        <v>0</v>
      </c>
      <c r="H535" s="2">
        <f t="shared" ref="H535" si="724">-B$1*SIN(C533)</f>
        <v>-1.5999080206080611</v>
      </c>
      <c r="I535" s="2">
        <f t="shared" ref="I535" si="725">-B$2*SIN(C534)</f>
        <v>-0.90009197939193841</v>
      </c>
      <c r="J535" s="2">
        <f t="shared" ref="J535" si="726">-COS(B$6)</f>
        <v>-1</v>
      </c>
      <c r="L535" s="2" cm="1">
        <f t="array" ref="L535:N537">MINVERSE(H535:J537)</f>
        <v>0</v>
      </c>
      <c r="M535" s="2">
        <v>4.3747916259442851E-17</v>
      </c>
      <c r="N535" s="2">
        <v>1</v>
      </c>
      <c r="O535" s="10">
        <f t="shared" ref="O535:O537" si="727">-F533</f>
        <v>5.4822140750643289E-15</v>
      </c>
      <c r="Q535" s="2" cm="1">
        <f t="array" ref="Q535:Q537">MMULT(L535:N537,O535:O537)</f>
        <v>0</v>
      </c>
    </row>
    <row r="536" spans="1:17" x14ac:dyDescent="0.35">
      <c r="H536" s="2">
        <f t="shared" ref="H536" si="728">B$1*COS(C533)</f>
        <v>2.5377734976932036</v>
      </c>
      <c r="I536" s="2">
        <f t="shared" ref="I536" si="729">B$2*COS(C534)</f>
        <v>5.9321020244626865</v>
      </c>
      <c r="J536" s="2">
        <f t="shared" ref="J536" si="730">-SIN(B$6)</f>
        <v>0</v>
      </c>
      <c r="L536" s="2">
        <v>0</v>
      </c>
      <c r="M536" s="2">
        <v>0.16857430905203913</v>
      </c>
      <c r="N536" s="2">
        <v>-0.42780341390420845</v>
      </c>
      <c r="O536" s="10">
        <f t="shared" si="727"/>
        <v>0</v>
      </c>
      <c r="Q536" s="2">
        <v>0</v>
      </c>
    </row>
    <row r="537" spans="1:17" x14ac:dyDescent="0.35">
      <c r="H537" s="2">
        <v>1</v>
      </c>
      <c r="I537" s="2">
        <v>0</v>
      </c>
      <c r="J537" s="2">
        <v>0</v>
      </c>
      <c r="L537" s="2">
        <v>-1</v>
      </c>
      <c r="M537" s="2">
        <v>-0.15173238350927831</v>
      </c>
      <c r="N537" s="2">
        <v>-1.2148455989963935</v>
      </c>
      <c r="O537" s="10">
        <f t="shared" si="727"/>
        <v>0</v>
      </c>
      <c r="Q537" s="2">
        <v>-5.4822140750643289E-15</v>
      </c>
    </row>
    <row r="540" spans="1:17" x14ac:dyDescent="0.35">
      <c r="A540" s="1" t="s">
        <v>9</v>
      </c>
      <c r="B540" s="2">
        <f t="shared" ref="B540" si="731">IF(AND((B531 = B522), ABS(B535-B526) &lt; 0.001),B531+0.1,B531)</f>
        <v>1.6000000000000003</v>
      </c>
    </row>
    <row r="541" spans="1:17" x14ac:dyDescent="0.35">
      <c r="C541" s="1" t="s">
        <v>3</v>
      </c>
    </row>
    <row r="542" spans="1:17" x14ac:dyDescent="0.35">
      <c r="A542" s="1" t="s">
        <v>356</v>
      </c>
      <c r="B542" s="4">
        <f t="shared" ref="B542:B543" si="732">C542*180/PI()</f>
        <v>32.228875976108817</v>
      </c>
      <c r="C542" s="2">
        <f t="shared" ref="C542:C543" si="733">C533+Q535</f>
        <v>0.56250000000000022</v>
      </c>
      <c r="E542" s="7" t="s">
        <v>357</v>
      </c>
      <c r="F542" s="6">
        <f t="shared" ref="F542" si="734">-B544*COS(B$6)+B$1*COS(C542)+B$2*COS(C543)-B$3*COS(C$4)</f>
        <v>-1.531435568635775E-16</v>
      </c>
      <c r="H542" s="11" t="s">
        <v>14</v>
      </c>
      <c r="I542" s="12"/>
      <c r="J542" s="13"/>
      <c r="L542" s="11" t="s">
        <v>358</v>
      </c>
      <c r="M542" s="12"/>
      <c r="N542" s="13"/>
      <c r="O542" s="14" t="s">
        <v>18</v>
      </c>
      <c r="Q542" s="16" t="s">
        <v>19</v>
      </c>
    </row>
    <row r="543" spans="1:17" x14ac:dyDescent="0.35">
      <c r="A543" s="1" t="s">
        <v>359</v>
      </c>
      <c r="B543" s="4">
        <f t="shared" si="732"/>
        <v>8.6278149494614382</v>
      </c>
      <c r="C543" s="2">
        <f t="shared" si="733"/>
        <v>0.15058377812089027</v>
      </c>
      <c r="E543" s="7" t="s">
        <v>360</v>
      </c>
      <c r="F543" s="6">
        <f t="shared" ref="F543" si="735">-B544*SIN(B$6)+B$1*SIN(C542)+B$2*SIN(C543)-B$3*SIN(C$4)</f>
        <v>0</v>
      </c>
      <c r="H543" s="8" t="s">
        <v>16</v>
      </c>
      <c r="I543" s="8" t="s">
        <v>15</v>
      </c>
      <c r="J543" s="9" t="s">
        <v>8</v>
      </c>
      <c r="L543" s="8" t="s">
        <v>16</v>
      </c>
      <c r="M543" s="8" t="s">
        <v>15</v>
      </c>
      <c r="N543" s="9" t="s">
        <v>8</v>
      </c>
      <c r="O543" s="15"/>
      <c r="Q543" s="17"/>
    </row>
    <row r="544" spans="1:17" x14ac:dyDescent="0.35">
      <c r="A544" s="1" t="s">
        <v>8</v>
      </c>
      <c r="B544" s="4">
        <f t="shared" ref="B544" si="736">B535+Q537</f>
        <v>8.4698755221558901</v>
      </c>
      <c r="C544" s="2"/>
      <c r="E544" s="7" t="s">
        <v>361</v>
      </c>
      <c r="F544" s="6">
        <f>C542-F$3*B540-0.5*(F$4)*B540^2</f>
        <v>-7.7500000000000013E-2</v>
      </c>
      <c r="H544" s="2">
        <f t="shared" ref="H544" si="737">-B$1*SIN(C542)</f>
        <v>-1.5999080206080611</v>
      </c>
      <c r="I544" s="2">
        <f t="shared" ref="I544" si="738">-B$2*SIN(C543)</f>
        <v>-0.90009197939193841</v>
      </c>
      <c r="J544" s="2">
        <f t="shared" ref="J544" si="739">-COS(B$6)</f>
        <v>-1</v>
      </c>
      <c r="L544" s="2" cm="1">
        <f t="array" ref="L544:N546">MINVERSE(H544:J546)</f>
        <v>0</v>
      </c>
      <c r="M544" s="2">
        <v>4.3747916259442851E-17</v>
      </c>
      <c r="N544" s="2">
        <v>1</v>
      </c>
      <c r="O544" s="10">
        <f t="shared" ref="O544:O546" si="740">-F542</f>
        <v>1.531435568635775E-16</v>
      </c>
      <c r="Q544" s="2" cm="1">
        <f t="array" ref="Q544:Q546">MMULT(L544:N546,O544:O546)</f>
        <v>7.7500000000000013E-2</v>
      </c>
    </row>
    <row r="545" spans="1:17" x14ac:dyDescent="0.35">
      <c r="H545" s="2">
        <f t="shared" ref="H545" si="741">B$1*COS(C542)</f>
        <v>2.5377734976932036</v>
      </c>
      <c r="I545" s="2">
        <f t="shared" ref="I545" si="742">B$2*COS(C543)</f>
        <v>5.9321020244626865</v>
      </c>
      <c r="J545" s="2">
        <f t="shared" ref="J545" si="743">-SIN(B$6)</f>
        <v>0</v>
      </c>
      <c r="L545" s="2">
        <v>0</v>
      </c>
      <c r="M545" s="2">
        <v>0.16857430905203913</v>
      </c>
      <c r="N545" s="2">
        <v>-0.42780341390420845</v>
      </c>
      <c r="O545" s="10">
        <f t="shared" si="740"/>
        <v>0</v>
      </c>
      <c r="Q545" s="2">
        <v>-3.3154764577576164E-2</v>
      </c>
    </row>
    <row r="546" spans="1:17" x14ac:dyDescent="0.35">
      <c r="H546" s="2">
        <v>1</v>
      </c>
      <c r="I546" s="2">
        <v>0</v>
      </c>
      <c r="J546" s="2">
        <v>0</v>
      </c>
      <c r="L546" s="2">
        <v>-1</v>
      </c>
      <c r="M546" s="2">
        <v>-0.15173238350927831</v>
      </c>
      <c r="N546" s="2">
        <v>-1.2148455989963935</v>
      </c>
      <c r="O546" s="10">
        <f t="shared" si="740"/>
        <v>7.7500000000000013E-2</v>
      </c>
      <c r="Q546" s="2">
        <v>-9.4150533922220669E-2</v>
      </c>
    </row>
    <row r="549" spans="1:17" x14ac:dyDescent="0.35">
      <c r="A549" s="1" t="s">
        <v>9</v>
      </c>
      <c r="B549" s="2">
        <f t="shared" ref="B549" si="744">IF(AND((B540 = B531), ABS(B544-B535) &lt; 0.001),B540+0.1,B540)</f>
        <v>1.6000000000000003</v>
      </c>
    </row>
    <row r="550" spans="1:17" x14ac:dyDescent="0.35">
      <c r="C550" s="1" t="s">
        <v>3</v>
      </c>
    </row>
    <row r="551" spans="1:17" x14ac:dyDescent="0.35">
      <c r="A551" s="1" t="s">
        <v>362</v>
      </c>
      <c r="B551" s="4">
        <f t="shared" ref="B551:B552" si="745">C551*180/PI()</f>
        <v>36.669298888372701</v>
      </c>
      <c r="C551" s="2">
        <f t="shared" ref="C551:C552" si="746">C542+Q544</f>
        <v>0.64000000000000024</v>
      </c>
      <c r="E551" s="7" t="s">
        <v>363</v>
      </c>
      <c r="F551" s="6">
        <f t="shared" ref="F551" si="747">-B553*COS(B$6)+B$1*COS(C551)+B$2*COS(C552)-B$3*COS(C$4)</f>
        <v>-1.0758918009266136E-2</v>
      </c>
      <c r="H551" s="11" t="s">
        <v>14</v>
      </c>
      <c r="I551" s="12"/>
      <c r="J551" s="13"/>
      <c r="L551" s="11" t="s">
        <v>364</v>
      </c>
      <c r="M551" s="12"/>
      <c r="N551" s="13"/>
      <c r="O551" s="14" t="s">
        <v>18</v>
      </c>
      <c r="Q551" s="16" t="s">
        <v>19</v>
      </c>
    </row>
    <row r="552" spans="1:17" x14ac:dyDescent="0.35">
      <c r="A552" s="1" t="s">
        <v>365</v>
      </c>
      <c r="B552" s="4">
        <f t="shared" si="745"/>
        <v>6.7281868684164836</v>
      </c>
      <c r="C552" s="2">
        <f t="shared" si="746"/>
        <v>0.11742901354331411</v>
      </c>
      <c r="E552" s="7" t="s">
        <v>366</v>
      </c>
      <c r="F552" s="6">
        <f t="shared" ref="F552" si="748">-B553*SIN(B$6)+B$1*SIN(C551)+B$2*SIN(C552)-B$3*SIN(C$4)</f>
        <v>-5.4577745300208313E-3</v>
      </c>
      <c r="H552" s="8" t="s">
        <v>16</v>
      </c>
      <c r="I552" s="8" t="s">
        <v>15</v>
      </c>
      <c r="J552" s="9" t="s">
        <v>8</v>
      </c>
      <c r="L552" s="8" t="s">
        <v>16</v>
      </c>
      <c r="M552" s="8" t="s">
        <v>15</v>
      </c>
      <c r="N552" s="9" t="s">
        <v>8</v>
      </c>
      <c r="O552" s="15"/>
      <c r="Q552" s="17"/>
    </row>
    <row r="553" spans="1:17" x14ac:dyDescent="0.35">
      <c r="A553" s="1" t="s">
        <v>8</v>
      </c>
      <c r="B553" s="4">
        <f t="shared" ref="B553" si="749">B544+Q546</f>
        <v>8.3757249882336691</v>
      </c>
      <c r="C553" s="2"/>
      <c r="E553" s="7" t="s">
        <v>367</v>
      </c>
      <c r="F553" s="6">
        <f>C551-F$3*B549-0.5*(F$4)*B549^2</f>
        <v>0</v>
      </c>
      <c r="H553" s="2">
        <f t="shared" ref="H553" si="750">-B$1*SIN(C551)</f>
        <v>-1.7915863240871768</v>
      </c>
      <c r="I553" s="2">
        <f t="shared" ref="I553" si="751">-B$2*SIN(C552)</f>
        <v>-0.7029559013828024</v>
      </c>
      <c r="J553" s="2">
        <f t="shared" ref="J553" si="752">-COS(B$6)</f>
        <v>-1</v>
      </c>
      <c r="L553" s="2" cm="1">
        <f t="array" ref="L553:N555">MINVERSE(H553:J555)</f>
        <v>0</v>
      </c>
      <c r="M553" s="2">
        <v>-9.2276847970839045E-17</v>
      </c>
      <c r="N553" s="2">
        <v>1.0000000000000002</v>
      </c>
      <c r="O553" s="10">
        <f t="shared" ref="O553:O555" si="753">-F551</f>
        <v>1.0758918009266136E-2</v>
      </c>
      <c r="Q553" s="2" cm="1">
        <f t="array" ref="Q553:Q555">MMULT(L553:N555,O553:O555)</f>
        <v>-5.0362623056584976E-19</v>
      </c>
    </row>
    <row r="554" spans="1:17" x14ac:dyDescent="0.35">
      <c r="H554" s="2">
        <f t="shared" ref="H554" si="754">B$1*COS(C551)</f>
        <v>2.4062872736528771</v>
      </c>
      <c r="I554" s="2">
        <f t="shared" ref="I554" si="755">B$2*COS(C552)</f>
        <v>5.958678796571526</v>
      </c>
      <c r="J554" s="2">
        <f t="shared" ref="J554" si="756">-SIN(B$6)</f>
        <v>0</v>
      </c>
      <c r="L554" s="2">
        <v>0</v>
      </c>
      <c r="M554" s="2">
        <v>0.16782243751339224</v>
      </c>
      <c r="N554" s="2">
        <v>-0.4038289956218809</v>
      </c>
      <c r="O554" s="10">
        <f t="shared" si="753"/>
        <v>5.4577745300208313E-3</v>
      </c>
      <c r="Q554" s="2">
        <v>9.1593702502660462E-4</v>
      </c>
    </row>
    <row r="555" spans="1:17" x14ac:dyDescent="0.35">
      <c r="H555" s="2">
        <v>1</v>
      </c>
      <c r="I555" s="2">
        <v>0</v>
      </c>
      <c r="J555" s="2">
        <v>0</v>
      </c>
      <c r="L555" s="2">
        <v>-1</v>
      </c>
      <c r="M555" s="2">
        <v>-0.11797177283448559</v>
      </c>
      <c r="N555" s="2">
        <v>-1.5077123484652859</v>
      </c>
      <c r="O555" s="10">
        <f t="shared" si="753"/>
        <v>0</v>
      </c>
      <c r="Q555" s="2">
        <v>-1.1402781346303594E-2</v>
      </c>
    </row>
    <row r="558" spans="1:17" x14ac:dyDescent="0.35">
      <c r="A558" s="1" t="s">
        <v>9</v>
      </c>
      <c r="B558" s="2">
        <f t="shared" ref="B558" si="757">IF(AND((B549 = B540), ABS(B553-B544) &lt; 0.001),B549+0.1,B549)</f>
        <v>1.6000000000000003</v>
      </c>
    </row>
    <row r="559" spans="1:17" x14ac:dyDescent="0.35">
      <c r="C559" s="1" t="s">
        <v>3</v>
      </c>
    </row>
    <row r="560" spans="1:17" x14ac:dyDescent="0.35">
      <c r="A560" s="1" t="s">
        <v>368</v>
      </c>
      <c r="B560" s="4">
        <f t="shared" ref="B560:B561" si="758">C560*180/PI()</f>
        <v>36.669298888372701</v>
      </c>
      <c r="C560" s="2">
        <f t="shared" ref="C560:C561" si="759">C551+Q553</f>
        <v>0.64000000000000024</v>
      </c>
      <c r="E560" s="7" t="s">
        <v>369</v>
      </c>
      <c r="F560" s="6">
        <f t="shared" ref="F560" si="760">-B562*COS(B$6)+B$1*COS(C560)+B$2*COS(C561)-B$3*COS(C$4)</f>
        <v>-2.4993986810639018E-6</v>
      </c>
      <c r="H560" s="11" t="s">
        <v>14</v>
      </c>
      <c r="I560" s="12"/>
      <c r="J560" s="13"/>
      <c r="L560" s="11" t="s">
        <v>370</v>
      </c>
      <c r="M560" s="12"/>
      <c r="N560" s="13"/>
      <c r="O560" s="14" t="s">
        <v>18</v>
      </c>
      <c r="Q560" s="16" t="s">
        <v>19</v>
      </c>
    </row>
    <row r="561" spans="1:17" x14ac:dyDescent="0.35">
      <c r="A561" s="1" t="s">
        <v>371</v>
      </c>
      <c r="B561" s="4">
        <f t="shared" si="758"/>
        <v>6.7806661942502764</v>
      </c>
      <c r="C561" s="2">
        <f t="shared" si="759"/>
        <v>0.11834495056834073</v>
      </c>
      <c r="E561" s="7" t="s">
        <v>372</v>
      </c>
      <c r="F561" s="6">
        <f t="shared" ref="F561" si="761">-B562*SIN(B$6)+B$1*SIN(C560)+B$2*SIN(C561)-B$3*SIN(C$4)</f>
        <v>-2.9563223868933619E-7</v>
      </c>
      <c r="H561" s="8" t="s">
        <v>16</v>
      </c>
      <c r="I561" s="8" t="s">
        <v>15</v>
      </c>
      <c r="J561" s="9" t="s">
        <v>8</v>
      </c>
      <c r="L561" s="8" t="s">
        <v>16</v>
      </c>
      <c r="M561" s="8" t="s">
        <v>15</v>
      </c>
      <c r="N561" s="9" t="s">
        <v>8</v>
      </c>
      <c r="O561" s="15"/>
      <c r="Q561" s="17"/>
    </row>
    <row r="562" spans="1:17" x14ac:dyDescent="0.35">
      <c r="A562" s="1" t="s">
        <v>8</v>
      </c>
      <c r="B562" s="4">
        <f t="shared" ref="B562" si="762">B553+Q555</f>
        <v>8.3643222068873655</v>
      </c>
      <c r="C562" s="2"/>
      <c r="E562" s="7" t="s">
        <v>373</v>
      </c>
      <c r="F562" s="6">
        <f>C560-F$3*B558-0.5*(F$4)*B558^2</f>
        <v>0</v>
      </c>
      <c r="H562" s="2">
        <f t="shared" ref="H562" si="763">-B$1*SIN(C560)</f>
        <v>-1.7915863240871768</v>
      </c>
      <c r="I562" s="2">
        <f t="shared" ref="I562" si="764">-B$2*SIN(C561)</f>
        <v>-0.70841338028058443</v>
      </c>
      <c r="J562" s="2">
        <f t="shared" ref="J562" si="765">-COS(B$6)</f>
        <v>-1</v>
      </c>
      <c r="L562" s="2" cm="1">
        <f t="array" ref="L562:N564">MINVERSE(H562:J564)</f>
        <v>0</v>
      </c>
      <c r="M562" s="2">
        <v>4.6138423985419522E-17</v>
      </c>
      <c r="N562" s="2">
        <v>1</v>
      </c>
      <c r="O562" s="10">
        <f t="shared" ref="O562:O564" si="766">-F560</f>
        <v>2.4993986810639018E-6</v>
      </c>
      <c r="Q562" s="2" cm="1">
        <f t="array" ref="Q562:Q564">MMULT(L562:N564,O562:O564)</f>
        <v>1.3640005572407338E-23</v>
      </c>
    </row>
    <row r="563" spans="1:17" x14ac:dyDescent="0.35">
      <c r="H563" s="2">
        <f t="shared" ref="H563" si="767">B$1*COS(C560)</f>
        <v>2.4062872736528771</v>
      </c>
      <c r="I563" s="2">
        <f t="shared" ref="I563" si="768">B$2*COS(C561)</f>
        <v>5.9580324338358075</v>
      </c>
      <c r="J563" s="2">
        <f t="shared" ref="J563" si="769">-SIN(B$6)</f>
        <v>0</v>
      </c>
      <c r="L563" s="2">
        <v>0</v>
      </c>
      <c r="M563" s="2">
        <v>0.16784064388790101</v>
      </c>
      <c r="N563" s="2">
        <v>-0.40387280538916076</v>
      </c>
      <c r="O563" s="10">
        <f t="shared" si="766"/>
        <v>2.9563223868933619E-7</v>
      </c>
      <c r="Q563" s="2">
        <v>4.961910529563983E-8</v>
      </c>
    </row>
    <row r="564" spans="1:17" x14ac:dyDescent="0.35">
      <c r="H564" s="2">
        <v>1</v>
      </c>
      <c r="I564" s="2">
        <v>0</v>
      </c>
      <c r="J564" s="2">
        <v>0</v>
      </c>
      <c r="L564" s="2">
        <v>-1</v>
      </c>
      <c r="M564" s="2">
        <v>-0.11890055788509778</v>
      </c>
      <c r="N564" s="2">
        <v>-1.5054774248180387</v>
      </c>
      <c r="O564" s="10">
        <f t="shared" si="766"/>
        <v>0</v>
      </c>
      <c r="Q564" s="2">
        <v>-2.5345495191728843E-6</v>
      </c>
    </row>
    <row r="567" spans="1:17" x14ac:dyDescent="0.35">
      <c r="A567" s="1" t="s">
        <v>9</v>
      </c>
      <c r="B567" s="2">
        <f t="shared" ref="B567" si="770">IF(AND((B558 = B549), ABS(B562-B553) &lt; 0.001),B558+0.1,B558)</f>
        <v>1.6000000000000003</v>
      </c>
    </row>
    <row r="568" spans="1:17" x14ac:dyDescent="0.35">
      <c r="C568" s="1" t="s">
        <v>3</v>
      </c>
    </row>
    <row r="569" spans="1:17" x14ac:dyDescent="0.35">
      <c r="A569" s="1" t="s">
        <v>374</v>
      </c>
      <c r="B569" s="4">
        <f t="shared" ref="B569:B570" si="771">C569*180/PI()</f>
        <v>36.669298888372701</v>
      </c>
      <c r="C569" s="2">
        <f t="shared" ref="C569:C570" si="772">C560+Q562</f>
        <v>0.64000000000000024</v>
      </c>
      <c r="E569" s="7" t="s">
        <v>375</v>
      </c>
      <c r="F569" s="6">
        <f t="shared" ref="F569" si="773">-B571*COS(B$6)+B$1*COS(C569)+B$2*COS(C570)-B$3*COS(C$4)</f>
        <v>-7.2585709144645794E-15</v>
      </c>
      <c r="H569" s="11" t="s">
        <v>14</v>
      </c>
      <c r="I569" s="12"/>
      <c r="J569" s="13"/>
      <c r="L569" s="11" t="s">
        <v>376</v>
      </c>
      <c r="M569" s="12"/>
      <c r="N569" s="13"/>
      <c r="O569" s="14" t="s">
        <v>18</v>
      </c>
      <c r="Q569" s="16" t="s">
        <v>19</v>
      </c>
    </row>
    <row r="570" spans="1:17" x14ac:dyDescent="0.35">
      <c r="A570" s="1" t="s">
        <v>377</v>
      </c>
      <c r="B570" s="4">
        <f t="shared" si="771"/>
        <v>6.7806690372155938</v>
      </c>
      <c r="C570" s="2">
        <f t="shared" si="772"/>
        <v>0.11834500018744602</v>
      </c>
      <c r="E570" s="7" t="s">
        <v>378</v>
      </c>
      <c r="F570" s="6">
        <f t="shared" ref="F570" si="774">-B571*SIN(B$6)+B$1*SIN(C569)+B$2*SIN(C570)-B$3*SIN(C$4)</f>
        <v>0</v>
      </c>
      <c r="H570" s="8" t="s">
        <v>16</v>
      </c>
      <c r="I570" s="8" t="s">
        <v>15</v>
      </c>
      <c r="J570" s="9" t="s">
        <v>8</v>
      </c>
      <c r="L570" s="8" t="s">
        <v>16</v>
      </c>
      <c r="M570" s="8" t="s">
        <v>15</v>
      </c>
      <c r="N570" s="9" t="s">
        <v>8</v>
      </c>
      <c r="O570" s="15"/>
      <c r="Q570" s="17"/>
    </row>
    <row r="571" spans="1:17" x14ac:dyDescent="0.35">
      <c r="A571" s="1" t="s">
        <v>8</v>
      </c>
      <c r="B571" s="4">
        <f t="shared" ref="B571" si="775">B562+Q564</f>
        <v>8.3643196723378459</v>
      </c>
      <c r="C571" s="2"/>
      <c r="E571" s="7" t="s">
        <v>379</v>
      </c>
      <c r="F571" s="6">
        <f>C569-F$3*B567-0.5*(F$4)*B567^2</f>
        <v>0</v>
      </c>
      <c r="H571" s="2">
        <f t="shared" ref="H571" si="776">-B$1*SIN(C569)</f>
        <v>-1.7915863240871768</v>
      </c>
      <c r="I571" s="2">
        <f t="shared" ref="I571" si="777">-B$2*SIN(C570)</f>
        <v>-0.70841367591282234</v>
      </c>
      <c r="J571" s="2">
        <f t="shared" ref="J571" si="778">-COS(B$6)</f>
        <v>-1</v>
      </c>
      <c r="L571" s="2" cm="1">
        <f t="array" ref="L571:N573">MINVERSE(H571:J573)</f>
        <v>0</v>
      </c>
      <c r="M571" s="2">
        <v>0</v>
      </c>
      <c r="N571" s="2">
        <v>0.99999999999999978</v>
      </c>
      <c r="O571" s="10">
        <f t="shared" ref="O571:O573" si="779">-F569</f>
        <v>7.2585709144645794E-15</v>
      </c>
      <c r="Q571" s="2" cm="1">
        <f t="array" ref="Q571:Q573">MMULT(L571:N573,O571:O573)</f>
        <v>0</v>
      </c>
    </row>
    <row r="572" spans="1:17" x14ac:dyDescent="0.35">
      <c r="H572" s="2">
        <f t="shared" ref="H572" si="780">B$1*COS(C569)</f>
        <v>2.4062872736528771</v>
      </c>
      <c r="I572" s="2">
        <f t="shared" ref="I572" si="781">B$2*COS(C570)</f>
        <v>5.9580323986849617</v>
      </c>
      <c r="J572" s="2">
        <f t="shared" ref="J572" si="782">-SIN(B$6)</f>
        <v>0</v>
      </c>
      <c r="L572" s="2">
        <v>0</v>
      </c>
      <c r="M572" s="2">
        <v>0.16784064487811728</v>
      </c>
      <c r="N572" s="2">
        <v>-0.40387280777190554</v>
      </c>
      <c r="O572" s="10">
        <f t="shared" si="779"/>
        <v>0</v>
      </c>
      <c r="Q572" s="2">
        <v>0</v>
      </c>
    </row>
    <row r="573" spans="1:17" x14ac:dyDescent="0.35">
      <c r="H573" s="2">
        <v>1</v>
      </c>
      <c r="I573" s="2">
        <v>0</v>
      </c>
      <c r="J573" s="2">
        <v>0</v>
      </c>
      <c r="L573" s="2">
        <v>-1</v>
      </c>
      <c r="M573" s="2">
        <v>-0.11890060820568571</v>
      </c>
      <c r="N573" s="2">
        <v>-1.5054773037322484</v>
      </c>
      <c r="O573" s="10">
        <f t="shared" si="779"/>
        <v>0</v>
      </c>
      <c r="Q573" s="2">
        <v>-7.2585709144645794E-15</v>
      </c>
    </row>
    <row r="576" spans="1:17" x14ac:dyDescent="0.35">
      <c r="A576" s="1" t="s">
        <v>9</v>
      </c>
      <c r="B576" s="2">
        <f t="shared" ref="B576" si="783">IF(AND((B567 = B558), ABS(B571-B562) &lt; 0.001),B567+0.1,B567)</f>
        <v>1.7000000000000004</v>
      </c>
    </row>
    <row r="577" spans="1:17" x14ac:dyDescent="0.35">
      <c r="C577" s="1" t="s">
        <v>3</v>
      </c>
    </row>
    <row r="578" spans="1:17" x14ac:dyDescent="0.35">
      <c r="A578" s="1" t="s">
        <v>380</v>
      </c>
      <c r="B578" s="4">
        <f t="shared" ref="B578:B579" si="784">C578*180/PI()</f>
        <v>36.669298888372701</v>
      </c>
      <c r="C578" s="2">
        <f t="shared" ref="C578:C579" si="785">C569+Q571</f>
        <v>0.64000000000000024</v>
      </c>
      <c r="E578" s="7" t="s">
        <v>381</v>
      </c>
      <c r="F578" s="6">
        <f t="shared" ref="F578" si="786">-B580*COS(B$6)+B$1*COS(C578)+B$2*COS(C579)-B$3*COS(C$4)</f>
        <v>-1.531435568635775E-16</v>
      </c>
      <c r="H578" s="11" t="s">
        <v>14</v>
      </c>
      <c r="I578" s="12"/>
      <c r="J578" s="13"/>
      <c r="L578" s="11" t="s">
        <v>382</v>
      </c>
      <c r="M578" s="12"/>
      <c r="N578" s="13"/>
      <c r="O578" s="14" t="s">
        <v>18</v>
      </c>
      <c r="Q578" s="16" t="s">
        <v>19</v>
      </c>
    </row>
    <row r="579" spans="1:17" x14ac:dyDescent="0.35">
      <c r="A579" s="1" t="s">
        <v>383</v>
      </c>
      <c r="B579" s="4">
        <f t="shared" si="784"/>
        <v>6.7806690372155938</v>
      </c>
      <c r="C579" s="2">
        <f t="shared" si="785"/>
        <v>0.11834500018744602</v>
      </c>
      <c r="E579" s="7" t="s">
        <v>384</v>
      </c>
      <c r="F579" s="6">
        <f t="shared" ref="F579" si="787">-B580*SIN(B$6)+B$1*SIN(C578)+B$2*SIN(C579)-B$3*SIN(C$4)</f>
        <v>0</v>
      </c>
      <c r="H579" s="8" t="s">
        <v>16</v>
      </c>
      <c r="I579" s="8" t="s">
        <v>15</v>
      </c>
      <c r="J579" s="9" t="s">
        <v>8</v>
      </c>
      <c r="L579" s="8" t="s">
        <v>16</v>
      </c>
      <c r="M579" s="8" t="s">
        <v>15</v>
      </c>
      <c r="N579" s="9" t="s">
        <v>8</v>
      </c>
      <c r="O579" s="15"/>
      <c r="Q579" s="17"/>
    </row>
    <row r="580" spans="1:17" x14ac:dyDescent="0.35">
      <c r="A580" s="1" t="s">
        <v>8</v>
      </c>
      <c r="B580" s="4">
        <f t="shared" ref="B580" si="788">B571+Q573</f>
        <v>8.3643196723378388</v>
      </c>
      <c r="C580" s="2"/>
      <c r="E580" s="7" t="s">
        <v>385</v>
      </c>
      <c r="F580" s="6">
        <f>C578-F$3*B576-0.5*(F$4)*B576^2</f>
        <v>-8.2500000000000129E-2</v>
      </c>
      <c r="H580" s="2">
        <f t="shared" ref="H580" si="789">-B$1*SIN(C578)</f>
        <v>-1.7915863240871768</v>
      </c>
      <c r="I580" s="2">
        <f t="shared" ref="I580" si="790">-B$2*SIN(C579)</f>
        <v>-0.70841367591282234</v>
      </c>
      <c r="J580" s="2">
        <f t="shared" ref="J580" si="791">-COS(B$6)</f>
        <v>-1</v>
      </c>
      <c r="L580" s="2" cm="1">
        <f t="array" ref="L580:N582">MINVERSE(H580:J582)</f>
        <v>0</v>
      </c>
      <c r="M580" s="2">
        <v>0</v>
      </c>
      <c r="N580" s="2">
        <v>0.99999999999999978</v>
      </c>
      <c r="O580" s="10">
        <f t="shared" ref="O580:O582" si="792">-F578</f>
        <v>1.531435568635775E-16</v>
      </c>
      <c r="Q580" s="2" cm="1">
        <f t="array" ref="Q580:Q582">MMULT(L580:N582,O580:O582)</f>
        <v>8.2500000000000115E-2</v>
      </c>
    </row>
    <row r="581" spans="1:17" x14ac:dyDescent="0.35">
      <c r="H581" s="2">
        <f t="shared" ref="H581" si="793">B$1*COS(C578)</f>
        <v>2.4062872736528771</v>
      </c>
      <c r="I581" s="2">
        <f t="shared" ref="I581" si="794">B$2*COS(C579)</f>
        <v>5.9580323986849617</v>
      </c>
      <c r="J581" s="2">
        <f t="shared" ref="J581" si="795">-SIN(B$6)</f>
        <v>0</v>
      </c>
      <c r="L581" s="2">
        <v>0</v>
      </c>
      <c r="M581" s="2">
        <v>0.16784064487811728</v>
      </c>
      <c r="N581" s="2">
        <v>-0.40387280777190554</v>
      </c>
      <c r="O581" s="10">
        <f t="shared" si="792"/>
        <v>0</v>
      </c>
      <c r="Q581" s="2">
        <v>-3.3319506641182259E-2</v>
      </c>
    </row>
    <row r="582" spans="1:17" x14ac:dyDescent="0.35">
      <c r="H582" s="2">
        <v>1</v>
      </c>
      <c r="I582" s="2">
        <v>0</v>
      </c>
      <c r="J582" s="2">
        <v>0</v>
      </c>
      <c r="L582" s="2">
        <v>-1</v>
      </c>
      <c r="M582" s="2">
        <v>-0.11890060820568571</v>
      </c>
      <c r="N582" s="2">
        <v>-1.5054773037322484</v>
      </c>
      <c r="O582" s="10">
        <f t="shared" si="792"/>
        <v>8.2500000000000129E-2</v>
      </c>
      <c r="Q582" s="2">
        <v>-0.12420187755791084</v>
      </c>
    </row>
    <row r="585" spans="1:17" x14ac:dyDescent="0.35">
      <c r="A585" s="1" t="s">
        <v>9</v>
      </c>
      <c r="B585" s="2">
        <f t="shared" ref="B585" si="796">IF(AND((B576 = B567), ABS(B580-B571) &lt; 0.001),B576+0.1,B576)</f>
        <v>1.7000000000000004</v>
      </c>
    </row>
    <row r="586" spans="1:17" x14ac:dyDescent="0.35">
      <c r="C586" s="1" t="s">
        <v>3</v>
      </c>
    </row>
    <row r="587" spans="1:17" x14ac:dyDescent="0.35">
      <c r="A587" s="1" t="s">
        <v>386</v>
      </c>
      <c r="B587" s="4">
        <f t="shared" ref="B587:B588" si="797">C587*180/PI()</f>
        <v>41.396200698202001</v>
      </c>
      <c r="C587" s="2">
        <f t="shared" ref="C587:C588" si="798">C578+Q580</f>
        <v>0.72250000000000036</v>
      </c>
      <c r="E587" s="7" t="s">
        <v>387</v>
      </c>
      <c r="F587" s="6">
        <f t="shared" ref="F587" si="799">-B589*COS(B$6)+B$1*COS(C587)+B$2*COS(C588)-B$3*COS(C$4)</f>
        <v>-1.1327976407633653E-2</v>
      </c>
      <c r="H587" s="11" t="s">
        <v>14</v>
      </c>
      <c r="I587" s="12"/>
      <c r="J587" s="13"/>
      <c r="L587" s="11" t="s">
        <v>388</v>
      </c>
      <c r="M587" s="12"/>
      <c r="N587" s="13"/>
      <c r="O587" s="14" t="s">
        <v>18</v>
      </c>
      <c r="Q587" s="16" t="s">
        <v>19</v>
      </c>
    </row>
    <row r="588" spans="1:17" x14ac:dyDescent="0.35">
      <c r="A588" s="1" t="s">
        <v>389</v>
      </c>
      <c r="B588" s="4">
        <f t="shared" si="797"/>
        <v>4.8716019312177323</v>
      </c>
      <c r="C588" s="2">
        <f t="shared" si="798"/>
        <v>8.5025493546263764E-2</v>
      </c>
      <c r="E588" s="7" t="s">
        <v>390</v>
      </c>
      <c r="F588" s="6">
        <f t="shared" ref="F588" si="800">-B589*SIN(B$6)+B$1*SIN(C587)+B$2*SIN(C588)-B$3*SIN(C$4)</f>
        <v>-6.6751230320525323E-3</v>
      </c>
      <c r="H588" s="8" t="s">
        <v>16</v>
      </c>
      <c r="I588" s="8" t="s">
        <v>15</v>
      </c>
      <c r="J588" s="9" t="s">
        <v>8</v>
      </c>
      <c r="L588" s="8" t="s">
        <v>16</v>
      </c>
      <c r="M588" s="8" t="s">
        <v>15</v>
      </c>
      <c r="N588" s="9" t="s">
        <v>8</v>
      </c>
      <c r="O588" s="15"/>
      <c r="Q588" s="17"/>
    </row>
    <row r="589" spans="1:17" x14ac:dyDescent="0.35">
      <c r="A589" s="1" t="s">
        <v>8</v>
      </c>
      <c r="B589" s="4">
        <f t="shared" ref="B589" si="801">B580+Q582</f>
        <v>8.2401177947799287</v>
      </c>
      <c r="C589" s="2"/>
      <c r="E589" s="7" t="s">
        <v>391</v>
      </c>
      <c r="F589" s="6">
        <f>C587-F$3*B585-0.5*(F$4)*B585^2</f>
        <v>0</v>
      </c>
      <c r="H589" s="2">
        <f t="shared" ref="H589" si="802">-B$1*SIN(C587)</f>
        <v>-1.9837863712814163</v>
      </c>
      <c r="I589" s="2">
        <f t="shared" ref="I589" si="803">-B$2*SIN(C588)</f>
        <v>-0.50953850568653125</v>
      </c>
      <c r="J589" s="2">
        <f t="shared" ref="J589" si="804">-COS(B$6)</f>
        <v>-1</v>
      </c>
      <c r="L589" s="2" cm="1">
        <f t="array" ref="L589:N591">MINVERSE(H589:J591)</f>
        <v>0</v>
      </c>
      <c r="M589" s="2">
        <v>4.933305531703742E-17</v>
      </c>
      <c r="N589" s="2">
        <v>1</v>
      </c>
      <c r="O589" s="10">
        <f t="shared" ref="O589:O591" si="805">-F587</f>
        <v>1.1327976407633653E-2</v>
      </c>
      <c r="Q589" s="2" cm="1">
        <f t="array" ref="Q589:Q591">MMULT(L589:N591,O589:O591)</f>
        <v>3.2930421378827812E-19</v>
      </c>
    </row>
    <row r="590" spans="1:17" x14ac:dyDescent="0.35">
      <c r="H590" s="2">
        <f t="shared" ref="H590" si="806">B$1*COS(C587)</f>
        <v>2.2504647593592999</v>
      </c>
      <c r="I590" s="2">
        <f t="shared" ref="I590" si="807">B$2*COS(C588)</f>
        <v>5.9783250590129953</v>
      </c>
      <c r="J590" s="2">
        <f t="shared" ref="J590" si="808">-SIN(B$6)</f>
        <v>0</v>
      </c>
      <c r="L590" s="2">
        <v>0</v>
      </c>
      <c r="M590" s="2">
        <v>0.16727093126065265</v>
      </c>
      <c r="N590" s="2">
        <v>-0.37643733606731072</v>
      </c>
      <c r="O590" s="10">
        <f t="shared" si="805"/>
        <v>6.6751230320525323E-3</v>
      </c>
      <c r="Q590" s="2">
        <v>1.1165540458508583E-3</v>
      </c>
    </row>
    <row r="591" spans="1:17" x14ac:dyDescent="0.35">
      <c r="H591" s="2">
        <v>1</v>
      </c>
      <c r="I591" s="2">
        <v>0</v>
      </c>
      <c r="J591" s="2">
        <v>0</v>
      </c>
      <c r="L591" s="2">
        <v>-1</v>
      </c>
      <c r="M591" s="2">
        <v>-8.5230980359347425E-2</v>
      </c>
      <c r="N591" s="2">
        <v>-1.7919770535770605</v>
      </c>
      <c r="O591" s="10">
        <f t="shared" si="805"/>
        <v>0</v>
      </c>
      <c r="Q591" s="2">
        <v>-1.1896903687674749E-2</v>
      </c>
    </row>
    <row r="594" spans="1:17" x14ac:dyDescent="0.35">
      <c r="A594" s="1" t="s">
        <v>9</v>
      </c>
      <c r="B594" s="2">
        <f t="shared" ref="B594" si="809">IF(AND((B585 = B576), ABS(B589-B580) &lt; 0.001),B585+0.1,B585)</f>
        <v>1.7000000000000004</v>
      </c>
    </row>
    <row r="595" spans="1:17" x14ac:dyDescent="0.35">
      <c r="C595" s="1" t="s">
        <v>3</v>
      </c>
    </row>
    <row r="596" spans="1:17" x14ac:dyDescent="0.35">
      <c r="A596" s="1" t="s">
        <v>392</v>
      </c>
      <c r="B596" s="4">
        <f t="shared" ref="B596:B597" si="810">C596*180/PI()</f>
        <v>41.396200698202001</v>
      </c>
      <c r="C596" s="2">
        <f t="shared" ref="C596:C597" si="811">C587+Q589</f>
        <v>0.72250000000000036</v>
      </c>
      <c r="E596" s="7" t="s">
        <v>393</v>
      </c>
      <c r="F596" s="6">
        <f t="shared" ref="F596" si="812">-B598*COS(B$6)+B$1*COS(C596)+B$2*COS(C597)-B$3*COS(C$4)</f>
        <v>-3.726449214245186E-6</v>
      </c>
      <c r="H596" s="11" t="s">
        <v>14</v>
      </c>
      <c r="I596" s="12"/>
      <c r="J596" s="13"/>
      <c r="L596" s="11" t="s">
        <v>394</v>
      </c>
      <c r="M596" s="12"/>
      <c r="N596" s="13"/>
      <c r="O596" s="14" t="s">
        <v>18</v>
      </c>
      <c r="Q596" s="16" t="s">
        <v>19</v>
      </c>
    </row>
    <row r="597" spans="1:17" x14ac:dyDescent="0.35">
      <c r="A597" s="1" t="s">
        <v>395</v>
      </c>
      <c r="B597" s="4">
        <f t="shared" si="810"/>
        <v>4.9355757656432431</v>
      </c>
      <c r="C597" s="2">
        <f t="shared" si="811"/>
        <v>8.6142047592114621E-2</v>
      </c>
      <c r="E597" s="7" t="s">
        <v>396</v>
      </c>
      <c r="F597" s="6">
        <f t="shared" ref="F597" si="813">-B598*SIN(B$6)+B$1*SIN(C596)+B$2*SIN(C597)-B$3*SIN(C$4)</f>
        <v>-3.190059665314493E-7</v>
      </c>
      <c r="H597" s="8" t="s">
        <v>16</v>
      </c>
      <c r="I597" s="8" t="s">
        <v>15</v>
      </c>
      <c r="J597" s="9" t="s">
        <v>8</v>
      </c>
      <c r="L597" s="8" t="s">
        <v>16</v>
      </c>
      <c r="M597" s="8" t="s">
        <v>15</v>
      </c>
      <c r="N597" s="9" t="s">
        <v>8</v>
      </c>
      <c r="O597" s="15"/>
      <c r="Q597" s="17"/>
    </row>
    <row r="598" spans="1:17" x14ac:dyDescent="0.35">
      <c r="A598" s="1" t="s">
        <v>8</v>
      </c>
      <c r="B598" s="4">
        <f t="shared" ref="B598" si="814">B589+Q591</f>
        <v>8.2282208910922545</v>
      </c>
      <c r="C598" s="2"/>
      <c r="E598" s="7" t="s">
        <v>397</v>
      </c>
      <c r="F598" s="6">
        <f>C596-F$3*B594-0.5*(F$4)*B594^2</f>
        <v>0</v>
      </c>
      <c r="H598" s="2">
        <f t="shared" ref="H598" si="815">-B$1*SIN(C596)</f>
        <v>-1.9837863712814163</v>
      </c>
      <c r="I598" s="2">
        <f t="shared" ref="I598" si="816">-B$2*SIN(C597)</f>
        <v>-0.51621330971261725</v>
      </c>
      <c r="J598" s="2">
        <f t="shared" ref="J598" si="817">-COS(B$6)</f>
        <v>-1</v>
      </c>
      <c r="L598" s="2" cm="1">
        <f t="array" ref="L598:N600">MINVERSE(H598:J600)</f>
        <v>0</v>
      </c>
      <c r="M598" s="2">
        <v>0</v>
      </c>
      <c r="N598" s="2">
        <v>1.0000000000000002</v>
      </c>
      <c r="O598" s="10">
        <f t="shared" ref="O598:O600" si="818">-F596</f>
        <v>3.726449214245186E-6</v>
      </c>
      <c r="Q598" s="2" cm="1">
        <f t="array" ref="Q598:Q600">MMULT(L598:N600,O598:O600)</f>
        <v>0</v>
      </c>
    </row>
    <row r="599" spans="1:17" x14ac:dyDescent="0.35">
      <c r="H599" s="2">
        <f t="shared" ref="H599" si="819">B$1*COS(C596)</f>
        <v>2.2504647593592999</v>
      </c>
      <c r="I599" s="2">
        <f t="shared" ref="I599" si="820">B$2*COS(C597)</f>
        <v>5.9777524052837405</v>
      </c>
      <c r="J599" s="2">
        <f t="shared" ref="J599" si="821">-SIN(B$6)</f>
        <v>0</v>
      </c>
      <c r="L599" s="2">
        <v>0</v>
      </c>
      <c r="M599" s="2">
        <v>0.1672869553975001</v>
      </c>
      <c r="N599" s="2">
        <v>-0.37647339782258504</v>
      </c>
      <c r="O599" s="10">
        <f t="shared" si="818"/>
        <v>3.190059665314493E-7</v>
      </c>
      <c r="Q599" s="2">
        <v>5.3365536894682972E-8</v>
      </c>
    </row>
    <row r="600" spans="1:17" x14ac:dyDescent="0.35">
      <c r="H600" s="2">
        <v>1</v>
      </c>
      <c r="I600" s="2">
        <v>0</v>
      </c>
      <c r="J600" s="2">
        <v>0</v>
      </c>
      <c r="L600" s="2">
        <v>-1</v>
      </c>
      <c r="M600" s="2">
        <v>-8.6355752917490425E-2</v>
      </c>
      <c r="N600" s="2">
        <v>-1.7894457925726652</v>
      </c>
      <c r="O600" s="10">
        <f t="shared" si="818"/>
        <v>0</v>
      </c>
      <c r="Q600" s="2">
        <v>-3.7539972146701812E-6</v>
      </c>
    </row>
    <row r="603" spans="1:17" x14ac:dyDescent="0.35">
      <c r="A603" s="1" t="s">
        <v>9</v>
      </c>
      <c r="B603" s="2">
        <f t="shared" ref="B603" si="822">IF(AND((B594 = B585), ABS(B598-B589) &lt; 0.001),B594+0.1,B594)</f>
        <v>1.7000000000000004</v>
      </c>
    </row>
    <row r="604" spans="1:17" x14ac:dyDescent="0.35">
      <c r="C604" s="1" t="s">
        <v>3</v>
      </c>
    </row>
    <row r="605" spans="1:17" x14ac:dyDescent="0.35">
      <c r="A605" s="1" t="s">
        <v>398</v>
      </c>
      <c r="B605" s="4">
        <f t="shared" ref="B605:B606" si="823">C605*180/PI()</f>
        <v>41.396200698202001</v>
      </c>
      <c r="C605" s="2">
        <f t="shared" ref="C605:C606" si="824">C596+Q598</f>
        <v>0.72250000000000036</v>
      </c>
      <c r="E605" s="7" t="s">
        <v>399</v>
      </c>
      <c r="F605" s="6">
        <f t="shared" ref="F605" si="825">-B607*COS(B$6)+B$1*COS(C605)+B$2*COS(C606)-B$3*COS(C$4)</f>
        <v>-9.0349277538648298E-15</v>
      </c>
      <c r="H605" s="11" t="s">
        <v>14</v>
      </c>
      <c r="I605" s="12"/>
      <c r="J605" s="13"/>
      <c r="L605" s="11" t="s">
        <v>400</v>
      </c>
      <c r="M605" s="12"/>
      <c r="N605" s="13"/>
      <c r="O605" s="14" t="s">
        <v>18</v>
      </c>
      <c r="Q605" s="16" t="s">
        <v>19</v>
      </c>
    </row>
    <row r="606" spans="1:17" x14ac:dyDescent="0.35">
      <c r="A606" s="1" t="s">
        <v>401</v>
      </c>
      <c r="B606" s="4">
        <f t="shared" si="823"/>
        <v>4.9355788232632793</v>
      </c>
      <c r="C606" s="2">
        <f t="shared" si="824"/>
        <v>8.6142100957651513E-2</v>
      </c>
      <c r="E606" s="7" t="s">
        <v>402</v>
      </c>
      <c r="F606" s="6">
        <f t="shared" ref="F606" si="826">-B607*SIN(B$6)+B$1*SIN(C605)+B$2*SIN(C606)-B$3*SIN(C$4)</f>
        <v>0</v>
      </c>
      <c r="H606" s="8" t="s">
        <v>16</v>
      </c>
      <c r="I606" s="8" t="s">
        <v>15</v>
      </c>
      <c r="J606" s="9" t="s">
        <v>8</v>
      </c>
      <c r="L606" s="8" t="s">
        <v>16</v>
      </c>
      <c r="M606" s="8" t="s">
        <v>15</v>
      </c>
      <c r="N606" s="9" t="s">
        <v>8</v>
      </c>
      <c r="O606" s="15"/>
      <c r="Q606" s="17"/>
    </row>
    <row r="607" spans="1:17" x14ac:dyDescent="0.35">
      <c r="A607" s="1" t="s">
        <v>8</v>
      </c>
      <c r="B607" s="4">
        <f t="shared" ref="B607" si="827">B598+Q600</f>
        <v>8.2282171370950401</v>
      </c>
      <c r="C607" s="2"/>
      <c r="E607" s="7" t="s">
        <v>403</v>
      </c>
      <c r="F607" s="6">
        <f>C605-F$3*B603-0.5*(F$4)*B603^2</f>
        <v>0</v>
      </c>
      <c r="H607" s="2">
        <f t="shared" ref="H607" si="828">-B$1*SIN(C605)</f>
        <v>-1.9837863712814163</v>
      </c>
      <c r="I607" s="2">
        <f t="shared" ref="I607" si="829">-B$2*SIN(C606)</f>
        <v>-0.51621362871858301</v>
      </c>
      <c r="J607" s="2">
        <f t="shared" ref="J607" si="830">-COS(B$6)</f>
        <v>-1</v>
      </c>
      <c r="L607" s="2" cm="1">
        <f t="array" ref="L607:N609">MINVERSE(H607:J609)</f>
        <v>0</v>
      </c>
      <c r="M607" s="2">
        <v>0</v>
      </c>
      <c r="N607" s="2">
        <v>1</v>
      </c>
      <c r="O607" s="10">
        <f t="shared" ref="O607:O609" si="831">-F605</f>
        <v>9.0349277538648298E-15</v>
      </c>
      <c r="Q607" s="2" cm="1">
        <f t="array" ref="Q607:Q609">MMULT(L607:N609,O607:O609)</f>
        <v>0</v>
      </c>
    </row>
    <row r="608" spans="1:17" x14ac:dyDescent="0.35">
      <c r="H608" s="2">
        <f t="shared" ref="H608" si="832">B$1*COS(C605)</f>
        <v>2.2504647593592999</v>
      </c>
      <c r="I608" s="2">
        <f t="shared" ref="I608" si="833">B$2*COS(C606)</f>
        <v>5.9777523777357313</v>
      </c>
      <c r="J608" s="2">
        <f t="shared" ref="J608" si="834">-SIN(B$6)</f>
        <v>0</v>
      </c>
      <c r="L608" s="2">
        <v>0</v>
      </c>
      <c r="M608" s="2">
        <v>0.16728695616842909</v>
      </c>
      <c r="N608" s="2">
        <v>-0.37647339955753351</v>
      </c>
      <c r="O608" s="10">
        <f t="shared" si="831"/>
        <v>0</v>
      </c>
      <c r="Q608" s="2">
        <v>0</v>
      </c>
    </row>
    <row r="609" spans="1:17" x14ac:dyDescent="0.35">
      <c r="H609" s="2">
        <v>1</v>
      </c>
      <c r="I609" s="2">
        <v>0</v>
      </c>
      <c r="J609" s="2">
        <v>0</v>
      </c>
      <c r="L609" s="2">
        <v>-1</v>
      </c>
      <c r="M609" s="2">
        <v>-8.6355806680991354E-2</v>
      </c>
      <c r="N609" s="2">
        <v>-1.7894456715798008</v>
      </c>
      <c r="O609" s="10">
        <f t="shared" si="831"/>
        <v>0</v>
      </c>
      <c r="Q609" s="2">
        <v>-9.0349277538648298E-15</v>
      </c>
    </row>
    <row r="612" spans="1:17" x14ac:dyDescent="0.35">
      <c r="A612" s="1" t="s">
        <v>9</v>
      </c>
      <c r="B612" s="2">
        <f t="shared" ref="B612" si="835">IF(AND((B603 = B594), ABS(B607-B598) &lt; 0.001),B603+0.1,B603)</f>
        <v>1.8000000000000005</v>
      </c>
    </row>
    <row r="613" spans="1:17" x14ac:dyDescent="0.35">
      <c r="C613" s="1" t="s">
        <v>3</v>
      </c>
    </row>
    <row r="614" spans="1:17" x14ac:dyDescent="0.35">
      <c r="A614" s="1" t="s">
        <v>404</v>
      </c>
      <c r="B614" s="4">
        <f t="shared" ref="B614:B615" si="836">C614*180/PI()</f>
        <v>41.396200698202001</v>
      </c>
      <c r="C614" s="2">
        <f t="shared" ref="C614:C615" si="837">C605+Q607</f>
        <v>0.72250000000000036</v>
      </c>
      <c r="E614" s="7" t="s">
        <v>405</v>
      </c>
      <c r="F614" s="6">
        <f t="shared" ref="F614" si="838">-B616*COS(B$6)+B$1*COS(C614)+B$2*COS(C615)-B$3*COS(C$4)</f>
        <v>-1.531435568635775E-16</v>
      </c>
      <c r="H614" s="11" t="s">
        <v>14</v>
      </c>
      <c r="I614" s="12"/>
      <c r="J614" s="13"/>
      <c r="L614" s="11" t="s">
        <v>406</v>
      </c>
      <c r="M614" s="12"/>
      <c r="N614" s="13"/>
      <c r="O614" s="14" t="s">
        <v>18</v>
      </c>
      <c r="Q614" s="16" t="s">
        <v>19</v>
      </c>
    </row>
    <row r="615" spans="1:17" x14ac:dyDescent="0.35">
      <c r="A615" s="1" t="s">
        <v>407</v>
      </c>
      <c r="B615" s="4">
        <f t="shared" si="836"/>
        <v>4.9355788232632793</v>
      </c>
      <c r="C615" s="2">
        <f t="shared" si="837"/>
        <v>8.6142100957651513E-2</v>
      </c>
      <c r="E615" s="7" t="s">
        <v>408</v>
      </c>
      <c r="F615" s="6">
        <f t="shared" ref="F615" si="839">-B616*SIN(B$6)+B$1*SIN(C614)+B$2*SIN(C615)-B$3*SIN(C$4)</f>
        <v>0</v>
      </c>
      <c r="H615" s="8" t="s">
        <v>16</v>
      </c>
      <c r="I615" s="8" t="s">
        <v>15</v>
      </c>
      <c r="J615" s="9" t="s">
        <v>8</v>
      </c>
      <c r="L615" s="8" t="s">
        <v>16</v>
      </c>
      <c r="M615" s="8" t="s">
        <v>15</v>
      </c>
      <c r="N615" s="9" t="s">
        <v>8</v>
      </c>
      <c r="O615" s="15"/>
      <c r="Q615" s="17"/>
    </row>
    <row r="616" spans="1:17" x14ac:dyDescent="0.35">
      <c r="A616" s="1" t="s">
        <v>8</v>
      </c>
      <c r="B616" s="4">
        <f t="shared" ref="B616" si="840">B607+Q609</f>
        <v>8.2282171370950312</v>
      </c>
      <c r="C616" s="2"/>
      <c r="E616" s="7" t="s">
        <v>409</v>
      </c>
      <c r="F616" s="6">
        <f>C614-F$3*B612-0.5*(F$4)*B612^2</f>
        <v>-8.7500000000000022E-2</v>
      </c>
      <c r="H616" s="2">
        <f t="shared" ref="H616" si="841">-B$1*SIN(C614)</f>
        <v>-1.9837863712814163</v>
      </c>
      <c r="I616" s="2">
        <f t="shared" ref="I616" si="842">-B$2*SIN(C615)</f>
        <v>-0.51621362871858301</v>
      </c>
      <c r="J616" s="2">
        <f t="shared" ref="J616" si="843">-COS(B$6)</f>
        <v>-1</v>
      </c>
      <c r="L616" s="2" cm="1">
        <f t="array" ref="L616:N618">MINVERSE(H616:J618)</f>
        <v>0</v>
      </c>
      <c r="M616" s="2">
        <v>0</v>
      </c>
      <c r="N616" s="2">
        <v>1</v>
      </c>
      <c r="O616" s="10">
        <f t="shared" ref="O616:O618" si="844">-F614</f>
        <v>1.531435568635775E-16</v>
      </c>
      <c r="Q616" s="2" cm="1">
        <f t="array" ref="Q616:Q618">MMULT(L616:N618,O616:O618)</f>
        <v>8.7500000000000022E-2</v>
      </c>
    </row>
    <row r="617" spans="1:17" x14ac:dyDescent="0.35">
      <c r="H617" s="2">
        <f t="shared" ref="H617" si="845">B$1*COS(C614)</f>
        <v>2.2504647593592999</v>
      </c>
      <c r="I617" s="2">
        <f t="shared" ref="I617" si="846">B$2*COS(C615)</f>
        <v>5.9777523777357313</v>
      </c>
      <c r="J617" s="2">
        <f t="shared" ref="J617" si="847">-SIN(B$6)</f>
        <v>0</v>
      </c>
      <c r="L617" s="2">
        <v>0</v>
      </c>
      <c r="M617" s="2">
        <v>0.16728695616842909</v>
      </c>
      <c r="N617" s="2">
        <v>-0.37647339955753351</v>
      </c>
      <c r="O617" s="10">
        <f t="shared" si="844"/>
        <v>0</v>
      </c>
      <c r="Q617" s="2">
        <v>-3.2941422461284189E-2</v>
      </c>
    </row>
    <row r="618" spans="1:17" x14ac:dyDescent="0.35">
      <c r="H618" s="2">
        <v>1</v>
      </c>
      <c r="I618" s="2">
        <v>0</v>
      </c>
      <c r="J618" s="2">
        <v>0</v>
      </c>
      <c r="L618" s="2">
        <v>-1</v>
      </c>
      <c r="M618" s="2">
        <v>-8.6355806680991354E-2</v>
      </c>
      <c r="N618" s="2">
        <v>-1.7894456715798008</v>
      </c>
      <c r="O618" s="10">
        <f t="shared" si="844"/>
        <v>8.7500000000000022E-2</v>
      </c>
      <c r="Q618" s="2">
        <v>-0.15657649626323278</v>
      </c>
    </row>
    <row r="621" spans="1:17" x14ac:dyDescent="0.35">
      <c r="A621" s="1" t="s">
        <v>9</v>
      </c>
      <c r="B621" s="2">
        <f t="shared" ref="B621" si="848">IF(AND((B612 = B603), ABS(B616-B607) &lt; 0.001),B612+0.1,B612)</f>
        <v>1.8000000000000005</v>
      </c>
    </row>
    <row r="622" spans="1:17" x14ac:dyDescent="0.35">
      <c r="C622" s="1" t="s">
        <v>3</v>
      </c>
    </row>
    <row r="623" spans="1:17" x14ac:dyDescent="0.35">
      <c r="A623" s="1" t="s">
        <v>410</v>
      </c>
      <c r="B623" s="4">
        <f t="shared" ref="B623:B624" si="849">C623*180/PI()</f>
        <v>46.409581405596704</v>
      </c>
      <c r="C623" s="2">
        <f t="shared" ref="C623:C624" si="850">C614+Q616</f>
        <v>0.81000000000000039</v>
      </c>
      <c r="E623" s="7" t="s">
        <v>411</v>
      </c>
      <c r="F623" s="6">
        <f t="shared" ref="F623" si="851">-B625*COS(B$6)+B$1*COS(C623)+B$2*COS(C624)-B$3*COS(C$4)</f>
        <v>-1.1634276076133584E-2</v>
      </c>
      <c r="H623" s="11" t="s">
        <v>14</v>
      </c>
      <c r="I623" s="12"/>
      <c r="J623" s="13"/>
      <c r="L623" s="11" t="s">
        <v>412</v>
      </c>
      <c r="M623" s="12"/>
      <c r="N623" s="13"/>
      <c r="O623" s="14" t="s">
        <v>18</v>
      </c>
      <c r="Q623" s="16" t="s">
        <v>19</v>
      </c>
    </row>
    <row r="624" spans="1:17" x14ac:dyDescent="0.35">
      <c r="A624" s="1" t="s">
        <v>413</v>
      </c>
      <c r="B624" s="4">
        <f t="shared" si="849"/>
        <v>3.048174345074242</v>
      </c>
      <c r="C624" s="2">
        <f t="shared" si="850"/>
        <v>5.3200678496367323E-2</v>
      </c>
      <c r="E624" s="7" t="s">
        <v>414</v>
      </c>
      <c r="F624" s="6">
        <f t="shared" ref="F624" si="852">-B625*SIN(B$6)+B$1*SIN(C623)+B$2*SIN(C624)-B$3*SIN(C$4)</f>
        <v>-8.0849591331535464E-3</v>
      </c>
      <c r="H624" s="8" t="s">
        <v>16</v>
      </c>
      <c r="I624" s="8" t="s">
        <v>15</v>
      </c>
      <c r="J624" s="9" t="s">
        <v>8</v>
      </c>
      <c r="L624" s="8" t="s">
        <v>16</v>
      </c>
      <c r="M624" s="8" t="s">
        <v>15</v>
      </c>
      <c r="N624" s="9" t="s">
        <v>8</v>
      </c>
      <c r="O624" s="15"/>
      <c r="Q624" s="17"/>
    </row>
    <row r="625" spans="1:17" x14ac:dyDescent="0.35">
      <c r="A625" s="1" t="s">
        <v>8</v>
      </c>
      <c r="B625" s="4">
        <f t="shared" ref="B625" si="853">B616+Q618</f>
        <v>8.0716406408317987</v>
      </c>
      <c r="C625" s="2"/>
      <c r="E625" s="7" t="s">
        <v>415</v>
      </c>
      <c r="F625" s="6">
        <f>C623-F$3*B621-0.5*(F$4)*B621^2</f>
        <v>0</v>
      </c>
      <c r="H625" s="2">
        <f t="shared" ref="H625" si="854">-B$1*SIN(C623)</f>
        <v>-2.1728615231104285</v>
      </c>
      <c r="I625" s="2">
        <f t="shared" ref="I625" si="855">-B$2*SIN(C624)</f>
        <v>-0.31905351775641816</v>
      </c>
      <c r="J625" s="2">
        <f t="shared" ref="J625" si="856">-COS(B$6)</f>
        <v>-1</v>
      </c>
      <c r="L625" s="2" cm="1">
        <f t="array" ref="L625:N627">MINVERSE(H625:J627)</f>
        <v>0</v>
      </c>
      <c r="M625" s="2">
        <v>0</v>
      </c>
      <c r="N625" s="2">
        <v>0.99999999999999978</v>
      </c>
      <c r="O625" s="10">
        <f t="shared" ref="O625:O627" si="857">-F623</f>
        <v>1.1634276076133584E-2</v>
      </c>
      <c r="Q625" s="2" cm="1">
        <f t="array" ref="Q625:Q627">MMULT(L625:N627,O625:O627)</f>
        <v>0</v>
      </c>
    </row>
    <row r="626" spans="1:17" x14ac:dyDescent="0.35">
      <c r="H626" s="2">
        <f t="shared" ref="H626" si="858">B$1*COS(C623)</f>
        <v>2.0684952988552401</v>
      </c>
      <c r="I626" s="2">
        <f t="shared" ref="I626" si="859">B$2*COS(C624)</f>
        <v>5.9915110659004256</v>
      </c>
      <c r="J626" s="2">
        <f t="shared" ref="J626" si="860">-SIN(B$6)</f>
        <v>0</v>
      </c>
      <c r="L626" s="2">
        <v>0</v>
      </c>
      <c r="M626" s="2">
        <v>0.16690280448471748</v>
      </c>
      <c r="N626" s="2">
        <v>-0.34523766644239334</v>
      </c>
      <c r="O626" s="10">
        <f t="shared" si="857"/>
        <v>8.0849591331535464E-3</v>
      </c>
      <c r="Q626" s="2">
        <v>1.3494023534676573E-3</v>
      </c>
    </row>
    <row r="627" spans="1:17" x14ac:dyDescent="0.35">
      <c r="H627" s="2">
        <v>1</v>
      </c>
      <c r="I627" s="2">
        <v>0</v>
      </c>
      <c r="J627" s="2">
        <v>0</v>
      </c>
      <c r="L627" s="2">
        <v>-1</v>
      </c>
      <c r="M627" s="2">
        <v>-5.3250926894260794E-2</v>
      </c>
      <c r="N627" s="2">
        <v>-2.0627122311699657</v>
      </c>
      <c r="O627" s="10">
        <f t="shared" si="857"/>
        <v>0</v>
      </c>
      <c r="Q627" s="2">
        <v>-1.206480764387623E-2</v>
      </c>
    </row>
    <row r="630" spans="1:17" x14ac:dyDescent="0.35">
      <c r="A630" s="1" t="s">
        <v>9</v>
      </c>
      <c r="B630" s="2">
        <f t="shared" ref="B630" si="861">IF(AND((B621 = B612), ABS(B625-B616) &lt; 0.001),B621+0.1,B621)</f>
        <v>1.8000000000000005</v>
      </c>
    </row>
    <row r="631" spans="1:17" x14ac:dyDescent="0.35">
      <c r="C631" s="1" t="s">
        <v>3</v>
      </c>
    </row>
    <row r="632" spans="1:17" x14ac:dyDescent="0.35">
      <c r="A632" s="1" t="s">
        <v>416</v>
      </c>
      <c r="B632" s="4">
        <f t="shared" ref="B632:B633" si="862">C632*180/PI()</f>
        <v>46.409581405596704</v>
      </c>
      <c r="C632" s="2">
        <f t="shared" ref="C632:C633" si="863">C623+Q625</f>
        <v>0.81000000000000039</v>
      </c>
      <c r="E632" s="7" t="s">
        <v>417</v>
      </c>
      <c r="F632" s="6">
        <f t="shared" ref="F632" si="864">-B634*COS(B$6)+B$1*COS(C632)+B$2*COS(C633)-B$3*COS(C$4)</f>
        <v>-5.4547999558817611E-6</v>
      </c>
      <c r="H632" s="11" t="s">
        <v>14</v>
      </c>
      <c r="I632" s="12"/>
      <c r="J632" s="13"/>
      <c r="L632" s="11" t="s">
        <v>418</v>
      </c>
      <c r="M632" s="12"/>
      <c r="N632" s="13"/>
      <c r="O632" s="14" t="s">
        <v>18</v>
      </c>
      <c r="Q632" s="16" t="s">
        <v>19</v>
      </c>
    </row>
    <row r="633" spans="1:17" x14ac:dyDescent="0.35">
      <c r="A633" s="1" t="s">
        <v>419</v>
      </c>
      <c r="B633" s="4">
        <f t="shared" si="862"/>
        <v>3.1254894047929596</v>
      </c>
      <c r="C633" s="2">
        <f t="shared" si="863"/>
        <v>5.4550080849834981E-2</v>
      </c>
      <c r="E633" s="7" t="s">
        <v>420</v>
      </c>
      <c r="F633" s="6">
        <f t="shared" ref="F633" si="865">-B634*SIN(B$6)+B$1*SIN(C632)+B$2*SIN(C633)-B$3*SIN(C$4)</f>
        <v>-2.9293374348426937E-7</v>
      </c>
      <c r="H633" s="8" t="s">
        <v>16</v>
      </c>
      <c r="I633" s="8" t="s">
        <v>15</v>
      </c>
      <c r="J633" s="9" t="s">
        <v>8</v>
      </c>
      <c r="L633" s="8" t="s">
        <v>16</v>
      </c>
      <c r="M633" s="8" t="s">
        <v>15</v>
      </c>
      <c r="N633" s="9" t="s">
        <v>8</v>
      </c>
      <c r="O633" s="15"/>
      <c r="Q633" s="17"/>
    </row>
    <row r="634" spans="1:17" x14ac:dyDescent="0.35">
      <c r="A634" s="1" t="s">
        <v>8</v>
      </c>
      <c r="B634" s="4">
        <f t="shared" ref="B634" si="866">B625+Q627</f>
        <v>8.0595758331879228</v>
      </c>
      <c r="C634" s="2"/>
      <c r="E634" s="7" t="s">
        <v>421</v>
      </c>
      <c r="F634" s="6">
        <f>C632-F$3*B630-0.5*(F$4)*B630^2</f>
        <v>0</v>
      </c>
      <c r="H634" s="2">
        <f t="shared" ref="H634" si="867">-B$1*SIN(C632)</f>
        <v>-2.1728615231104285</v>
      </c>
      <c r="I634" s="2">
        <f t="shared" ref="I634" si="868">-B$2*SIN(C633)</f>
        <v>-0.32713818395582822</v>
      </c>
      <c r="J634" s="2">
        <f t="shared" ref="J634" si="869">-COS(B$6)</f>
        <v>-1</v>
      </c>
      <c r="L634" s="2" cm="1">
        <f t="array" ref="L634:N636">MINVERSE(H634:J636)</f>
        <v>0</v>
      </c>
      <c r="M634" s="2">
        <v>0</v>
      </c>
      <c r="N634" s="2">
        <v>1</v>
      </c>
      <c r="O634" s="10">
        <f t="shared" ref="O634:O636" si="870">-F632</f>
        <v>5.4547999558817611E-6</v>
      </c>
      <c r="Q634" s="2" cm="1">
        <f t="array" ref="Q634:Q636">MMULT(L634:N636,O634:O636)</f>
        <v>0</v>
      </c>
    </row>
    <row r="635" spans="1:17" x14ac:dyDescent="0.35">
      <c r="H635" s="2">
        <f t="shared" ref="H635" si="871">B$1*COS(C632)</f>
        <v>2.0684952988552401</v>
      </c>
      <c r="I635" s="2">
        <f t="shared" ref="I635" si="872">B$2*COS(C633)</f>
        <v>5.9910750795327274</v>
      </c>
      <c r="J635" s="2">
        <f t="shared" ref="J635" si="873">-SIN(B$6)</f>
        <v>0</v>
      </c>
      <c r="L635" s="2">
        <v>0</v>
      </c>
      <c r="M635" s="2">
        <v>0.16691495044291696</v>
      </c>
      <c r="N635" s="2">
        <v>-0.34526279029982909</v>
      </c>
      <c r="O635" s="10">
        <f t="shared" si="870"/>
        <v>2.9293374348426937E-7</v>
      </c>
      <c r="Q635" s="2">
        <v>4.8895021276734973E-8</v>
      </c>
    </row>
    <row r="636" spans="1:17" x14ac:dyDescent="0.35">
      <c r="H636" s="2">
        <v>1</v>
      </c>
      <c r="I636" s="2">
        <v>0</v>
      </c>
      <c r="J636" s="2">
        <v>0</v>
      </c>
      <c r="L636" s="2">
        <v>-1</v>
      </c>
      <c r="M636" s="2">
        <v>-5.4604253762972919E-2</v>
      </c>
      <c r="N636" s="2">
        <v>-2.0599128809042204</v>
      </c>
      <c r="O636" s="10">
        <f t="shared" si="870"/>
        <v>0</v>
      </c>
      <c r="Q636" s="2">
        <v>-5.4707953843467139E-6</v>
      </c>
    </row>
    <row r="639" spans="1:17" x14ac:dyDescent="0.35">
      <c r="A639" s="1" t="s">
        <v>9</v>
      </c>
      <c r="B639" s="2">
        <f t="shared" ref="B639" si="874">IF(AND((B630 = B621), ABS(B634-B625) &lt; 0.001),B630+0.1,B630)</f>
        <v>1.8000000000000005</v>
      </c>
    </row>
    <row r="640" spans="1:17" x14ac:dyDescent="0.35">
      <c r="C640" s="1" t="s">
        <v>3</v>
      </c>
    </row>
    <row r="641" spans="1:17" x14ac:dyDescent="0.35">
      <c r="A641" s="1" t="s">
        <v>422</v>
      </c>
      <c r="B641" s="4">
        <f t="shared" ref="B641:B642" si="875">C641*180/PI()</f>
        <v>46.409581405596704</v>
      </c>
      <c r="C641" s="2">
        <f t="shared" ref="C641:C642" si="876">C632+Q634</f>
        <v>0.81000000000000039</v>
      </c>
      <c r="E641" s="7" t="s">
        <v>423</v>
      </c>
      <c r="F641" s="6">
        <f t="shared" ref="F641" si="877">-B643*COS(B$6)+B$1*COS(C641)+B$2*COS(C642)-B$3*COS(C$4)</f>
        <v>-6.3703924947644541E-15</v>
      </c>
      <c r="H641" s="11" t="s">
        <v>14</v>
      </c>
      <c r="I641" s="12"/>
      <c r="J641" s="13"/>
      <c r="L641" s="11" t="s">
        <v>424</v>
      </c>
      <c r="M641" s="12"/>
      <c r="N641" s="13"/>
      <c r="O641" s="14" t="s">
        <v>18</v>
      </c>
      <c r="Q641" s="16" t="s">
        <v>19</v>
      </c>
    </row>
    <row r="642" spans="1:17" x14ac:dyDescent="0.35">
      <c r="A642" s="1" t="s">
        <v>425</v>
      </c>
      <c r="B642" s="4">
        <f t="shared" si="875"/>
        <v>3.1254922062713177</v>
      </c>
      <c r="C642" s="2">
        <f t="shared" si="876"/>
        <v>5.4550129744856256E-2</v>
      </c>
      <c r="E642" s="7" t="s">
        <v>426</v>
      </c>
      <c r="F642" s="6">
        <f t="shared" ref="F642" si="878">-B643*SIN(B$6)+B$1*SIN(C641)+B$2*SIN(C642)-B$3*SIN(C$4)</f>
        <v>0</v>
      </c>
      <c r="H642" s="8" t="s">
        <v>16</v>
      </c>
      <c r="I642" s="8" t="s">
        <v>15</v>
      </c>
      <c r="J642" s="9" t="s">
        <v>8</v>
      </c>
      <c r="L642" s="8" t="s">
        <v>16</v>
      </c>
      <c r="M642" s="8" t="s">
        <v>15</v>
      </c>
      <c r="N642" s="9" t="s">
        <v>8</v>
      </c>
      <c r="O642" s="15"/>
      <c r="Q642" s="17"/>
    </row>
    <row r="643" spans="1:17" x14ac:dyDescent="0.35">
      <c r="A643" s="1" t="s">
        <v>8</v>
      </c>
      <c r="B643" s="4">
        <f t="shared" ref="B643" si="879">B634+Q636</f>
        <v>8.0595703623925381</v>
      </c>
      <c r="C643" s="2"/>
      <c r="E643" s="7" t="s">
        <v>427</v>
      </c>
      <c r="F643" s="6">
        <f>C641-F$3*B639-0.5*(F$4)*B639^2</f>
        <v>0</v>
      </c>
      <c r="H643" s="2">
        <f t="shared" ref="H643" si="880">-B$1*SIN(C641)</f>
        <v>-2.1728615231104285</v>
      </c>
      <c r="I643" s="2">
        <f t="shared" ref="I643" si="881">-B$2*SIN(C642)</f>
        <v>-0.32713847688957126</v>
      </c>
      <c r="J643" s="2">
        <f t="shared" ref="J643" si="882">-COS(B$6)</f>
        <v>-1</v>
      </c>
      <c r="L643" s="2" cm="1">
        <f t="array" ref="L643:N645">MINVERSE(H643:J645)</f>
        <v>0</v>
      </c>
      <c r="M643" s="2">
        <v>-3.193435858707772E-18</v>
      </c>
      <c r="N643" s="2">
        <v>1</v>
      </c>
      <c r="O643" s="10">
        <f t="shared" ref="O643:O645" si="883">-F641</f>
        <v>6.3703924947644541E-15</v>
      </c>
      <c r="Q643" s="2" cm="1">
        <f t="array" ref="Q643:Q645">MMULT(L643:N645,O643:O645)</f>
        <v>0</v>
      </c>
    </row>
    <row r="644" spans="1:17" x14ac:dyDescent="0.35">
      <c r="H644" s="2">
        <f t="shared" ref="H644" si="884">B$1*COS(C641)</f>
        <v>2.0684952988552401</v>
      </c>
      <c r="I644" s="2">
        <f t="shared" ref="I644" si="885">B$2*COS(C642)</f>
        <v>5.9910750635372922</v>
      </c>
      <c r="J644" s="2">
        <f t="shared" ref="J644" si="886">-SIN(B$6)</f>
        <v>0</v>
      </c>
      <c r="L644" s="2">
        <v>0</v>
      </c>
      <c r="M644" s="2">
        <v>0.1669149508885594</v>
      </c>
      <c r="N644" s="2">
        <v>-0.34526279122163839</v>
      </c>
      <c r="O644" s="10">
        <f t="shared" si="883"/>
        <v>0</v>
      </c>
      <c r="Q644" s="2">
        <v>0</v>
      </c>
    </row>
    <row r="645" spans="1:17" x14ac:dyDescent="0.35">
      <c r="H645" s="2">
        <v>1</v>
      </c>
      <c r="I645" s="2">
        <v>0</v>
      </c>
      <c r="J645" s="2">
        <v>0</v>
      </c>
      <c r="L645" s="2">
        <v>-1</v>
      </c>
      <c r="M645" s="2">
        <v>-5.4604302803780903E-2</v>
      </c>
      <c r="N645" s="2">
        <v>-2.0599127794635397</v>
      </c>
      <c r="O645" s="10">
        <f t="shared" si="883"/>
        <v>0</v>
      </c>
      <c r="Q645" s="2">
        <v>-6.3703924947644541E-15</v>
      </c>
    </row>
    <row r="648" spans="1:17" x14ac:dyDescent="0.35">
      <c r="A648" s="1" t="s">
        <v>9</v>
      </c>
      <c r="B648" s="2">
        <f t="shared" ref="B648" si="887">IF(AND((B639 = B630), ABS(B643-B634) &lt; 0.001),B639+0.1,B639)</f>
        <v>1.9000000000000006</v>
      </c>
    </row>
    <row r="649" spans="1:17" x14ac:dyDescent="0.35">
      <c r="C649" s="1" t="s">
        <v>3</v>
      </c>
    </row>
    <row r="650" spans="1:17" x14ac:dyDescent="0.35">
      <c r="A650" s="1" t="s">
        <v>428</v>
      </c>
      <c r="B650" s="4">
        <f t="shared" ref="B650:B651" si="888">C650*180/PI()</f>
        <v>46.409581405596704</v>
      </c>
      <c r="C650" s="2">
        <f t="shared" ref="C650:C651" si="889">C641+Q643</f>
        <v>0.81000000000000039</v>
      </c>
      <c r="E650" s="7" t="s">
        <v>429</v>
      </c>
      <c r="F650" s="6">
        <f t="shared" ref="F650" si="890">-B652*COS(B$6)+B$1*COS(C650)+B$2*COS(C651)-B$3*COS(C$4)</f>
        <v>7.3503486283654773E-16</v>
      </c>
      <c r="H650" s="11" t="s">
        <v>14</v>
      </c>
      <c r="I650" s="12"/>
      <c r="J650" s="13"/>
      <c r="L650" s="11" t="s">
        <v>430</v>
      </c>
      <c r="M650" s="12"/>
      <c r="N650" s="13"/>
      <c r="O650" s="14" t="s">
        <v>18</v>
      </c>
      <c r="Q650" s="16" t="s">
        <v>19</v>
      </c>
    </row>
    <row r="651" spans="1:17" x14ac:dyDescent="0.35">
      <c r="A651" s="1" t="s">
        <v>431</v>
      </c>
      <c r="B651" s="4">
        <f t="shared" si="888"/>
        <v>3.1254922062713177</v>
      </c>
      <c r="C651" s="2">
        <f t="shared" si="889"/>
        <v>5.4550129744856256E-2</v>
      </c>
      <c r="E651" s="7" t="s">
        <v>432</v>
      </c>
      <c r="F651" s="6">
        <f t="shared" ref="F651" si="891">-B652*SIN(B$6)+B$1*SIN(C650)+B$2*SIN(C651)-B$3*SIN(C$4)</f>
        <v>0</v>
      </c>
      <c r="H651" s="8" t="s">
        <v>16</v>
      </c>
      <c r="I651" s="8" t="s">
        <v>15</v>
      </c>
      <c r="J651" s="9" t="s">
        <v>8</v>
      </c>
      <c r="L651" s="8" t="s">
        <v>16</v>
      </c>
      <c r="M651" s="8" t="s">
        <v>15</v>
      </c>
      <c r="N651" s="9" t="s">
        <v>8</v>
      </c>
      <c r="O651" s="15"/>
      <c r="Q651" s="17"/>
    </row>
    <row r="652" spans="1:17" x14ac:dyDescent="0.35">
      <c r="A652" s="1" t="s">
        <v>8</v>
      </c>
      <c r="B652" s="4">
        <f t="shared" ref="B652" si="892">B643+Q645</f>
        <v>8.059570362392531</v>
      </c>
      <c r="C652" s="2"/>
      <c r="E652" s="7" t="s">
        <v>433</v>
      </c>
      <c r="F652" s="6">
        <f>C650-F$3*B648-0.5*(F$4)*B648^2</f>
        <v>-9.2500000000000138E-2</v>
      </c>
      <c r="H652" s="2">
        <f t="shared" ref="H652" si="893">-B$1*SIN(C650)</f>
        <v>-2.1728615231104285</v>
      </c>
      <c r="I652" s="2">
        <f t="shared" ref="I652" si="894">-B$2*SIN(C651)</f>
        <v>-0.32713847688957126</v>
      </c>
      <c r="J652" s="2">
        <f t="shared" ref="J652" si="895">-COS(B$6)</f>
        <v>-1</v>
      </c>
      <c r="L652" s="2" cm="1">
        <f t="array" ref="L652:N654">MINVERSE(H652:J654)</f>
        <v>0</v>
      </c>
      <c r="M652" s="2">
        <v>-3.193435858707772E-18</v>
      </c>
      <c r="N652" s="2">
        <v>1</v>
      </c>
      <c r="O652" s="10">
        <f t="shared" ref="O652:O654" si="896">-F650</f>
        <v>-7.3503486283654773E-16</v>
      </c>
      <c r="Q652" s="2" cm="1">
        <f t="array" ref="Q652:Q654">MMULT(L652:N654,O652:O654)</f>
        <v>9.2500000000000138E-2</v>
      </c>
    </row>
    <row r="653" spans="1:17" x14ac:dyDescent="0.35">
      <c r="H653" s="2">
        <f t="shared" ref="H653" si="897">B$1*COS(C650)</f>
        <v>2.0684952988552401</v>
      </c>
      <c r="I653" s="2">
        <f t="shared" ref="I653" si="898">B$2*COS(C651)</f>
        <v>5.9910750635372922</v>
      </c>
      <c r="J653" s="2">
        <f t="shared" ref="J653" si="899">-SIN(B$6)</f>
        <v>0</v>
      </c>
      <c r="L653" s="2">
        <v>0</v>
      </c>
      <c r="M653" s="2">
        <v>0.1669149508885594</v>
      </c>
      <c r="N653" s="2">
        <v>-0.34526279122163839</v>
      </c>
      <c r="O653" s="10">
        <f t="shared" si="896"/>
        <v>0</v>
      </c>
      <c r="Q653" s="2">
        <v>-3.1936808188001597E-2</v>
      </c>
    </row>
    <row r="654" spans="1:17" x14ac:dyDescent="0.35">
      <c r="H654" s="2">
        <v>1</v>
      </c>
      <c r="I654" s="2">
        <v>0</v>
      </c>
      <c r="J654" s="2">
        <v>0</v>
      </c>
      <c r="L654" s="2">
        <v>-1</v>
      </c>
      <c r="M654" s="2">
        <v>-5.4604302803780903E-2</v>
      </c>
      <c r="N654" s="2">
        <v>-2.0599127794635397</v>
      </c>
      <c r="O654" s="10">
        <f t="shared" si="896"/>
        <v>9.2500000000000138E-2</v>
      </c>
      <c r="Q654" s="2">
        <v>-0.19054193210037698</v>
      </c>
    </row>
    <row r="657" spans="1:17" x14ac:dyDescent="0.35">
      <c r="A657" s="1" t="s">
        <v>9</v>
      </c>
      <c r="B657" s="2">
        <f t="shared" ref="B657" si="900">IF(AND((B648 = B639), ABS(B652-B643) &lt; 0.001),B648+0.1,B648)</f>
        <v>1.9000000000000006</v>
      </c>
    </row>
    <row r="658" spans="1:17" x14ac:dyDescent="0.35">
      <c r="C658" s="1" t="s">
        <v>3</v>
      </c>
    </row>
    <row r="659" spans="1:17" x14ac:dyDescent="0.35">
      <c r="A659" s="1" t="s">
        <v>434</v>
      </c>
      <c r="B659" s="4">
        <f t="shared" ref="B659:B660" si="901">C659*180/PI()</f>
        <v>51.70944101055683</v>
      </c>
      <c r="C659" s="2">
        <f t="shared" ref="C659:C660" si="902">C650+Q652</f>
        <v>0.90250000000000052</v>
      </c>
      <c r="E659" s="7" t="s">
        <v>435</v>
      </c>
      <c r="F659" s="6">
        <f t="shared" ref="F659" si="903">-B661*COS(B$6)+B$1*COS(C659)+B$2*COS(C660)-B$3*COS(C$4)</f>
        <v>-1.161332033680755E-2</v>
      </c>
      <c r="H659" s="11" t="s">
        <v>14</v>
      </c>
      <c r="I659" s="12"/>
      <c r="J659" s="13"/>
      <c r="L659" s="11" t="s">
        <v>436</v>
      </c>
      <c r="M659" s="12"/>
      <c r="N659" s="13"/>
      <c r="O659" s="14" t="s">
        <v>18</v>
      </c>
      <c r="Q659" s="16" t="s">
        <v>19</v>
      </c>
    </row>
    <row r="660" spans="1:17" x14ac:dyDescent="0.35">
      <c r="A660" s="1" t="s">
        <v>437</v>
      </c>
      <c r="B660" s="4">
        <f t="shared" si="901"/>
        <v>1.295647885979976</v>
      </c>
      <c r="C660" s="2">
        <f t="shared" si="902"/>
        <v>2.2613321556854658E-2</v>
      </c>
      <c r="E660" s="7" t="s">
        <v>438</v>
      </c>
      <c r="F660" s="6">
        <f t="shared" ref="F660" si="904">-B661*SIN(B$6)+B$1*SIN(C659)+B$2*SIN(C660)-B$3*SIN(C$4)</f>
        <v>-9.6961788614033928E-3</v>
      </c>
      <c r="H660" s="8" t="s">
        <v>16</v>
      </c>
      <c r="I660" s="8" t="s">
        <v>15</v>
      </c>
      <c r="J660" s="9" t="s">
        <v>8</v>
      </c>
      <c r="L660" s="8" t="s">
        <v>16</v>
      </c>
      <c r="M660" s="8" t="s">
        <v>15</v>
      </c>
      <c r="N660" s="9" t="s">
        <v>8</v>
      </c>
      <c r="O660" s="15"/>
      <c r="Q660" s="17"/>
    </row>
    <row r="661" spans="1:17" x14ac:dyDescent="0.35">
      <c r="A661" s="1" t="s">
        <v>8</v>
      </c>
      <c r="B661" s="4">
        <f t="shared" ref="B661" si="905">B652+Q654</f>
        <v>7.869028430292154</v>
      </c>
      <c r="C661" s="2"/>
      <c r="E661" s="7" t="s">
        <v>439</v>
      </c>
      <c r="F661" s="6">
        <f>C659-F$3*B657-0.5*(F$4)*B657^2</f>
        <v>0</v>
      </c>
      <c r="H661" s="2">
        <f t="shared" ref="H661" si="906">-B$1*SIN(C659)</f>
        <v>-2.3546354551022022</v>
      </c>
      <c r="I661" s="2">
        <f t="shared" ref="I661" si="907">-B$2*SIN(C660)</f>
        <v>-0.13566836603639426</v>
      </c>
      <c r="J661" s="2">
        <f t="shared" ref="J661" si="908">-COS(B$6)</f>
        <v>-1</v>
      </c>
      <c r="L661" s="2" cm="1">
        <f t="array" ref="L661:N663">MINVERSE(H661:J663)</f>
        <v>0</v>
      </c>
      <c r="M661" s="2">
        <v>1.4734539669126931E-18</v>
      </c>
      <c r="N661" s="2">
        <v>1.0000000000000002</v>
      </c>
      <c r="O661" s="10">
        <f t="shared" ref="O661:O663" si="909">-F659</f>
        <v>1.161332033680755E-2</v>
      </c>
      <c r="Q661" s="2" cm="1">
        <f t="array" ref="Q661:Q663">MMULT(L661:N663,O661:O663)</f>
        <v>1.428687320722983E-20</v>
      </c>
    </row>
    <row r="662" spans="1:17" x14ac:dyDescent="0.35">
      <c r="H662" s="2">
        <f t="shared" ref="H662" si="910">B$1*COS(C659)</f>
        <v>1.8589491315191082</v>
      </c>
      <c r="I662" s="2">
        <f t="shared" ref="I662" si="911">B$2*COS(C660)</f>
        <v>5.9984659784362382</v>
      </c>
      <c r="J662" s="2">
        <f t="shared" ref="J662" si="912">-SIN(B$6)</f>
        <v>0</v>
      </c>
      <c r="L662" s="2">
        <v>0</v>
      </c>
      <c r="M662" s="2">
        <v>0.16670928927410431</v>
      </c>
      <c r="N662" s="2">
        <v>-0.30990408851226403</v>
      </c>
      <c r="O662" s="10">
        <f t="shared" si="909"/>
        <v>9.6961788614033928E-3</v>
      </c>
      <c r="Q662" s="2">
        <v>1.6164430866591536E-3</v>
      </c>
    </row>
    <row r="663" spans="1:17" x14ac:dyDescent="0.35">
      <c r="H663" s="2">
        <v>1</v>
      </c>
      <c r="I663" s="2">
        <v>0</v>
      </c>
      <c r="J663" s="2">
        <v>0</v>
      </c>
      <c r="L663" s="2">
        <v>-1</v>
      </c>
      <c r="M663" s="2">
        <v>-2.2617176878906322E-2</v>
      </c>
      <c r="N663" s="2">
        <v>-2.3125912737857455</v>
      </c>
      <c r="O663" s="10">
        <f t="shared" si="909"/>
        <v>0</v>
      </c>
      <c r="Q663" s="2">
        <v>-1.1832620529165424E-2</v>
      </c>
    </row>
    <row r="666" spans="1:17" x14ac:dyDescent="0.35">
      <c r="A666" s="1" t="s">
        <v>9</v>
      </c>
      <c r="B666" s="2">
        <f t="shared" ref="B666" si="913">IF(AND((B657 = B648), ABS(B661-B652) &lt; 0.001),B657+0.1,B657)</f>
        <v>1.9000000000000006</v>
      </c>
    </row>
    <row r="667" spans="1:17" x14ac:dyDescent="0.35">
      <c r="C667" s="1" t="s">
        <v>3</v>
      </c>
    </row>
    <row r="668" spans="1:17" x14ac:dyDescent="0.35">
      <c r="A668" s="1" t="s">
        <v>440</v>
      </c>
      <c r="B668" s="4">
        <f t="shared" ref="B668:B669" si="914">C668*180/PI()</f>
        <v>51.70944101055683</v>
      </c>
      <c r="C668" s="2">
        <f t="shared" ref="C668:C669" si="915">C659+Q661</f>
        <v>0.90250000000000052</v>
      </c>
      <c r="E668" s="7" t="s">
        <v>441</v>
      </c>
      <c r="F668" s="6">
        <f t="shared" ref="F668" si="916">-B670*COS(B$6)+B$1*COS(C668)+B$2*COS(C669)-B$3*COS(C$4)</f>
        <v>-7.8365634365450848E-6</v>
      </c>
      <c r="H668" s="11" t="s">
        <v>14</v>
      </c>
      <c r="I668" s="12"/>
      <c r="J668" s="13"/>
      <c r="L668" s="11" t="s">
        <v>442</v>
      </c>
      <c r="M668" s="12"/>
      <c r="N668" s="13"/>
      <c r="O668" s="14" t="s">
        <v>18</v>
      </c>
      <c r="Q668" s="16" t="s">
        <v>19</v>
      </c>
    </row>
    <row r="669" spans="1:17" x14ac:dyDescent="0.35">
      <c r="A669" s="1" t="s">
        <v>443</v>
      </c>
      <c r="B669" s="4">
        <f t="shared" si="914"/>
        <v>1.3882632526686451</v>
      </c>
      <c r="C669" s="2">
        <f t="shared" si="915"/>
        <v>2.4229764643513813E-2</v>
      </c>
      <c r="E669" s="7" t="s">
        <v>444</v>
      </c>
      <c r="F669" s="6">
        <f t="shared" ref="F669" si="917">-B670*SIN(B$6)+B$1*SIN(C668)+B$2*SIN(C669)-B$3*SIN(C$4)</f>
        <v>-1.8146560609721973E-7</v>
      </c>
      <c r="H669" s="8" t="s">
        <v>16</v>
      </c>
      <c r="I669" s="8" t="s">
        <v>15</v>
      </c>
      <c r="J669" s="9" t="s">
        <v>8</v>
      </c>
      <c r="L669" s="8" t="s">
        <v>16</v>
      </c>
      <c r="M669" s="8" t="s">
        <v>15</v>
      </c>
      <c r="N669" s="9" t="s">
        <v>8</v>
      </c>
      <c r="O669" s="15"/>
      <c r="Q669" s="17"/>
    </row>
    <row r="670" spans="1:17" x14ac:dyDescent="0.35">
      <c r="A670" s="1" t="s">
        <v>8</v>
      </c>
      <c r="B670" s="4">
        <f t="shared" ref="B670" si="918">B661+Q663</f>
        <v>7.857195809762989</v>
      </c>
      <c r="C670" s="2"/>
      <c r="E670" s="7" t="s">
        <v>445</v>
      </c>
      <c r="F670" s="6">
        <f>C668-F$3*B666-0.5*(F$4)*B666^2</f>
        <v>0</v>
      </c>
      <c r="H670" s="2">
        <f t="shared" ref="H670" si="919">-B$1*SIN(C668)</f>
        <v>-2.3546354551022022</v>
      </c>
      <c r="I670" s="2">
        <f t="shared" ref="I670" si="920">-B$2*SIN(C669)</f>
        <v>-0.14536436343219158</v>
      </c>
      <c r="J670" s="2">
        <f t="shared" ref="J670" si="921">-COS(B$6)</f>
        <v>-1</v>
      </c>
      <c r="L670" s="2" cm="1">
        <f t="array" ref="L670:N672">MINVERSE(H670:J672)</f>
        <v>0</v>
      </c>
      <c r="M670" s="2">
        <v>0</v>
      </c>
      <c r="N670" s="2">
        <v>1</v>
      </c>
      <c r="O670" s="10">
        <f t="shared" ref="O670:O672" si="922">-F668</f>
        <v>7.8365634365450848E-6</v>
      </c>
      <c r="Q670" s="2" cm="1">
        <f t="array" ref="Q670:Q672">MMULT(L670:N672,O670:O672)</f>
        <v>0</v>
      </c>
    </row>
    <row r="671" spans="1:17" x14ac:dyDescent="0.35">
      <c r="H671" s="2">
        <f t="shared" ref="H671" si="923">B$1*COS(C668)</f>
        <v>1.8589491315191082</v>
      </c>
      <c r="I671" s="2">
        <f t="shared" ref="I671" si="924">B$2*COS(C669)</f>
        <v>5.9982388416804442</v>
      </c>
      <c r="J671" s="2">
        <f t="shared" ref="J671" si="925">-SIN(B$6)</f>
        <v>0</v>
      </c>
      <c r="L671" s="2">
        <v>0</v>
      </c>
      <c r="M671" s="2">
        <v>0.16671560209493821</v>
      </c>
      <c r="N671" s="2">
        <v>-0.30991582372507065</v>
      </c>
      <c r="O671" s="10">
        <f t="shared" si="922"/>
        <v>1.8146560609721973E-7</v>
      </c>
      <c r="Q671" s="2">
        <v>3.0253147780020879E-8</v>
      </c>
    </row>
    <row r="672" spans="1:17" x14ac:dyDescent="0.35">
      <c r="H672" s="2">
        <v>1</v>
      </c>
      <c r="I672" s="2">
        <v>0</v>
      </c>
      <c r="J672" s="2">
        <v>0</v>
      </c>
      <c r="L672" s="2">
        <v>-1</v>
      </c>
      <c r="M672" s="2">
        <v>-2.423450737274524E-2</v>
      </c>
      <c r="N672" s="2">
        <v>-2.309584738668844</v>
      </c>
      <c r="O672" s="10">
        <f t="shared" si="922"/>
        <v>0</v>
      </c>
      <c r="Q672" s="2">
        <v>-7.840961166113947E-6</v>
      </c>
    </row>
    <row r="675" spans="1:17" x14ac:dyDescent="0.35">
      <c r="A675" s="1" t="s">
        <v>9</v>
      </c>
      <c r="B675" s="2">
        <f t="shared" ref="B675" si="926">IF(AND((B666 = B657), ABS(B670-B661) &lt; 0.001),B666+0.1,B666)</f>
        <v>1.9000000000000006</v>
      </c>
    </row>
    <row r="676" spans="1:17" x14ac:dyDescent="0.35">
      <c r="C676" s="1" t="s">
        <v>3</v>
      </c>
    </row>
    <row r="677" spans="1:17" x14ac:dyDescent="0.35">
      <c r="A677" s="1" t="s">
        <v>446</v>
      </c>
      <c r="B677" s="4">
        <f t="shared" ref="B677:B678" si="927">C677*180/PI()</f>
        <v>51.70944101055683</v>
      </c>
      <c r="C677" s="2">
        <f t="shared" ref="C677:C678" si="928">C668+Q670</f>
        <v>0.90250000000000052</v>
      </c>
      <c r="E677" s="7" t="s">
        <v>447</v>
      </c>
      <c r="F677" s="6">
        <f t="shared" ref="F677" si="929">-B679*COS(B$6)+B$1*COS(C677)+B$2*COS(C678)-B$3*COS(C$4)</f>
        <v>-3.7058572356640784E-15</v>
      </c>
      <c r="H677" s="11" t="s">
        <v>14</v>
      </c>
      <c r="I677" s="12"/>
      <c r="J677" s="13"/>
      <c r="L677" s="11" t="s">
        <v>448</v>
      </c>
      <c r="M677" s="12"/>
      <c r="N677" s="13"/>
      <c r="O677" s="14" t="s">
        <v>18</v>
      </c>
      <c r="Q677" s="16" t="s">
        <v>19</v>
      </c>
    </row>
    <row r="678" spans="1:17" x14ac:dyDescent="0.35">
      <c r="A678" s="1" t="s">
        <v>449</v>
      </c>
      <c r="B678" s="4">
        <f t="shared" si="927"/>
        <v>1.3882649860463299</v>
      </c>
      <c r="C678" s="2">
        <f t="shared" si="928"/>
        <v>2.4229794896661591E-2</v>
      </c>
      <c r="E678" s="7" t="s">
        <v>450</v>
      </c>
      <c r="F678" s="6">
        <f t="shared" ref="F678" si="930">-B679*SIN(B$6)+B$1*SIN(C677)+B$2*SIN(C678)-B$3*SIN(C$4)</f>
        <v>0</v>
      </c>
      <c r="H678" s="8" t="s">
        <v>16</v>
      </c>
      <c r="I678" s="8" t="s">
        <v>15</v>
      </c>
      <c r="J678" s="9" t="s">
        <v>8</v>
      </c>
      <c r="L678" s="8" t="s">
        <v>16</v>
      </c>
      <c r="M678" s="8" t="s">
        <v>15</v>
      </c>
      <c r="N678" s="9" t="s">
        <v>8</v>
      </c>
      <c r="O678" s="15"/>
      <c r="Q678" s="17"/>
    </row>
    <row r="679" spans="1:17" x14ac:dyDescent="0.35">
      <c r="A679" s="1" t="s">
        <v>8</v>
      </c>
      <c r="B679" s="4">
        <f t="shared" ref="B679" si="931">B670+Q672</f>
        <v>7.8571879688018234</v>
      </c>
      <c r="C679" s="2"/>
      <c r="E679" s="7" t="s">
        <v>451</v>
      </c>
      <c r="F679" s="6">
        <f>C677-F$3*B675-0.5*(F$4)*B675^2</f>
        <v>0</v>
      </c>
      <c r="H679" s="2">
        <f t="shared" ref="H679" si="932">-B$1*SIN(C677)</f>
        <v>-2.3546354551022022</v>
      </c>
      <c r="I679" s="2">
        <f t="shared" ref="I679" si="933">-B$2*SIN(C678)</f>
        <v>-0.1453645448977976</v>
      </c>
      <c r="J679" s="2">
        <f t="shared" ref="J679" si="934">-COS(B$6)</f>
        <v>-1</v>
      </c>
      <c r="L679" s="2" cm="1">
        <f t="array" ref="L679:N681">MINVERSE(H679:J681)</f>
        <v>0</v>
      </c>
      <c r="M679" s="2">
        <v>0</v>
      </c>
      <c r="N679" s="2">
        <v>1</v>
      </c>
      <c r="O679" s="10">
        <f t="shared" ref="O679:O681" si="935">-F677</f>
        <v>3.7058572356640784E-15</v>
      </c>
      <c r="Q679" s="2" cm="1">
        <f t="array" ref="Q679:Q681">MMULT(L679:N681,O679:O681)</f>
        <v>0</v>
      </c>
    </row>
    <row r="680" spans="1:17" x14ac:dyDescent="0.35">
      <c r="H680" s="2">
        <f t="shared" ref="H680" si="936">B$1*COS(C677)</f>
        <v>1.8589491315191082</v>
      </c>
      <c r="I680" s="2">
        <f t="shared" ref="I680" si="937">B$2*COS(C678)</f>
        <v>5.9982388372827113</v>
      </c>
      <c r="J680" s="2">
        <f t="shared" ref="J680" si="938">-SIN(B$6)</f>
        <v>0</v>
      </c>
      <c r="L680" s="2">
        <v>0</v>
      </c>
      <c r="M680" s="2">
        <v>0.16671560221716919</v>
      </c>
      <c r="N680" s="2">
        <v>-0.30991582395229178</v>
      </c>
      <c r="O680" s="10">
        <f t="shared" si="935"/>
        <v>0</v>
      </c>
      <c r="Q680" s="2">
        <v>0</v>
      </c>
    </row>
    <row r="681" spans="1:17" x14ac:dyDescent="0.35">
      <c r="H681" s="2">
        <v>1</v>
      </c>
      <c r="I681" s="2">
        <v>0</v>
      </c>
      <c r="J681" s="2">
        <v>0</v>
      </c>
      <c r="L681" s="2">
        <v>-1</v>
      </c>
      <c r="M681" s="2">
        <v>-2.4234537643661055E-2</v>
      </c>
      <c r="N681" s="2">
        <v>-2.3095846823967512</v>
      </c>
      <c r="O681" s="10">
        <f t="shared" si="935"/>
        <v>0</v>
      </c>
      <c r="Q681" s="2">
        <v>-3.7058572356640784E-15</v>
      </c>
    </row>
    <row r="684" spans="1:17" x14ac:dyDescent="0.35">
      <c r="A684" s="1" t="s">
        <v>9</v>
      </c>
      <c r="B684" s="2">
        <f t="shared" ref="B684" si="939">IF(AND((B675 = B666), ABS(B679-B670) &lt; 0.001),B675+0.1,B675)</f>
        <v>2.0000000000000004</v>
      </c>
    </row>
    <row r="685" spans="1:17" x14ac:dyDescent="0.35">
      <c r="C685" s="1" t="s">
        <v>3</v>
      </c>
    </row>
    <row r="686" spans="1:17" x14ac:dyDescent="0.35">
      <c r="A686" s="1" t="s">
        <v>452</v>
      </c>
      <c r="B686" s="4">
        <f t="shared" ref="B686:B687" si="940">C686*180/PI()</f>
        <v>51.70944101055683</v>
      </c>
      <c r="C686" s="2">
        <f t="shared" ref="C686:C687" si="941">C677+Q679</f>
        <v>0.90250000000000052</v>
      </c>
      <c r="E686" s="7" t="s">
        <v>453</v>
      </c>
      <c r="F686" s="6">
        <f t="shared" ref="F686" si="942">-B688*COS(B$6)+B$1*COS(C686)+B$2*COS(C687)-B$3*COS(C$4)</f>
        <v>-1.531435568635775E-16</v>
      </c>
      <c r="H686" s="11" t="s">
        <v>14</v>
      </c>
      <c r="I686" s="12"/>
      <c r="J686" s="13"/>
      <c r="L686" s="11" t="s">
        <v>454</v>
      </c>
      <c r="M686" s="12"/>
      <c r="N686" s="13"/>
      <c r="O686" s="14" t="s">
        <v>18</v>
      </c>
      <c r="Q686" s="16" t="s">
        <v>19</v>
      </c>
    </row>
    <row r="687" spans="1:17" x14ac:dyDescent="0.35">
      <c r="A687" s="1" t="s">
        <v>455</v>
      </c>
      <c r="B687" s="4">
        <f t="shared" si="940"/>
        <v>1.3882649860463299</v>
      </c>
      <c r="C687" s="2">
        <f t="shared" si="941"/>
        <v>2.4229794896661591E-2</v>
      </c>
      <c r="E687" s="7" t="s">
        <v>456</v>
      </c>
      <c r="F687" s="6">
        <f t="shared" ref="F687" si="943">-B688*SIN(B$6)+B$1*SIN(C686)+B$2*SIN(C687)-B$3*SIN(C$4)</f>
        <v>0</v>
      </c>
      <c r="H687" s="8" t="s">
        <v>16</v>
      </c>
      <c r="I687" s="8" t="s">
        <v>15</v>
      </c>
      <c r="J687" s="9" t="s">
        <v>8</v>
      </c>
      <c r="L687" s="8" t="s">
        <v>16</v>
      </c>
      <c r="M687" s="8" t="s">
        <v>15</v>
      </c>
      <c r="N687" s="9" t="s">
        <v>8</v>
      </c>
      <c r="O687" s="15"/>
      <c r="Q687" s="17"/>
    </row>
    <row r="688" spans="1:17" x14ac:dyDescent="0.35">
      <c r="A688" s="1" t="s">
        <v>8</v>
      </c>
      <c r="B688" s="4">
        <f t="shared" ref="B688" si="944">B679+Q681</f>
        <v>7.8571879688018198</v>
      </c>
      <c r="C688" s="2"/>
      <c r="E688" s="7" t="s">
        <v>457</v>
      </c>
      <c r="F688" s="6">
        <f>C686-F$3*B684-0.5*(F$4)*B684^2</f>
        <v>-9.749999999999992E-2</v>
      </c>
      <c r="H688" s="2">
        <f t="shared" ref="H688" si="945">-B$1*SIN(C686)</f>
        <v>-2.3546354551022022</v>
      </c>
      <c r="I688" s="2">
        <f t="shared" ref="I688" si="946">-B$2*SIN(C687)</f>
        <v>-0.1453645448977976</v>
      </c>
      <c r="J688" s="2">
        <f t="shared" ref="J688" si="947">-COS(B$6)</f>
        <v>-1</v>
      </c>
      <c r="L688" s="2" cm="1">
        <f t="array" ref="L688:N690">MINVERSE(H688:J690)</f>
        <v>0</v>
      </c>
      <c r="M688" s="2">
        <v>0</v>
      </c>
      <c r="N688" s="2">
        <v>1</v>
      </c>
      <c r="O688" s="10">
        <f t="shared" ref="O688:O690" si="948">-F686</f>
        <v>1.531435568635775E-16</v>
      </c>
      <c r="Q688" s="2" cm="1">
        <f t="array" ref="Q688:Q690">MMULT(L688:N690,O688:O690)</f>
        <v>9.749999999999992E-2</v>
      </c>
    </row>
    <row r="689" spans="1:17" x14ac:dyDescent="0.35">
      <c r="H689" s="2">
        <f t="shared" ref="H689" si="949">B$1*COS(C686)</f>
        <v>1.8589491315191082</v>
      </c>
      <c r="I689" s="2">
        <f t="shared" ref="I689" si="950">B$2*COS(C687)</f>
        <v>5.9982388372827113</v>
      </c>
      <c r="J689" s="2">
        <f t="shared" ref="J689" si="951">-SIN(B$6)</f>
        <v>0</v>
      </c>
      <c r="L689" s="2">
        <v>0</v>
      </c>
      <c r="M689" s="2">
        <v>0.16671560221716919</v>
      </c>
      <c r="N689" s="2">
        <v>-0.30991582395229178</v>
      </c>
      <c r="O689" s="10">
        <f t="shared" si="948"/>
        <v>0</v>
      </c>
      <c r="Q689" s="2">
        <v>-3.0216792835348425E-2</v>
      </c>
    </row>
    <row r="690" spans="1:17" x14ac:dyDescent="0.35">
      <c r="H690" s="2">
        <v>1</v>
      </c>
      <c r="I690" s="2">
        <v>0</v>
      </c>
      <c r="J690" s="2">
        <v>0</v>
      </c>
      <c r="L690" s="2">
        <v>-1</v>
      </c>
      <c r="M690" s="2">
        <v>-2.4234537643661055E-2</v>
      </c>
      <c r="N690" s="2">
        <v>-2.3095846823967512</v>
      </c>
      <c r="O690" s="10">
        <f t="shared" si="948"/>
        <v>9.749999999999992E-2</v>
      </c>
      <c r="Q690" s="2">
        <v>-0.22518450653368322</v>
      </c>
    </row>
    <row r="693" spans="1:17" x14ac:dyDescent="0.35">
      <c r="A693" s="1" t="s">
        <v>9</v>
      </c>
      <c r="B693" s="2">
        <f t="shared" ref="B693" si="952">IF(AND((B684 = B675), ABS(B688-B679) &lt; 0.001),B684+0.1,B684)</f>
        <v>2.0000000000000004</v>
      </c>
    </row>
    <row r="694" spans="1:17" x14ac:dyDescent="0.35">
      <c r="C694" s="1" t="s">
        <v>3</v>
      </c>
    </row>
    <row r="695" spans="1:17" x14ac:dyDescent="0.35">
      <c r="A695" s="1" t="s">
        <v>458</v>
      </c>
      <c r="B695" s="4">
        <f t="shared" ref="B695:B696" si="953">C695*180/PI()</f>
        <v>57.295779513082351</v>
      </c>
      <c r="C695" s="2">
        <f t="shared" ref="C695:C696" si="954">C686+Q688</f>
        <v>1.0000000000000004</v>
      </c>
      <c r="E695" s="7" t="s">
        <v>459</v>
      </c>
      <c r="F695" s="6">
        <f t="shared" ref="F695" si="955">-B697*COS(B$6)+B$1*COS(C695)+B$2*COS(C696)-B$3*COS(C$4)</f>
        <v>-1.120407677547168E-2</v>
      </c>
      <c r="H695" s="11" t="s">
        <v>14</v>
      </c>
      <c r="I695" s="12"/>
      <c r="J695" s="13"/>
      <c r="L695" s="11" t="s">
        <v>460</v>
      </c>
      <c r="M695" s="12"/>
      <c r="N695" s="13"/>
      <c r="O695" s="14" t="s">
        <v>18</v>
      </c>
      <c r="Q695" s="16" t="s">
        <v>19</v>
      </c>
    </row>
    <row r="696" spans="1:17" x14ac:dyDescent="0.35">
      <c r="A696" s="1" t="s">
        <v>461</v>
      </c>
      <c r="B696" s="4">
        <f t="shared" si="953"/>
        <v>-0.34302971384027925</v>
      </c>
      <c r="C696" s="2">
        <f t="shared" si="954"/>
        <v>-5.986997938686834E-3</v>
      </c>
      <c r="E696" s="7" t="s">
        <v>462</v>
      </c>
      <c r="F696" s="6">
        <f t="shared" ref="F696" si="956">-B697*SIN(B$6)+B$1*SIN(C695)+B$2*SIN(C696)-B$3*SIN(C$4)</f>
        <v>-1.1508818609997196E-2</v>
      </c>
      <c r="H696" s="8" t="s">
        <v>16</v>
      </c>
      <c r="I696" s="8" t="s">
        <v>15</v>
      </c>
      <c r="J696" s="9" t="s">
        <v>8</v>
      </c>
      <c r="L696" s="8" t="s">
        <v>16</v>
      </c>
      <c r="M696" s="8" t="s">
        <v>15</v>
      </c>
      <c r="N696" s="9" t="s">
        <v>8</v>
      </c>
      <c r="O696" s="15"/>
      <c r="Q696" s="17"/>
    </row>
    <row r="697" spans="1:17" x14ac:dyDescent="0.35">
      <c r="A697" s="1" t="s">
        <v>8</v>
      </c>
      <c r="B697" s="4">
        <f t="shared" ref="B697" si="957">B688+Q690</f>
        <v>7.6320034622681368</v>
      </c>
      <c r="C697" s="2"/>
      <c r="E697" s="7" t="s">
        <v>463</v>
      </c>
      <c r="F697" s="6">
        <f>C695-F$3*B693-0.5*(F$4)*B693^2</f>
        <v>0</v>
      </c>
      <c r="H697" s="2">
        <f t="shared" ref="H697" si="958">-B$1*SIN(C695)</f>
        <v>-2.5244129544236902</v>
      </c>
      <c r="I697" s="2">
        <f t="shared" ref="I697" si="959">-B$2*SIN(C696)</f>
        <v>3.5921773033687467E-2</v>
      </c>
      <c r="J697" s="2">
        <f t="shared" ref="J697" si="960">-COS(B$6)</f>
        <v>-1</v>
      </c>
      <c r="L697" s="2" cm="1">
        <f t="array" ref="L697:N699">MINVERSE(H697:J699)</f>
        <v>0</v>
      </c>
      <c r="M697" s="2">
        <v>0</v>
      </c>
      <c r="N697" s="2">
        <v>1</v>
      </c>
      <c r="O697" s="10">
        <f t="shared" ref="O697:O699" si="961">-F695</f>
        <v>1.120407677547168E-2</v>
      </c>
      <c r="Q697" s="2" cm="1">
        <f t="array" ref="Q697:Q699">MMULT(L697:N699,O697:O699)</f>
        <v>0</v>
      </c>
    </row>
    <row r="698" spans="1:17" x14ac:dyDescent="0.35">
      <c r="H698" s="2">
        <f t="shared" ref="H698" si="962">B$1*COS(C695)</f>
        <v>1.620906917604418</v>
      </c>
      <c r="I698" s="2">
        <f t="shared" ref="I698" si="963">B$2*COS(C696)</f>
        <v>5.9998924678882473</v>
      </c>
      <c r="J698" s="2">
        <f t="shared" ref="J698" si="964">-SIN(B$6)</f>
        <v>0</v>
      </c>
      <c r="L698" s="2">
        <v>0</v>
      </c>
      <c r="M698" s="2">
        <v>0.16666965372330497</v>
      </c>
      <c r="N698" s="2">
        <v>-0.27015599467483797</v>
      </c>
      <c r="O698" s="10">
        <f t="shared" si="961"/>
        <v>1.1508818609997196E-2</v>
      </c>
      <c r="Q698" s="2">
        <v>1.9181708124925607E-3</v>
      </c>
    </row>
    <row r="699" spans="1:17" x14ac:dyDescent="0.35">
      <c r="H699" s="2">
        <v>1</v>
      </c>
      <c r="I699" s="2">
        <v>0</v>
      </c>
      <c r="J699" s="2">
        <v>0</v>
      </c>
      <c r="L699" s="2">
        <v>-1</v>
      </c>
      <c r="M699" s="2">
        <v>5.9870694726518441E-3</v>
      </c>
      <c r="N699" s="2">
        <v>-2.5341174367480899</v>
      </c>
      <c r="O699" s="10">
        <f t="shared" si="961"/>
        <v>0</v>
      </c>
      <c r="Q699" s="2">
        <v>-1.1135172678905479E-2</v>
      </c>
    </row>
    <row r="702" spans="1:17" x14ac:dyDescent="0.35">
      <c r="A702" s="1" t="s">
        <v>9</v>
      </c>
      <c r="B702" s="2">
        <f t="shared" ref="B702" si="965">IF(AND((B693 = B684), ABS(B697-B688) &lt; 0.001),B693+0.1,B693)</f>
        <v>2.0000000000000004</v>
      </c>
    </row>
    <row r="703" spans="1:17" x14ac:dyDescent="0.35">
      <c r="C703" s="1" t="s">
        <v>3</v>
      </c>
    </row>
    <row r="704" spans="1:17" x14ac:dyDescent="0.35">
      <c r="A704" s="1" t="s">
        <v>464</v>
      </c>
      <c r="B704" s="4">
        <f t="shared" ref="B704:B705" si="966">C704*180/PI()</f>
        <v>57.295779513082351</v>
      </c>
      <c r="C704" s="2">
        <f t="shared" ref="C704:C705" si="967">C695+Q697</f>
        <v>1.0000000000000004</v>
      </c>
      <c r="E704" s="7" t="s">
        <v>465</v>
      </c>
      <c r="F704" s="6">
        <f t="shared" ref="F704" si="968">-B706*COS(B$6)+B$1*COS(C704)+B$2*COS(C705)-B$3*COS(C$4)</f>
        <v>-1.1037978842207629E-5</v>
      </c>
      <c r="H704" s="11" t="s">
        <v>14</v>
      </c>
      <c r="I704" s="12"/>
      <c r="J704" s="13"/>
      <c r="L704" s="11" t="s">
        <v>466</v>
      </c>
      <c r="M704" s="12"/>
      <c r="N704" s="13"/>
      <c r="O704" s="14" t="s">
        <v>18</v>
      </c>
      <c r="Q704" s="16" t="s">
        <v>19</v>
      </c>
    </row>
    <row r="705" spans="1:17" x14ac:dyDescent="0.35">
      <c r="A705" s="1" t="s">
        <v>467</v>
      </c>
      <c r="B705" s="4">
        <f t="shared" si="966"/>
        <v>-0.23312662189927549</v>
      </c>
      <c r="C705" s="2">
        <f t="shared" si="967"/>
        <v>-4.0688271261942735E-3</v>
      </c>
      <c r="E705" s="7" t="s">
        <v>468</v>
      </c>
      <c r="F705" s="6">
        <f t="shared" ref="F705" si="969">-B706*SIN(B$6)+B$1*SIN(C704)+B$2*SIN(C705)-B$3*SIN(C$4)</f>
        <v>5.9027343013440259E-8</v>
      </c>
      <c r="H705" s="8" t="s">
        <v>16</v>
      </c>
      <c r="I705" s="8" t="s">
        <v>15</v>
      </c>
      <c r="J705" s="9" t="s">
        <v>8</v>
      </c>
      <c r="L705" s="8" t="s">
        <v>16</v>
      </c>
      <c r="M705" s="8" t="s">
        <v>15</v>
      </c>
      <c r="N705" s="9" t="s">
        <v>8</v>
      </c>
      <c r="O705" s="15"/>
      <c r="Q705" s="17"/>
    </row>
    <row r="706" spans="1:17" x14ac:dyDescent="0.35">
      <c r="A706" s="1" t="s">
        <v>8</v>
      </c>
      <c r="B706" s="4">
        <f t="shared" ref="B706" si="970">B697+Q699</f>
        <v>7.6208682895892315</v>
      </c>
      <c r="C706" s="2"/>
      <c r="E706" s="7" t="s">
        <v>469</v>
      </c>
      <c r="F706" s="6">
        <f>C704-F$3*B702-0.5*(F$4)*B702^2</f>
        <v>0</v>
      </c>
      <c r="H706" s="2">
        <f t="shared" ref="H706" si="971">-B$1*SIN(C704)</f>
        <v>-2.5244129544236902</v>
      </c>
      <c r="I706" s="2">
        <f t="shared" ref="I706" si="972">-B$2*SIN(C705)</f>
        <v>2.4412895396347216E-2</v>
      </c>
      <c r="J706" s="2">
        <f t="shared" ref="J706" si="973">-COS(B$6)</f>
        <v>-1</v>
      </c>
      <c r="L706" s="2" cm="1">
        <f t="array" ref="L706:N708">MINVERSE(H706:J708)</f>
        <v>0</v>
      </c>
      <c r="M706" s="2">
        <v>3.4358948145487454E-19</v>
      </c>
      <c r="N706" s="2">
        <v>0.99999999999999978</v>
      </c>
      <c r="O706" s="10">
        <f t="shared" ref="O706:O708" si="974">-F704</f>
        <v>1.1037978842207629E-5</v>
      </c>
      <c r="Q706" s="2" cm="1">
        <f t="array" ref="Q706:Q708">MMULT(L706:N708,O706:O708)</f>
        <v>-2.0281174177646949E-26</v>
      </c>
    </row>
    <row r="707" spans="1:17" x14ac:dyDescent="0.35">
      <c r="H707" s="2">
        <f t="shared" ref="H707" si="975">B$1*COS(C704)</f>
        <v>1.620906917604418</v>
      </c>
      <c r="I707" s="2">
        <f t="shared" ref="I707" si="976">B$2*COS(C705)</f>
        <v>5.9999503340059714</v>
      </c>
      <c r="J707" s="2">
        <f t="shared" ref="J707" si="977">-SIN(B$6)</f>
        <v>0</v>
      </c>
      <c r="L707" s="2">
        <v>0</v>
      </c>
      <c r="M707" s="2">
        <v>0.16666804628903195</v>
      </c>
      <c r="N707" s="2">
        <v>-0.27015338917350523</v>
      </c>
      <c r="O707" s="10">
        <f t="shared" si="974"/>
        <v>-5.9027343013440259E-8</v>
      </c>
      <c r="Q707" s="2">
        <v>-9.8379719376826275E-9</v>
      </c>
    </row>
    <row r="708" spans="1:17" x14ac:dyDescent="0.35">
      <c r="H708" s="2">
        <v>1</v>
      </c>
      <c r="I708" s="2">
        <v>0</v>
      </c>
      <c r="J708" s="2">
        <v>0</v>
      </c>
      <c r="L708" s="2">
        <v>-1</v>
      </c>
      <c r="M708" s="2">
        <v>4.0688495799676922E-3</v>
      </c>
      <c r="N708" s="2">
        <v>-2.5310081808545513</v>
      </c>
      <c r="O708" s="10">
        <f t="shared" si="974"/>
        <v>0</v>
      </c>
      <c r="Q708" s="2">
        <v>-1.1038219015587455E-5</v>
      </c>
    </row>
    <row r="711" spans="1:17" x14ac:dyDescent="0.35">
      <c r="A711" s="1" t="s">
        <v>9</v>
      </c>
      <c r="B711" s="2">
        <f t="shared" ref="B711" si="978">IF(AND((B702 = B693), ABS(B706-B697) &lt; 0.001),B702+0.1,B702)</f>
        <v>2.0000000000000004</v>
      </c>
    </row>
    <row r="712" spans="1:17" x14ac:dyDescent="0.35">
      <c r="C712" s="1" t="s">
        <v>3</v>
      </c>
    </row>
    <row r="713" spans="1:17" x14ac:dyDescent="0.35">
      <c r="A713" s="1" t="s">
        <v>470</v>
      </c>
      <c r="B713" s="4">
        <f t="shared" ref="B713:B714" si="979">C713*180/PI()</f>
        <v>57.295779513082351</v>
      </c>
      <c r="C713" s="2">
        <f t="shared" ref="C713:C714" si="980">C704+Q706</f>
        <v>1.0000000000000004</v>
      </c>
      <c r="E713" s="7" t="s">
        <v>471</v>
      </c>
      <c r="F713" s="6">
        <f t="shared" ref="F713" si="981">-B715*COS(B$6)+B$1*COS(C713)+B$2*COS(C714)-B$3*COS(C$4)</f>
        <v>-1.0413219765637027E-15</v>
      </c>
      <c r="H713" s="11" t="s">
        <v>14</v>
      </c>
      <c r="I713" s="12"/>
      <c r="J713" s="13"/>
      <c r="L713" s="11" t="s">
        <v>472</v>
      </c>
      <c r="M713" s="12"/>
      <c r="N713" s="13"/>
      <c r="O713" s="14" t="s">
        <v>18</v>
      </c>
      <c r="Q713" s="16" t="s">
        <v>19</v>
      </c>
    </row>
    <row r="714" spans="1:17" x14ac:dyDescent="0.35">
      <c r="A714" s="1" t="s">
        <v>473</v>
      </c>
      <c r="B714" s="4">
        <f t="shared" si="979"/>
        <v>-0.2331271855735465</v>
      </c>
      <c r="C714" s="2">
        <f t="shared" si="980"/>
        <v>-4.0688369641662114E-3</v>
      </c>
      <c r="E714" s="7" t="s">
        <v>474</v>
      </c>
      <c r="F714" s="6">
        <f t="shared" ref="F714" si="982">-B715*SIN(B$6)+B$1*SIN(C713)+B$2*SIN(C714)-B$3*SIN(C$4)</f>
        <v>0</v>
      </c>
      <c r="H714" s="8" t="s">
        <v>16</v>
      </c>
      <c r="I714" s="8" t="s">
        <v>15</v>
      </c>
      <c r="J714" s="9" t="s">
        <v>8</v>
      </c>
      <c r="L714" s="8" t="s">
        <v>16</v>
      </c>
      <c r="M714" s="8" t="s">
        <v>15</v>
      </c>
      <c r="N714" s="9" t="s">
        <v>8</v>
      </c>
      <c r="O714" s="15"/>
      <c r="Q714" s="17"/>
    </row>
    <row r="715" spans="1:17" x14ac:dyDescent="0.35">
      <c r="A715" s="1" t="s">
        <v>8</v>
      </c>
      <c r="B715" s="4">
        <f t="shared" ref="B715" si="983">B706+Q708</f>
        <v>7.6208572513702162</v>
      </c>
      <c r="C715" s="2"/>
      <c r="E715" s="7" t="s">
        <v>475</v>
      </c>
      <c r="F715" s="6">
        <f>C713-F$3*B711-0.5*(F$4)*B711^2</f>
        <v>0</v>
      </c>
      <c r="H715" s="2">
        <f t="shared" ref="H715" si="984">-B$1*SIN(C713)</f>
        <v>-2.5244129544236902</v>
      </c>
      <c r="I715" s="2">
        <f t="shared" ref="I715" si="985">-B$2*SIN(C714)</f>
        <v>2.4412954423690229E-2</v>
      </c>
      <c r="J715" s="2">
        <f t="shared" ref="J715" si="986">-COS(B$6)</f>
        <v>-1</v>
      </c>
      <c r="L715" s="2" cm="1">
        <f t="array" ref="L715:N717">MINVERSE(H715:J717)</f>
        <v>0</v>
      </c>
      <c r="M715" s="2">
        <v>3.4358948145487454E-19</v>
      </c>
      <c r="N715" s="2">
        <v>0.99999999999999978</v>
      </c>
      <c r="O715" s="10">
        <f t="shared" ref="O715:O717" si="987">-F713</f>
        <v>1.0413219765637027E-15</v>
      </c>
      <c r="Q715" s="2" cm="1">
        <f t="array" ref="Q715:Q717">MMULT(L715:N717,O715:O717)</f>
        <v>0</v>
      </c>
    </row>
    <row r="716" spans="1:17" x14ac:dyDescent="0.35">
      <c r="H716" s="2">
        <f t="shared" ref="H716" si="988">B$1*COS(C713)</f>
        <v>1.620906917604418</v>
      </c>
      <c r="I716" s="2">
        <f t="shared" ref="I716" si="989">B$2*COS(C714)</f>
        <v>5.9999503337657973</v>
      </c>
      <c r="J716" s="2">
        <f t="shared" ref="J716" si="990">-SIN(B$6)</f>
        <v>0</v>
      </c>
      <c r="L716" s="2">
        <v>0</v>
      </c>
      <c r="M716" s="2">
        <v>0.16666804629570359</v>
      </c>
      <c r="N716" s="2">
        <v>-0.27015338918431925</v>
      </c>
      <c r="O716" s="10">
        <f t="shared" si="987"/>
        <v>0</v>
      </c>
      <c r="Q716" s="2">
        <v>0</v>
      </c>
    </row>
    <row r="717" spans="1:17" x14ac:dyDescent="0.35">
      <c r="H717" s="2">
        <v>1</v>
      </c>
      <c r="I717" s="2">
        <v>0</v>
      </c>
      <c r="J717" s="2">
        <v>0</v>
      </c>
      <c r="L717" s="2">
        <v>-1</v>
      </c>
      <c r="M717" s="2">
        <v>4.0688594181025042E-3</v>
      </c>
      <c r="N717" s="2">
        <v>-2.5310081968012521</v>
      </c>
      <c r="O717" s="10">
        <f t="shared" si="987"/>
        <v>0</v>
      </c>
      <c r="Q717" s="2">
        <v>-1.0413219765637027E-15</v>
      </c>
    </row>
    <row r="720" spans="1:17" x14ac:dyDescent="0.35">
      <c r="A720" s="1" t="s">
        <v>9</v>
      </c>
      <c r="B720" s="2">
        <f t="shared" ref="B720" si="991">IF(AND((B711 = B702), ABS(B715-B706) &lt; 0.001),B711+0.1,B711)</f>
        <v>2.1000000000000005</v>
      </c>
    </row>
    <row r="721" spans="1:17" x14ac:dyDescent="0.35">
      <c r="C721" s="1" t="s">
        <v>3</v>
      </c>
    </row>
    <row r="722" spans="1:17" x14ac:dyDescent="0.35">
      <c r="A722" s="1" t="s">
        <v>476</v>
      </c>
      <c r="B722" s="4">
        <f t="shared" ref="B722:B723" si="992">C722*180/PI()</f>
        <v>57.295779513082351</v>
      </c>
      <c r="C722" s="2">
        <f t="shared" ref="C722:C723" si="993">C713+Q715</f>
        <v>1.0000000000000004</v>
      </c>
      <c r="E722" s="7" t="s">
        <v>477</v>
      </c>
      <c r="F722" s="6">
        <f t="shared" ref="F722" si="994">-B724*COS(B$6)+B$1*COS(C722)+B$2*COS(C723)-B$3*COS(C$4)</f>
        <v>-1.531435568635775E-16</v>
      </c>
      <c r="H722" s="11" t="s">
        <v>14</v>
      </c>
      <c r="I722" s="12"/>
      <c r="J722" s="13"/>
      <c r="L722" s="11" t="s">
        <v>478</v>
      </c>
      <c r="M722" s="12"/>
      <c r="N722" s="13"/>
      <c r="O722" s="14" t="s">
        <v>18</v>
      </c>
      <c r="Q722" s="16" t="s">
        <v>19</v>
      </c>
    </row>
    <row r="723" spans="1:17" x14ac:dyDescent="0.35">
      <c r="A723" s="1" t="s">
        <v>479</v>
      </c>
      <c r="B723" s="4">
        <f t="shared" si="992"/>
        <v>-0.2331271855735465</v>
      </c>
      <c r="C723" s="2">
        <f t="shared" si="993"/>
        <v>-4.0688369641662114E-3</v>
      </c>
      <c r="E723" s="7" t="s">
        <v>480</v>
      </c>
      <c r="F723" s="6">
        <f t="shared" ref="F723" si="995">-B724*SIN(B$6)+B$1*SIN(C722)+B$2*SIN(C723)-B$3*SIN(C$4)</f>
        <v>0</v>
      </c>
      <c r="H723" s="8" t="s">
        <v>16</v>
      </c>
      <c r="I723" s="8" t="s">
        <v>15</v>
      </c>
      <c r="J723" s="9" t="s">
        <v>8</v>
      </c>
      <c r="L723" s="8" t="s">
        <v>16</v>
      </c>
      <c r="M723" s="8" t="s">
        <v>15</v>
      </c>
      <c r="N723" s="9" t="s">
        <v>8</v>
      </c>
      <c r="O723" s="15"/>
      <c r="Q723" s="17"/>
    </row>
    <row r="724" spans="1:17" x14ac:dyDescent="0.35">
      <c r="A724" s="1" t="s">
        <v>8</v>
      </c>
      <c r="B724" s="4">
        <f t="shared" ref="B724" si="996">B715+Q717</f>
        <v>7.6208572513702153</v>
      </c>
      <c r="C724" s="2"/>
      <c r="E724" s="7" t="s">
        <v>481</v>
      </c>
      <c r="F724" s="6">
        <f>C722-F$3*B720-0.5*(F$4)*B720^2</f>
        <v>-0.10250000000000004</v>
      </c>
      <c r="H724" s="2">
        <f t="shared" ref="H724" si="997">-B$1*SIN(C722)</f>
        <v>-2.5244129544236902</v>
      </c>
      <c r="I724" s="2">
        <f t="shared" ref="I724" si="998">-B$2*SIN(C723)</f>
        <v>2.4412954423690229E-2</v>
      </c>
      <c r="J724" s="2">
        <f t="shared" ref="J724" si="999">-COS(B$6)</f>
        <v>-1</v>
      </c>
      <c r="L724" s="2" cm="1">
        <f t="array" ref="L724:N726">MINVERSE(H724:J726)</f>
        <v>0</v>
      </c>
      <c r="M724" s="2">
        <v>3.4358948145487454E-19</v>
      </c>
      <c r="N724" s="2">
        <v>0.99999999999999978</v>
      </c>
      <c r="O724" s="10">
        <f t="shared" ref="O724:O726" si="1000">-F722</f>
        <v>1.531435568635775E-16</v>
      </c>
      <c r="Q724" s="2" cm="1">
        <f t="array" ref="Q724:Q726">MMULT(L724:N726,O724:O726)</f>
        <v>0.10250000000000001</v>
      </c>
    </row>
    <row r="725" spans="1:17" x14ac:dyDescent="0.35">
      <c r="H725" s="2">
        <f t="shared" ref="H725" si="1001">B$1*COS(C722)</f>
        <v>1.620906917604418</v>
      </c>
      <c r="I725" s="2">
        <f t="shared" ref="I725" si="1002">B$2*COS(C723)</f>
        <v>5.9999503337657973</v>
      </c>
      <c r="J725" s="2">
        <f t="shared" ref="J725" si="1003">-SIN(B$6)</f>
        <v>0</v>
      </c>
      <c r="L725" s="2">
        <v>0</v>
      </c>
      <c r="M725" s="2">
        <v>0.16666804629570359</v>
      </c>
      <c r="N725" s="2">
        <v>-0.27015338918431925</v>
      </c>
      <c r="O725" s="10">
        <f t="shared" si="1000"/>
        <v>0</v>
      </c>
      <c r="Q725" s="2">
        <v>-2.7690722391392732E-2</v>
      </c>
    </row>
    <row r="726" spans="1:17" x14ac:dyDescent="0.35">
      <c r="H726" s="2">
        <v>1</v>
      </c>
      <c r="I726" s="2">
        <v>0</v>
      </c>
      <c r="J726" s="2">
        <v>0</v>
      </c>
      <c r="L726" s="2">
        <v>-1</v>
      </c>
      <c r="M726" s="2">
        <v>4.0688594181025042E-3</v>
      </c>
      <c r="N726" s="2">
        <v>-2.5310081968012521</v>
      </c>
      <c r="O726" s="10">
        <f t="shared" si="1000"/>
        <v>0.10250000000000004</v>
      </c>
      <c r="Q726" s="2">
        <v>-0.25942834017212862</v>
      </c>
    </row>
    <row r="729" spans="1:17" x14ac:dyDescent="0.35">
      <c r="A729" s="1" t="s">
        <v>9</v>
      </c>
      <c r="B729" s="2">
        <f t="shared" ref="B729" si="1004">IF(AND((B720 = B711), ABS(B724-B715) &lt; 0.001),B720+0.1,B720)</f>
        <v>2.1000000000000005</v>
      </c>
    </row>
    <row r="730" spans="1:17" x14ac:dyDescent="0.35">
      <c r="C730" s="1" t="s">
        <v>3</v>
      </c>
    </row>
    <row r="731" spans="1:17" x14ac:dyDescent="0.35">
      <c r="A731" s="1" t="s">
        <v>482</v>
      </c>
      <c r="B731" s="4">
        <f t="shared" ref="B731:B732" si="1005">C731*180/PI()</f>
        <v>63.168596913173282</v>
      </c>
      <c r="C731" s="2">
        <f t="shared" ref="C731:C732" si="1006">C722+Q724</f>
        <v>1.1025000000000005</v>
      </c>
      <c r="E731" s="7" t="s">
        <v>483</v>
      </c>
      <c r="F731" s="6">
        <f t="shared" ref="F731" si="1007">-B733*COS(B$6)+B$1*COS(C731)+B$2*COS(C732)-B$3*COS(C$4)</f>
        <v>-1.0354602107019037E-2</v>
      </c>
      <c r="H731" s="11" t="s">
        <v>14</v>
      </c>
      <c r="I731" s="12"/>
      <c r="J731" s="13"/>
      <c r="L731" s="11" t="s">
        <v>484</v>
      </c>
      <c r="M731" s="12"/>
      <c r="N731" s="13"/>
      <c r="O731" s="14" t="s">
        <v>18</v>
      </c>
      <c r="Q731" s="16" t="s">
        <v>19</v>
      </c>
    </row>
    <row r="732" spans="1:17" x14ac:dyDescent="0.35">
      <c r="A732" s="1" t="s">
        <v>485</v>
      </c>
      <c r="B732" s="4">
        <f t="shared" si="1005"/>
        <v>-1.819688710268756</v>
      </c>
      <c r="C732" s="2">
        <f t="shared" si="1006"/>
        <v>-3.1759559355558943E-2</v>
      </c>
      <c r="E732" s="7" t="s">
        <v>486</v>
      </c>
      <c r="F732" s="6">
        <f t="shared" ref="F732" si="1008">-B733*SIN(B$6)+B$1*SIN(C731)+B$2*SIN(C732)-B$3*SIN(C$4)</f>
        <v>-1.3509630359951785E-2</v>
      </c>
      <c r="H732" s="8" t="s">
        <v>16</v>
      </c>
      <c r="I732" s="8" t="s">
        <v>15</v>
      </c>
      <c r="J732" s="9" t="s">
        <v>8</v>
      </c>
      <c r="L732" s="8" t="s">
        <v>16</v>
      </c>
      <c r="M732" s="8" t="s">
        <v>15</v>
      </c>
      <c r="N732" s="9" t="s">
        <v>8</v>
      </c>
      <c r="O732" s="15"/>
      <c r="Q732" s="17"/>
    </row>
    <row r="733" spans="1:17" x14ac:dyDescent="0.35">
      <c r="A733" s="1" t="s">
        <v>8</v>
      </c>
      <c r="B733" s="4">
        <f t="shared" ref="B733" si="1009">B724+Q726</f>
        <v>7.3614289111980868</v>
      </c>
      <c r="C733" s="2"/>
      <c r="E733" s="7" t="s">
        <v>487</v>
      </c>
      <c r="F733" s="6">
        <f>C731-F$3*B729-0.5*(F$4)*B729^2</f>
        <v>0</v>
      </c>
      <c r="H733" s="2">
        <f t="shared" ref="H733" si="1010">-B$1*SIN(C731)</f>
        <v>-2.6770156924866311</v>
      </c>
      <c r="I733" s="2">
        <f t="shared" ref="I733" si="1011">-B$2*SIN(C732)</f>
        <v>0.19052532284658297</v>
      </c>
      <c r="J733" s="2">
        <f t="shared" ref="J733" si="1012">-COS(B$6)</f>
        <v>-1</v>
      </c>
      <c r="L733" s="2" cm="1">
        <f t="array" ref="L733:N735">MINVERSE(H733:J735)</f>
        <v>0</v>
      </c>
      <c r="M733" s="2">
        <v>2.5920258605065614E-18</v>
      </c>
      <c r="N733" s="2">
        <v>1</v>
      </c>
      <c r="O733" s="10">
        <f t="shared" ref="O733:O735" si="1013">-F731</f>
        <v>1.0354602107019037E-2</v>
      </c>
      <c r="Q733" s="2" cm="1">
        <f t="array" ref="Q733:Q735">MMULT(L733:N735,O733:O735)</f>
        <v>3.5017311258879591E-20</v>
      </c>
    </row>
    <row r="734" spans="1:17" x14ac:dyDescent="0.35">
      <c r="H734" s="2">
        <f t="shared" ref="H734" si="1014">B$1*COS(C731)</f>
        <v>1.3541000635774019</v>
      </c>
      <c r="I734" s="2">
        <f t="shared" ref="I734" si="1015">B$2*COS(C732)</f>
        <v>5.9969742455136661</v>
      </c>
      <c r="J734" s="2">
        <f t="shared" ref="J734" si="1016">-SIN(B$6)</f>
        <v>0</v>
      </c>
      <c r="L734" s="2">
        <v>0</v>
      </c>
      <c r="M734" s="2">
        <v>0.16675075780892334</v>
      </c>
      <c r="N734" s="2">
        <v>-0.22579721175064305</v>
      </c>
      <c r="O734" s="10">
        <f t="shared" si="1013"/>
        <v>1.3509630359951785E-2</v>
      </c>
      <c r="Q734" s="2">
        <v>2.252741100240398E-3</v>
      </c>
    </row>
    <row r="735" spans="1:17" x14ac:dyDescent="0.35">
      <c r="H735" s="2">
        <v>1</v>
      </c>
      <c r="I735" s="2">
        <v>0</v>
      </c>
      <c r="J735" s="2">
        <v>0</v>
      </c>
      <c r="L735" s="2">
        <v>-1</v>
      </c>
      <c r="M735" s="2">
        <v>3.1770241966457481E-2</v>
      </c>
      <c r="N735" s="2">
        <v>-2.7200357791532808</v>
      </c>
      <c r="O735" s="10">
        <f t="shared" si="1013"/>
        <v>0</v>
      </c>
      <c r="Q735" s="2">
        <v>-9.9253978816059678E-3</v>
      </c>
    </row>
    <row r="738" spans="1:17" x14ac:dyDescent="0.35">
      <c r="A738" s="1" t="s">
        <v>9</v>
      </c>
      <c r="B738" s="2">
        <f t="shared" ref="B738" si="1017">IF(AND((B729 = B720), ABS(B733-B724) &lt; 0.001),B729+0.1,B729)</f>
        <v>2.1000000000000005</v>
      </c>
    </row>
    <row r="739" spans="1:17" x14ac:dyDescent="0.35">
      <c r="C739" s="1" t="s">
        <v>3</v>
      </c>
    </row>
    <row r="740" spans="1:17" x14ac:dyDescent="0.35">
      <c r="A740" s="1" t="s">
        <v>488</v>
      </c>
      <c r="B740" s="4">
        <f t="shared" ref="B740:B741" si="1018">C740*180/PI()</f>
        <v>63.168596913173282</v>
      </c>
      <c r="C740" s="2">
        <f t="shared" ref="C740:C741" si="1019">C731+Q733</f>
        <v>1.1025000000000005</v>
      </c>
      <c r="E740" s="7" t="s">
        <v>489</v>
      </c>
      <c r="F740" s="6">
        <f t="shared" ref="F740" si="1020">-B742*COS(B$6)+B$1*COS(C740)+B$2*COS(C741)-B$3*COS(C$4)</f>
        <v>-1.5217206368920366E-5</v>
      </c>
      <c r="H740" s="11" t="s">
        <v>14</v>
      </c>
      <c r="I740" s="12"/>
      <c r="J740" s="13"/>
      <c r="L740" s="11" t="s">
        <v>490</v>
      </c>
      <c r="M740" s="12"/>
      <c r="N740" s="13"/>
      <c r="O740" s="14" t="s">
        <v>18</v>
      </c>
      <c r="Q740" s="16" t="s">
        <v>19</v>
      </c>
    </row>
    <row r="741" spans="1:17" x14ac:dyDescent="0.35">
      <c r="A741" s="1" t="s">
        <v>491</v>
      </c>
      <c r="B741" s="4">
        <f t="shared" si="1018"/>
        <v>-1.690616152889324</v>
      </c>
      <c r="C741" s="2">
        <f t="shared" si="1019"/>
        <v>-2.9506818255318545E-2</v>
      </c>
      <c r="E741" s="7" t="s">
        <v>492</v>
      </c>
      <c r="F741" s="6">
        <f t="shared" ref="F741" si="1021">-B742*SIN(B$6)+B$1*SIN(C740)+B$2*SIN(C741)-B$3*SIN(C$4)</f>
        <v>4.7201625674730963E-7</v>
      </c>
      <c r="H741" s="8" t="s">
        <v>16</v>
      </c>
      <c r="I741" s="8" t="s">
        <v>15</v>
      </c>
      <c r="J741" s="9" t="s">
        <v>8</v>
      </c>
      <c r="L741" s="8" t="s">
        <v>16</v>
      </c>
      <c r="M741" s="8" t="s">
        <v>15</v>
      </c>
      <c r="N741" s="9" t="s">
        <v>8</v>
      </c>
      <c r="O741" s="15"/>
      <c r="Q741" s="17"/>
    </row>
    <row r="742" spans="1:17" x14ac:dyDescent="0.35">
      <c r="A742" s="1" t="s">
        <v>8</v>
      </c>
      <c r="B742" s="4">
        <f t="shared" ref="B742" si="1022">B733+Q735</f>
        <v>7.351503513316481</v>
      </c>
      <c r="C742" s="2"/>
      <c r="E742" s="7" t="s">
        <v>493</v>
      </c>
      <c r="F742" s="6">
        <f>C740-F$3*B738-0.5*(F$4)*B738^2</f>
        <v>0</v>
      </c>
      <c r="H742" s="2">
        <f t="shared" ref="H742" si="1023">-B$1*SIN(C740)</f>
        <v>-2.6770156924866311</v>
      </c>
      <c r="I742" s="2">
        <f t="shared" ref="I742" si="1024">-B$2*SIN(C741)</f>
        <v>0.17701522047037418</v>
      </c>
      <c r="J742" s="2">
        <f t="shared" ref="J742" si="1025">-COS(B$6)</f>
        <v>-1</v>
      </c>
      <c r="L742" s="2" cm="1">
        <f t="array" ref="L742:N744">MINVERSE(H742:J744)</f>
        <v>0</v>
      </c>
      <c r="M742" s="2">
        <v>0</v>
      </c>
      <c r="N742" s="2">
        <v>1</v>
      </c>
      <c r="O742" s="10">
        <f t="shared" ref="O742:O744" si="1026">-F740</f>
        <v>1.5217206368920366E-5</v>
      </c>
      <c r="Q742" s="2" cm="1">
        <f t="array" ref="Q742:Q744">MMULT(L742:N744,O742:O744)</f>
        <v>0</v>
      </c>
    </row>
    <row r="743" spans="1:17" x14ac:dyDescent="0.35">
      <c r="H743" s="2">
        <f t="shared" ref="H743" si="1027">B$1*COS(C740)</f>
        <v>1.3541000635774019</v>
      </c>
      <c r="I743" s="2">
        <f t="shared" ref="I743" si="1028">B$2*COS(C741)</f>
        <v>5.9973882325327104</v>
      </c>
      <c r="J743" s="2">
        <f t="shared" ref="J743" si="1029">-SIN(B$6)</f>
        <v>0</v>
      </c>
      <c r="L743" s="2">
        <v>0</v>
      </c>
      <c r="M743" s="2">
        <v>0.16673924735696122</v>
      </c>
      <c r="N743" s="2">
        <v>-0.2257816254469093</v>
      </c>
      <c r="O743" s="10">
        <f t="shared" si="1026"/>
        <v>-4.7201625674730963E-7</v>
      </c>
      <c r="Q743" s="2">
        <v>-7.870363539029657E-8</v>
      </c>
    </row>
    <row r="744" spans="1:17" x14ac:dyDescent="0.35">
      <c r="H744" s="2">
        <v>1</v>
      </c>
      <c r="I744" s="2">
        <v>0</v>
      </c>
      <c r="J744" s="2">
        <v>0</v>
      </c>
      <c r="L744" s="2">
        <v>-1</v>
      </c>
      <c r="M744" s="2">
        <v>2.9515384631956746E-2</v>
      </c>
      <c r="N744" s="2">
        <v>-2.7169824766932753</v>
      </c>
      <c r="O744" s="10">
        <f t="shared" si="1026"/>
        <v>0</v>
      </c>
      <c r="Q744" s="2">
        <v>-1.5231138110290799E-5</v>
      </c>
    </row>
    <row r="747" spans="1:17" x14ac:dyDescent="0.35">
      <c r="A747" s="1" t="s">
        <v>9</v>
      </c>
      <c r="B747" s="2">
        <f t="shared" ref="B747" si="1030">IF(AND((B738 = B729), ABS(B742-B733) &lt; 0.001),B738+0.1,B738)</f>
        <v>2.1000000000000005</v>
      </c>
    </row>
    <row r="748" spans="1:17" x14ac:dyDescent="0.35">
      <c r="C748" s="1" t="s">
        <v>3</v>
      </c>
    </row>
    <row r="749" spans="1:17" x14ac:dyDescent="0.35">
      <c r="A749" s="1" t="s">
        <v>494</v>
      </c>
      <c r="B749" s="4">
        <f t="shared" ref="B749:B750" si="1031">C749*180/PI()</f>
        <v>63.168596913173282</v>
      </c>
      <c r="C749" s="2">
        <f t="shared" ref="C749:C750" si="1032">C740+Q742</f>
        <v>1.1025000000000005</v>
      </c>
      <c r="E749" s="7" t="s">
        <v>495</v>
      </c>
      <c r="F749" s="6">
        <f t="shared" ref="F749" si="1033">-B751*COS(B$6)+B$1*COS(C749)+B$2*COS(C750)-B$3*COS(C$4)</f>
        <v>-1.9693068790266333E-14</v>
      </c>
      <c r="H749" s="11" t="s">
        <v>14</v>
      </c>
      <c r="I749" s="12"/>
      <c r="J749" s="13"/>
      <c r="L749" s="11" t="s">
        <v>496</v>
      </c>
      <c r="M749" s="12"/>
      <c r="N749" s="13"/>
      <c r="O749" s="14" t="s">
        <v>18</v>
      </c>
      <c r="Q749" s="16" t="s">
        <v>19</v>
      </c>
    </row>
    <row r="750" spans="1:17" x14ac:dyDescent="0.35">
      <c r="A750" s="1" t="s">
        <v>497</v>
      </c>
      <c r="B750" s="4">
        <f t="shared" si="1031"/>
        <v>-1.6906206622754638</v>
      </c>
      <c r="C750" s="2">
        <f t="shared" si="1032"/>
        <v>-2.9506896958953935E-2</v>
      </c>
      <c r="E750" s="7" t="s">
        <v>498</v>
      </c>
      <c r="F750" s="6">
        <f t="shared" ref="F750" si="1034">-B751*SIN(B$6)+B$1*SIN(C749)+B$2*SIN(C750)-B$3*SIN(C$4)</f>
        <v>0</v>
      </c>
      <c r="H750" s="8" t="s">
        <v>16</v>
      </c>
      <c r="I750" s="8" t="s">
        <v>15</v>
      </c>
      <c r="J750" s="9" t="s">
        <v>8</v>
      </c>
      <c r="L750" s="8" t="s">
        <v>16</v>
      </c>
      <c r="M750" s="8" t="s">
        <v>15</v>
      </c>
      <c r="N750" s="9" t="s">
        <v>8</v>
      </c>
      <c r="O750" s="15"/>
      <c r="Q750" s="17"/>
    </row>
    <row r="751" spans="1:17" x14ac:dyDescent="0.35">
      <c r="A751" s="1" t="s">
        <v>8</v>
      </c>
      <c r="B751" s="4">
        <f t="shared" ref="B751" si="1035">B742+Q744</f>
        <v>7.3514882821783711</v>
      </c>
      <c r="C751" s="2"/>
      <c r="E751" s="7" t="s">
        <v>499</v>
      </c>
      <c r="F751" s="6">
        <f>C749-F$3*B747-0.5*(F$4)*B747^2</f>
        <v>0</v>
      </c>
      <c r="H751" s="2">
        <f t="shared" ref="H751" si="1036">-B$1*SIN(C749)</f>
        <v>-2.6770156924866311</v>
      </c>
      <c r="I751" s="2">
        <f t="shared" ref="I751" si="1037">-B$2*SIN(C750)</f>
        <v>0.1770156924866304</v>
      </c>
      <c r="J751" s="2">
        <f t="shared" ref="J751" si="1038">-COS(B$6)</f>
        <v>-1</v>
      </c>
      <c r="L751" s="2" cm="1">
        <f t="array" ref="L751:N753">MINVERSE(H751:J753)</f>
        <v>0</v>
      </c>
      <c r="M751" s="2">
        <v>1.2960129302532807E-18</v>
      </c>
      <c r="N751" s="2">
        <v>1</v>
      </c>
      <c r="O751" s="10">
        <f t="shared" ref="O751:O753" si="1039">-F749</f>
        <v>1.9693068790266333E-14</v>
      </c>
      <c r="Q751" s="2" cm="1">
        <f t="array" ref="Q751:Q753">MMULT(L751:N753,O751:O753)</f>
        <v>0</v>
      </c>
    </row>
    <row r="752" spans="1:17" x14ac:dyDescent="0.35">
      <c r="H752" s="2">
        <f t="shared" ref="H752" si="1040">B$1*COS(C749)</f>
        <v>1.3541000635774019</v>
      </c>
      <c r="I752" s="2">
        <f t="shared" ref="I752" si="1041">B$2*COS(C750)</f>
        <v>5.9973882186009497</v>
      </c>
      <c r="J752" s="2">
        <f t="shared" ref="J752" si="1042">-SIN(B$6)</f>
        <v>0</v>
      </c>
      <c r="L752" s="2">
        <v>0</v>
      </c>
      <c r="M752" s="2">
        <v>0.16673924774429169</v>
      </c>
      <c r="N752" s="2">
        <v>-0.22578162597139351</v>
      </c>
      <c r="O752" s="10">
        <f t="shared" si="1039"/>
        <v>0</v>
      </c>
      <c r="Q752" s="2">
        <v>0</v>
      </c>
    </row>
    <row r="753" spans="1:17" x14ac:dyDescent="0.35">
      <c r="H753" s="2">
        <v>1</v>
      </c>
      <c r="I753" s="2">
        <v>0</v>
      </c>
      <c r="J753" s="2">
        <v>0</v>
      </c>
      <c r="L753" s="2">
        <v>-1</v>
      </c>
      <c r="M753" s="2">
        <v>2.9515463404155617E-2</v>
      </c>
      <c r="N753" s="2">
        <v>-2.7169825833587145</v>
      </c>
      <c r="O753" s="10">
        <f t="shared" si="1039"/>
        <v>0</v>
      </c>
      <c r="Q753" s="2">
        <v>-1.9693068790266333E-14</v>
      </c>
    </row>
    <row r="756" spans="1:17" x14ac:dyDescent="0.35">
      <c r="A756" s="1" t="s">
        <v>9</v>
      </c>
      <c r="B756" s="2">
        <f t="shared" ref="B756" si="1043">IF(AND((B747 = B738), ABS(B751-B742) &lt; 0.001),B747+0.1,B747)</f>
        <v>2.2000000000000006</v>
      </c>
    </row>
    <row r="757" spans="1:17" x14ac:dyDescent="0.35">
      <c r="C757" s="1" t="s">
        <v>3</v>
      </c>
    </row>
    <row r="758" spans="1:17" x14ac:dyDescent="0.35">
      <c r="A758" s="1" t="s">
        <v>500</v>
      </c>
      <c r="B758" s="4">
        <f t="shared" ref="B758:B759" si="1044">C758*180/PI()</f>
        <v>63.168596913173282</v>
      </c>
      <c r="C758" s="2">
        <f t="shared" ref="C758:C759" si="1045">C749+Q751</f>
        <v>1.1025000000000005</v>
      </c>
      <c r="E758" s="7" t="s">
        <v>501</v>
      </c>
      <c r="F758" s="6">
        <f t="shared" ref="F758" si="1046">-B760*COS(B$6)+B$1*COS(C758)+B$2*COS(C759)-B$3*COS(C$4)</f>
        <v>-1.531435568635775E-16</v>
      </c>
      <c r="H758" s="11" t="s">
        <v>14</v>
      </c>
      <c r="I758" s="12"/>
      <c r="J758" s="13"/>
      <c r="L758" s="11" t="s">
        <v>502</v>
      </c>
      <c r="M758" s="12"/>
      <c r="N758" s="13"/>
      <c r="O758" s="14" t="s">
        <v>18</v>
      </c>
      <c r="Q758" s="16" t="s">
        <v>19</v>
      </c>
    </row>
    <row r="759" spans="1:17" x14ac:dyDescent="0.35">
      <c r="A759" s="1" t="s">
        <v>503</v>
      </c>
      <c r="B759" s="4">
        <f t="shared" si="1044"/>
        <v>-1.6906206622754638</v>
      </c>
      <c r="C759" s="2">
        <f t="shared" si="1045"/>
        <v>-2.9506896958953935E-2</v>
      </c>
      <c r="E759" s="7" t="s">
        <v>504</v>
      </c>
      <c r="F759" s="6">
        <f t="shared" ref="F759" si="1047">-B760*SIN(B$6)+B$1*SIN(C758)+B$2*SIN(C759)-B$3*SIN(C$4)</f>
        <v>0</v>
      </c>
      <c r="H759" s="8" t="s">
        <v>16</v>
      </c>
      <c r="I759" s="8" t="s">
        <v>15</v>
      </c>
      <c r="J759" s="9" t="s">
        <v>8</v>
      </c>
      <c r="L759" s="8" t="s">
        <v>16</v>
      </c>
      <c r="M759" s="8" t="s">
        <v>15</v>
      </c>
      <c r="N759" s="9" t="s">
        <v>8</v>
      </c>
      <c r="O759" s="15"/>
      <c r="Q759" s="17"/>
    </row>
    <row r="760" spans="1:17" x14ac:dyDescent="0.35">
      <c r="A760" s="1" t="s">
        <v>8</v>
      </c>
      <c r="B760" s="4">
        <f t="shared" ref="B760" si="1048">B751+Q753</f>
        <v>7.3514882821783516</v>
      </c>
      <c r="C760" s="2"/>
      <c r="E760" s="7" t="s">
        <v>505</v>
      </c>
      <c r="F760" s="6">
        <f>C758-F$3*B756-0.5*(F$4)*B756^2</f>
        <v>-0.10750000000000015</v>
      </c>
      <c r="H760" s="2">
        <f t="shared" ref="H760" si="1049">-B$1*SIN(C758)</f>
        <v>-2.6770156924866311</v>
      </c>
      <c r="I760" s="2">
        <f t="shared" ref="I760" si="1050">-B$2*SIN(C759)</f>
        <v>0.1770156924866304</v>
      </c>
      <c r="J760" s="2">
        <f t="shared" ref="J760" si="1051">-COS(B$6)</f>
        <v>-1</v>
      </c>
      <c r="L760" s="2" cm="1">
        <f t="array" ref="L760:N762">MINVERSE(H760:J762)</f>
        <v>0</v>
      </c>
      <c r="M760" s="2">
        <v>1.2960129302532807E-18</v>
      </c>
      <c r="N760" s="2">
        <v>1</v>
      </c>
      <c r="O760" s="10">
        <f t="shared" ref="O760:O762" si="1052">-F758</f>
        <v>1.531435568635775E-16</v>
      </c>
      <c r="Q760" s="2" cm="1">
        <f t="array" ref="Q760:Q762">MMULT(L760:N762,O760:O762)</f>
        <v>0.10750000000000015</v>
      </c>
    </row>
    <row r="761" spans="1:17" x14ac:dyDescent="0.35">
      <c r="H761" s="2">
        <f t="shared" ref="H761" si="1053">B$1*COS(C758)</f>
        <v>1.3541000635774019</v>
      </c>
      <c r="I761" s="2">
        <f t="shared" ref="I761" si="1054">B$2*COS(C759)</f>
        <v>5.9973882186009497</v>
      </c>
      <c r="J761" s="2">
        <f t="shared" ref="J761" si="1055">-SIN(B$6)</f>
        <v>0</v>
      </c>
      <c r="L761" s="2">
        <v>0</v>
      </c>
      <c r="M761" s="2">
        <v>0.16673924774429169</v>
      </c>
      <c r="N761" s="2">
        <v>-0.22578162597139351</v>
      </c>
      <c r="O761" s="10">
        <f t="shared" si="1052"/>
        <v>0</v>
      </c>
      <c r="Q761" s="2">
        <v>-2.4271524791924837E-2</v>
      </c>
    </row>
    <row r="762" spans="1:17" x14ac:dyDescent="0.35">
      <c r="H762" s="2">
        <v>1</v>
      </c>
      <c r="I762" s="2">
        <v>0</v>
      </c>
      <c r="J762" s="2">
        <v>0</v>
      </c>
      <c r="L762" s="2">
        <v>-1</v>
      </c>
      <c r="M762" s="2">
        <v>2.9515463404155617E-2</v>
      </c>
      <c r="N762" s="2">
        <v>-2.7169825833587145</v>
      </c>
      <c r="O762" s="10">
        <f t="shared" si="1052"/>
        <v>0.10750000000000015</v>
      </c>
      <c r="Q762" s="2">
        <v>-0.29207562771106238</v>
      </c>
    </row>
    <row r="765" spans="1:17" x14ac:dyDescent="0.35">
      <c r="A765" s="1" t="s">
        <v>9</v>
      </c>
      <c r="B765" s="2">
        <f t="shared" ref="B765" si="1056">IF(AND((B756 = B747), ABS(B760-B751) &lt; 0.001),B756+0.1,B756)</f>
        <v>2.2000000000000006</v>
      </c>
    </row>
    <row r="766" spans="1:17" x14ac:dyDescent="0.35">
      <c r="C766" s="1" t="s">
        <v>3</v>
      </c>
    </row>
    <row r="767" spans="1:17" x14ac:dyDescent="0.35">
      <c r="A767" s="1" t="s">
        <v>506</v>
      </c>
      <c r="B767" s="4">
        <f t="shared" ref="B767:B768" si="1057">C767*180/PI()</f>
        <v>69.327893210829657</v>
      </c>
      <c r="C767" s="2">
        <f t="shared" ref="C767:C768" si="1058">C758+Q760</f>
        <v>1.2100000000000006</v>
      </c>
      <c r="E767" s="7" t="s">
        <v>507</v>
      </c>
      <c r="F767" s="6">
        <f t="shared" ref="F767" si="1059">-B769*COS(B$6)+B$1*COS(C767)+B$2*COS(C768)-B$3*COS(C$4)</f>
        <v>-9.0287158613594903E-3</v>
      </c>
      <c r="H767" s="11" t="s">
        <v>14</v>
      </c>
      <c r="I767" s="12"/>
      <c r="J767" s="13"/>
      <c r="L767" s="11" t="s">
        <v>508</v>
      </c>
      <c r="M767" s="12"/>
      <c r="N767" s="13"/>
      <c r="O767" s="14" t="s">
        <v>18</v>
      </c>
      <c r="Q767" s="16" t="s">
        <v>19</v>
      </c>
    </row>
    <row r="768" spans="1:17" x14ac:dyDescent="0.35">
      <c r="A768" s="1" t="s">
        <v>509</v>
      </c>
      <c r="B768" s="4">
        <f t="shared" si="1057"/>
        <v>-3.0812765951999008</v>
      </c>
      <c r="C768" s="2">
        <f t="shared" si="1058"/>
        <v>-5.3778421750878769E-2</v>
      </c>
      <c r="E768" s="7" t="s">
        <v>510</v>
      </c>
      <c r="F768" s="6">
        <f t="shared" ref="F768" si="1060">-B769*SIN(B$6)+B$1*SIN(C767)+B$2*SIN(C768)-B$3*SIN(C$4)</f>
        <v>-1.5667014758344422E-2</v>
      </c>
      <c r="H768" s="8" t="s">
        <v>16</v>
      </c>
      <c r="I768" s="8" t="s">
        <v>15</v>
      </c>
      <c r="J768" s="9" t="s">
        <v>8</v>
      </c>
      <c r="L768" s="8" t="s">
        <v>16</v>
      </c>
      <c r="M768" s="8" t="s">
        <v>15</v>
      </c>
      <c r="N768" s="9" t="s">
        <v>8</v>
      </c>
      <c r="O768" s="15"/>
      <c r="Q768" s="17"/>
    </row>
    <row r="769" spans="1:17" x14ac:dyDescent="0.35">
      <c r="A769" s="1" t="s">
        <v>8</v>
      </c>
      <c r="B769" s="4">
        <f t="shared" ref="B769" si="1061">B760+Q762</f>
        <v>7.0594126544672893</v>
      </c>
      <c r="C769" s="2"/>
      <c r="E769" s="7" t="s">
        <v>511</v>
      </c>
      <c r="F769" s="6">
        <f>C767-F$3*B765-0.5*(F$4)*B765^2</f>
        <v>0</v>
      </c>
      <c r="H769" s="2">
        <f t="shared" ref="H769" si="1062">-B$1*SIN(C767)</f>
        <v>-2.8068480046601585</v>
      </c>
      <c r="I769" s="2">
        <f t="shared" ref="I769" si="1063">-B$2*SIN(C768)</f>
        <v>0.32251501941850275</v>
      </c>
      <c r="J769" s="2">
        <f t="shared" ref="J769" si="1064">-COS(B$6)</f>
        <v>-1</v>
      </c>
      <c r="L769" s="2" cm="1">
        <f t="array" ref="L769:N771">MINVERSE(H769:J771)</f>
        <v>0</v>
      </c>
      <c r="M769" s="2">
        <v>0</v>
      </c>
      <c r="N769" s="2">
        <v>0.99999999999999989</v>
      </c>
      <c r="O769" s="10">
        <f t="shared" ref="O769:O771" si="1065">-F767</f>
        <v>9.0287158613594903E-3</v>
      </c>
      <c r="Q769" s="2" cm="1">
        <f t="array" ref="Q769:Q771">MMULT(L769:N771,O769:O771)</f>
        <v>0</v>
      </c>
    </row>
    <row r="770" spans="1:17" x14ac:dyDescent="0.35">
      <c r="H770" s="2">
        <f t="shared" ref="H770" si="1066">B$1*COS(C767)</f>
        <v>1.0590582036579892</v>
      </c>
      <c r="I770" s="2">
        <f t="shared" ref="I770" si="1067">B$2*COS(C768)</f>
        <v>5.9913257349479405</v>
      </c>
      <c r="J770" s="2">
        <f t="shared" ref="J770" si="1068">-SIN(B$6)</f>
        <v>0</v>
      </c>
      <c r="L770" s="2">
        <v>0</v>
      </c>
      <c r="M770" s="2">
        <v>0.16690796732464575</v>
      </c>
      <c r="N770" s="2">
        <v>-0.17676525205104568</v>
      </c>
      <c r="O770" s="10">
        <f t="shared" si="1065"/>
        <v>1.5667014758344422E-2</v>
      </c>
      <c r="Q770" s="2">
        <v>2.6149495873604932E-3</v>
      </c>
    </row>
    <row r="771" spans="1:17" x14ac:dyDescent="0.35">
      <c r="H771" s="2">
        <v>1</v>
      </c>
      <c r="I771" s="2">
        <v>0</v>
      </c>
      <c r="J771" s="2">
        <v>0</v>
      </c>
      <c r="L771" s="2">
        <v>-1</v>
      </c>
      <c r="M771" s="2">
        <v>5.3830326322810942E-2</v>
      </c>
      <c r="N771" s="2">
        <v>-2.8638574533579177</v>
      </c>
      <c r="O771" s="10">
        <f t="shared" si="1065"/>
        <v>0</v>
      </c>
      <c r="Q771" s="2">
        <v>-8.1853553444135151E-3</v>
      </c>
    </row>
    <row r="774" spans="1:17" x14ac:dyDescent="0.35">
      <c r="A774" s="1" t="s">
        <v>9</v>
      </c>
      <c r="B774" s="2">
        <f t="shared" ref="B774" si="1069">IF(AND((B765 = B756), ABS(B769-B760) &lt; 0.001),B765+0.1,B765)</f>
        <v>2.2000000000000006</v>
      </c>
    </row>
    <row r="775" spans="1:17" x14ac:dyDescent="0.35">
      <c r="C775" s="1" t="s">
        <v>3</v>
      </c>
    </row>
    <row r="776" spans="1:17" x14ac:dyDescent="0.35">
      <c r="A776" s="1" t="s">
        <v>512</v>
      </c>
      <c r="B776" s="4">
        <f t="shared" ref="B776:B777" si="1070">C776*180/PI()</f>
        <v>69.327893210829657</v>
      </c>
      <c r="C776" s="2">
        <f t="shared" ref="C776:C777" si="1071">C767+Q769</f>
        <v>1.2100000000000006</v>
      </c>
      <c r="E776" s="7" t="s">
        <v>513</v>
      </c>
      <c r="F776" s="6">
        <f t="shared" ref="F776" si="1072">-B778*COS(B$6)+B$1*COS(C776)+B$2*COS(C777)-B$3*COS(C$4)</f>
        <v>-2.048517635981677E-5</v>
      </c>
      <c r="H776" s="11" t="s">
        <v>14</v>
      </c>
      <c r="I776" s="12"/>
      <c r="J776" s="13"/>
      <c r="L776" s="11" t="s">
        <v>514</v>
      </c>
      <c r="M776" s="12"/>
      <c r="N776" s="13"/>
      <c r="O776" s="14" t="s">
        <v>18</v>
      </c>
      <c r="Q776" s="16" t="s">
        <v>19</v>
      </c>
    </row>
    <row r="777" spans="1:17" x14ac:dyDescent="0.35">
      <c r="A777" s="1" t="s">
        <v>515</v>
      </c>
      <c r="B777" s="4">
        <f t="shared" si="1070"/>
        <v>-2.9314510202046682</v>
      </c>
      <c r="C777" s="2">
        <f t="shared" si="1071"/>
        <v>-5.1163472163518277E-2</v>
      </c>
      <c r="E777" s="7" t="s">
        <v>516</v>
      </c>
      <c r="F777" s="6">
        <f t="shared" ref="F777" si="1073">-B778*SIN(B$6)+B$1*SIN(C776)+B$2*SIN(C777)-B$3*SIN(C$4)</f>
        <v>1.0848169220700754E-6</v>
      </c>
      <c r="H777" s="8" t="s">
        <v>16</v>
      </c>
      <c r="I777" s="8" t="s">
        <v>15</v>
      </c>
      <c r="J777" s="9" t="s">
        <v>8</v>
      </c>
      <c r="L777" s="8" t="s">
        <v>16</v>
      </c>
      <c r="M777" s="8" t="s">
        <v>15</v>
      </c>
      <c r="N777" s="9" t="s">
        <v>8</v>
      </c>
      <c r="O777" s="15"/>
      <c r="Q777" s="17"/>
    </row>
    <row r="778" spans="1:17" x14ac:dyDescent="0.35">
      <c r="A778" s="1" t="s">
        <v>8</v>
      </c>
      <c r="B778" s="4">
        <f t="shared" ref="B778" si="1074">B769+Q771</f>
        <v>7.0512272991228757</v>
      </c>
      <c r="C778" s="2"/>
      <c r="E778" s="7" t="s">
        <v>517</v>
      </c>
      <c r="F778" s="6">
        <f>C776-F$3*B774-0.5*(F$4)*B774^2</f>
        <v>0</v>
      </c>
      <c r="H778" s="2">
        <f t="shared" ref="H778" si="1075">-B$1*SIN(C776)</f>
        <v>-2.8068480046601585</v>
      </c>
      <c r="I778" s="2">
        <f t="shared" ref="I778" si="1076">-B$2*SIN(C777)</f>
        <v>0.30684691984323625</v>
      </c>
      <c r="J778" s="2">
        <f t="shared" ref="J778" si="1077">-COS(B$6)</f>
        <v>-1</v>
      </c>
      <c r="L778" s="2" cm="1">
        <f t="array" ref="L778:N780">MINVERSE(H778:J780)</f>
        <v>0</v>
      </c>
      <c r="M778" s="2">
        <v>2.4721302658308213E-18</v>
      </c>
      <c r="N778" s="2">
        <v>1</v>
      </c>
      <c r="O778" s="10">
        <f t="shared" ref="O778:O780" si="1078">-F776</f>
        <v>2.048517635981677E-5</v>
      </c>
      <c r="Q778" s="2" cm="1">
        <f t="array" ref="Q778:Q780">MMULT(L778:N780,O778:O780)</f>
        <v>-2.6818087459348688E-24</v>
      </c>
    </row>
    <row r="779" spans="1:17" x14ac:dyDescent="0.35">
      <c r="H779" s="2">
        <f t="shared" ref="H779" si="1079">B$1*COS(C776)</f>
        <v>1.0590582036579892</v>
      </c>
      <c r="I779" s="2">
        <f t="shared" ref="I779" si="1080">B$2*COS(C777)</f>
        <v>5.9921486102885266</v>
      </c>
      <c r="J779" s="2">
        <f t="shared" ref="J779" si="1081">-SIN(B$6)</f>
        <v>0</v>
      </c>
      <c r="L779" s="2">
        <v>0</v>
      </c>
      <c r="M779" s="2">
        <v>0.1668850465896321</v>
      </c>
      <c r="N779" s="2">
        <v>-0.17674097765859562</v>
      </c>
      <c r="O779" s="10">
        <f t="shared" si="1078"/>
        <v>-1.0848169220700754E-6</v>
      </c>
      <c r="Q779" s="2">
        <v>-1.8103972258088583E-7</v>
      </c>
    </row>
    <row r="780" spans="1:17" x14ac:dyDescent="0.35">
      <c r="H780" s="2">
        <v>1</v>
      </c>
      <c r="I780" s="2">
        <v>0</v>
      </c>
      <c r="J780" s="2">
        <v>0</v>
      </c>
      <c r="L780" s="2">
        <v>-1</v>
      </c>
      <c r="M780" s="2">
        <v>5.1208162513923586E-2</v>
      </c>
      <c r="N780" s="2">
        <v>-2.8610804292647809</v>
      </c>
      <c r="O780" s="10">
        <f t="shared" si="1078"/>
        <v>0</v>
      </c>
      <c r="Q780" s="2">
        <v>-2.0540727841059988E-5</v>
      </c>
    </row>
    <row r="783" spans="1:17" x14ac:dyDescent="0.35">
      <c r="A783" s="1" t="s">
        <v>9</v>
      </c>
      <c r="B783" s="2">
        <f t="shared" ref="B783" si="1082">IF(AND((B774 = B765), ABS(B778-B769) &lt; 0.001),B774+0.1,B774)</f>
        <v>2.2000000000000006</v>
      </c>
    </row>
    <row r="784" spans="1:17" x14ac:dyDescent="0.35">
      <c r="C784" s="1" t="s">
        <v>3</v>
      </c>
    </row>
    <row r="785" spans="1:17" x14ac:dyDescent="0.35">
      <c r="A785" s="1" t="s">
        <v>518</v>
      </c>
      <c r="B785" s="4">
        <f t="shared" ref="B785:B786" si="1083">C785*180/PI()</f>
        <v>69.327893210829657</v>
      </c>
      <c r="C785" s="2">
        <f t="shared" ref="C785:C786" si="1084">C776+Q778</f>
        <v>1.2100000000000006</v>
      </c>
      <c r="E785" s="7" t="s">
        <v>519</v>
      </c>
      <c r="F785" s="6">
        <f t="shared" ref="F785" si="1085">-B787*COS(B$6)+B$1*COS(C785)+B$2*COS(C786)-B$3*COS(C$4)</f>
        <v>-9.7852769723877353E-14</v>
      </c>
      <c r="H785" s="11" t="s">
        <v>14</v>
      </c>
      <c r="I785" s="12"/>
      <c r="J785" s="13"/>
      <c r="L785" s="11" t="s">
        <v>520</v>
      </c>
      <c r="M785" s="12"/>
      <c r="N785" s="13"/>
      <c r="O785" s="14" t="s">
        <v>18</v>
      </c>
      <c r="Q785" s="16" t="s">
        <v>19</v>
      </c>
    </row>
    <row r="786" spans="1:17" x14ac:dyDescent="0.35">
      <c r="A786" s="1" t="s">
        <v>521</v>
      </c>
      <c r="B786" s="4">
        <f t="shared" si="1083"/>
        <v>-2.9314613930166962</v>
      </c>
      <c r="C786" s="2">
        <f t="shared" si="1084"/>
        <v>-5.1163653203240858E-2</v>
      </c>
      <c r="E786" s="7" t="s">
        <v>522</v>
      </c>
      <c r="F786" s="6">
        <f t="shared" ref="F786" si="1086">-B787*SIN(B$6)+B$1*SIN(C785)+B$2*SIN(C786)-B$3*SIN(C$4)</f>
        <v>5.3290705182007514E-15</v>
      </c>
      <c r="H786" s="8" t="s">
        <v>16</v>
      </c>
      <c r="I786" s="8" t="s">
        <v>15</v>
      </c>
      <c r="J786" s="9" t="s">
        <v>8</v>
      </c>
      <c r="L786" s="8" t="s">
        <v>16</v>
      </c>
      <c r="M786" s="8" t="s">
        <v>15</v>
      </c>
      <c r="N786" s="9" t="s">
        <v>8</v>
      </c>
      <c r="O786" s="15"/>
      <c r="Q786" s="17"/>
    </row>
    <row r="787" spans="1:17" x14ac:dyDescent="0.35">
      <c r="A787" s="1" t="s">
        <v>8</v>
      </c>
      <c r="B787" s="4">
        <f t="shared" ref="B787" si="1087">B778+Q780</f>
        <v>7.0512067583950344</v>
      </c>
      <c r="C787" s="2"/>
      <c r="E787" s="7" t="s">
        <v>523</v>
      </c>
      <c r="F787" s="6">
        <f>C785-F$3*B783-0.5*(F$4)*B783^2</f>
        <v>0</v>
      </c>
      <c r="H787" s="2">
        <f t="shared" ref="H787" si="1088">-B$1*SIN(C785)</f>
        <v>-2.8068480046601585</v>
      </c>
      <c r="I787" s="2">
        <f t="shared" ref="I787" si="1089">-B$2*SIN(C786)</f>
        <v>0.30684800466015327</v>
      </c>
      <c r="J787" s="2">
        <f t="shared" ref="J787" si="1090">-COS(B$6)</f>
        <v>-1</v>
      </c>
      <c r="L787" s="2" cm="1">
        <f t="array" ref="L787:N789">MINVERSE(H787:J789)</f>
        <v>0</v>
      </c>
      <c r="M787" s="2">
        <v>-2.4721302658308213E-18</v>
      </c>
      <c r="N787" s="2">
        <v>1.0000000000000002</v>
      </c>
      <c r="O787" s="10">
        <f t="shared" ref="O787:O789" si="1091">-F785</f>
        <v>9.7852769723877353E-14</v>
      </c>
      <c r="Q787" s="2" cm="1">
        <f t="array" ref="Q787:Q789">MMULT(L787:N789,O787:O789)</f>
        <v>1.3174156516790817E-32</v>
      </c>
    </row>
    <row r="788" spans="1:17" x14ac:dyDescent="0.35">
      <c r="H788" s="2">
        <f t="shared" ref="H788" si="1092">B$1*COS(C785)</f>
        <v>1.0590582036579892</v>
      </c>
      <c r="I788" s="2">
        <f t="shared" ref="I788" si="1093">B$2*COS(C786)</f>
        <v>5.9921485547369473</v>
      </c>
      <c r="J788" s="2">
        <f t="shared" ref="J788" si="1094">-SIN(B$6)</f>
        <v>0</v>
      </c>
      <c r="L788" s="2">
        <v>0</v>
      </c>
      <c r="M788" s="2">
        <v>0.16688504813677796</v>
      </c>
      <c r="N788" s="2">
        <v>-0.17674097929711316</v>
      </c>
      <c r="O788" s="10">
        <f t="shared" si="1091"/>
        <v>-5.3290705182007514E-15</v>
      </c>
      <c r="Q788" s="2">
        <v>-8.8934218995421665E-16</v>
      </c>
    </row>
    <row r="789" spans="1:17" x14ac:dyDescent="0.35">
      <c r="H789" s="2">
        <v>1</v>
      </c>
      <c r="I789" s="2">
        <v>0</v>
      </c>
      <c r="J789" s="2">
        <v>0</v>
      </c>
      <c r="L789" s="2">
        <v>-1</v>
      </c>
      <c r="M789" s="2">
        <v>5.1208344028383951E-2</v>
      </c>
      <c r="N789" s="2">
        <v>-2.8610806214991595</v>
      </c>
      <c r="O789" s="10">
        <f t="shared" si="1091"/>
        <v>0</v>
      </c>
      <c r="Q789" s="2">
        <v>-9.8125662600324896E-14</v>
      </c>
    </row>
    <row r="792" spans="1:17" x14ac:dyDescent="0.35">
      <c r="A792" s="1" t="s">
        <v>9</v>
      </c>
      <c r="B792" s="2">
        <f t="shared" ref="B792" si="1095">IF(AND((B783 = B774), ABS(B787-B778) &lt; 0.001),B783+0.1,B783)</f>
        <v>2.3000000000000007</v>
      </c>
    </row>
    <row r="793" spans="1:17" x14ac:dyDescent="0.35">
      <c r="C793" s="1" t="s">
        <v>3</v>
      </c>
    </row>
    <row r="794" spans="1:17" x14ac:dyDescent="0.35">
      <c r="A794" s="1" t="s">
        <v>524</v>
      </c>
      <c r="B794" s="4">
        <f t="shared" ref="B794:B795" si="1096">C794*180/PI()</f>
        <v>69.327893210829657</v>
      </c>
      <c r="C794" s="2">
        <f t="shared" ref="C794:C795" si="1097">C785+Q787</f>
        <v>1.2100000000000006</v>
      </c>
      <c r="E794" s="7" t="s">
        <v>525</v>
      </c>
      <c r="F794" s="6">
        <f t="shared" ref="F794" si="1098">-B796*COS(B$6)+B$1*COS(C794)+B$2*COS(C795)-B$3*COS(C$4)</f>
        <v>-1.0413219765637027E-15</v>
      </c>
      <c r="H794" s="11" t="s">
        <v>14</v>
      </c>
      <c r="I794" s="12"/>
      <c r="J794" s="13"/>
      <c r="L794" s="11" t="s">
        <v>526</v>
      </c>
      <c r="M794" s="12"/>
      <c r="N794" s="13"/>
      <c r="O794" s="14" t="s">
        <v>18</v>
      </c>
      <c r="Q794" s="16" t="s">
        <v>19</v>
      </c>
    </row>
    <row r="795" spans="1:17" x14ac:dyDescent="0.35">
      <c r="A795" s="1" t="s">
        <v>527</v>
      </c>
      <c r="B795" s="4">
        <f t="shared" si="1096"/>
        <v>-2.9314613930167472</v>
      </c>
      <c r="C795" s="2">
        <f t="shared" si="1097"/>
        <v>-5.1163653203241746E-2</v>
      </c>
      <c r="E795" s="7" t="s">
        <v>528</v>
      </c>
      <c r="F795" s="6">
        <f t="shared" ref="F795" si="1099">-B796*SIN(B$6)+B$1*SIN(C794)+B$2*SIN(C795)-B$3*SIN(C$4)</f>
        <v>0</v>
      </c>
      <c r="H795" s="8" t="s">
        <v>16</v>
      </c>
      <c r="I795" s="8" t="s">
        <v>15</v>
      </c>
      <c r="J795" s="9" t="s">
        <v>8</v>
      </c>
      <c r="L795" s="8" t="s">
        <v>16</v>
      </c>
      <c r="M795" s="8" t="s">
        <v>15</v>
      </c>
      <c r="N795" s="9" t="s">
        <v>8</v>
      </c>
      <c r="O795" s="15"/>
      <c r="Q795" s="17"/>
    </row>
    <row r="796" spans="1:17" x14ac:dyDescent="0.35">
      <c r="A796" s="1" t="s">
        <v>8</v>
      </c>
      <c r="B796" s="4">
        <f t="shared" ref="B796" si="1100">B787+Q789</f>
        <v>7.0512067583949367</v>
      </c>
      <c r="C796" s="2"/>
      <c r="E796" s="7" t="s">
        <v>529</v>
      </c>
      <c r="F796" s="6">
        <f>C794-F$3*B792-0.5*(F$4)*B792^2</f>
        <v>-0.11250000000000027</v>
      </c>
      <c r="H796" s="2">
        <f t="shared" ref="H796" si="1101">-B$1*SIN(C794)</f>
        <v>-2.8068480046601585</v>
      </c>
      <c r="I796" s="2">
        <f t="shared" ref="I796" si="1102">-B$2*SIN(C795)</f>
        <v>0.3068480046601586</v>
      </c>
      <c r="J796" s="2">
        <f t="shared" ref="J796" si="1103">-COS(B$6)</f>
        <v>-1</v>
      </c>
      <c r="L796" s="2" cm="1">
        <f t="array" ref="L796:N798">MINVERSE(H796:J798)</f>
        <v>0</v>
      </c>
      <c r="M796" s="2">
        <v>0</v>
      </c>
      <c r="N796" s="2">
        <v>1.0000000000000002</v>
      </c>
      <c r="O796" s="10">
        <f t="shared" ref="O796:O798" si="1104">-F794</f>
        <v>1.0413219765637027E-15</v>
      </c>
      <c r="Q796" s="2" cm="1">
        <f t="array" ref="Q796:Q798">MMULT(L796:N798,O796:O798)</f>
        <v>0.11250000000000029</v>
      </c>
    </row>
    <row r="797" spans="1:17" x14ac:dyDescent="0.35">
      <c r="H797" s="2">
        <f t="shared" ref="H797" si="1105">B$1*COS(C794)</f>
        <v>1.0590582036579892</v>
      </c>
      <c r="I797" s="2">
        <f t="shared" ref="I797" si="1106">B$2*COS(C795)</f>
        <v>5.9921485547369464</v>
      </c>
      <c r="J797" s="2">
        <f t="shared" ref="J797" si="1107">-SIN(B$6)</f>
        <v>0</v>
      </c>
      <c r="L797" s="2">
        <v>0</v>
      </c>
      <c r="M797" s="2">
        <v>0.16688504813677799</v>
      </c>
      <c r="N797" s="2">
        <v>-0.17674097929711319</v>
      </c>
      <c r="O797" s="10">
        <f t="shared" si="1104"/>
        <v>0</v>
      </c>
      <c r="Q797" s="2">
        <v>-1.988336017092528E-2</v>
      </c>
    </row>
    <row r="798" spans="1:17" x14ac:dyDescent="0.35">
      <c r="H798" s="2">
        <v>1</v>
      </c>
      <c r="I798" s="2">
        <v>0</v>
      </c>
      <c r="J798" s="2">
        <v>0</v>
      </c>
      <c r="L798" s="2">
        <v>-1</v>
      </c>
      <c r="M798" s="2">
        <v>5.1208344028384846E-2</v>
      </c>
      <c r="N798" s="2">
        <v>-2.8610806214991604</v>
      </c>
      <c r="O798" s="10">
        <f t="shared" si="1104"/>
        <v>0.11250000000000027</v>
      </c>
      <c r="Q798" s="2">
        <v>-0.32187156991865734</v>
      </c>
    </row>
    <row r="801" spans="1:17" x14ac:dyDescent="0.35">
      <c r="A801" s="1" t="s">
        <v>9</v>
      </c>
      <c r="B801" s="2">
        <f t="shared" ref="B801" si="1108">IF(AND((B792 = B783), ABS(B796-B787) &lt; 0.001),B792+0.1,B792)</f>
        <v>2.3000000000000007</v>
      </c>
    </row>
    <row r="802" spans="1:17" x14ac:dyDescent="0.35">
      <c r="C802" s="1" t="s">
        <v>3</v>
      </c>
    </row>
    <row r="803" spans="1:17" x14ac:dyDescent="0.35">
      <c r="A803" s="1" t="s">
        <v>530</v>
      </c>
      <c r="B803" s="4">
        <f t="shared" ref="B803:B804" si="1109">C803*180/PI()</f>
        <v>75.773668406051428</v>
      </c>
      <c r="C803" s="2">
        <f t="shared" ref="C803:C804" si="1110">C794+Q796</f>
        <v>1.3225000000000009</v>
      </c>
      <c r="E803" s="7" t="s">
        <v>531</v>
      </c>
      <c r="F803" s="6">
        <f t="shared" ref="F803" si="1111">-B805*COS(B$6)+B$1*COS(C803)+B$2*COS(C804)-B$3*COS(C$4)</f>
        <v>-7.2131814818600518E-3</v>
      </c>
      <c r="H803" s="11" t="s">
        <v>14</v>
      </c>
      <c r="I803" s="12"/>
      <c r="J803" s="13"/>
      <c r="L803" s="11" t="s">
        <v>532</v>
      </c>
      <c r="M803" s="12"/>
      <c r="N803" s="13"/>
      <c r="O803" s="14" t="s">
        <v>18</v>
      </c>
      <c r="Q803" s="16" t="s">
        <v>19</v>
      </c>
    </row>
    <row r="804" spans="1:17" x14ac:dyDescent="0.35">
      <c r="A804" s="1" t="s">
        <v>533</v>
      </c>
      <c r="B804" s="4">
        <f t="shared" si="1109"/>
        <v>-4.0706940133492848</v>
      </c>
      <c r="C804" s="2">
        <f t="shared" si="1110"/>
        <v>-7.1047013374167023E-2</v>
      </c>
      <c r="E804" s="7" t="s">
        <v>534</v>
      </c>
      <c r="F804" s="6">
        <f t="shared" ref="F804" si="1112">-B805*SIN(B$6)+B$1*SIN(C803)+B$2*SIN(C804)-B$3*SIN(C$4)</f>
        <v>-1.7926015686528629E-2</v>
      </c>
      <c r="H804" s="8" t="s">
        <v>16</v>
      </c>
      <c r="I804" s="8" t="s">
        <v>15</v>
      </c>
      <c r="J804" s="9" t="s">
        <v>8</v>
      </c>
      <c r="L804" s="8" t="s">
        <v>16</v>
      </c>
      <c r="M804" s="8" t="s">
        <v>15</v>
      </c>
      <c r="N804" s="9" t="s">
        <v>8</v>
      </c>
      <c r="O804" s="15"/>
      <c r="Q804" s="17"/>
    </row>
    <row r="805" spans="1:17" x14ac:dyDescent="0.35">
      <c r="A805" s="1" t="s">
        <v>8</v>
      </c>
      <c r="B805" s="4">
        <f t="shared" ref="B805" si="1113">B796+Q798</f>
        <v>6.7293351884762798</v>
      </c>
      <c r="C805" s="2"/>
      <c r="E805" s="7" t="s">
        <v>535</v>
      </c>
      <c r="F805" s="6">
        <f>C803-F$3*B801-0.5*(F$4)*B801^2</f>
        <v>0</v>
      </c>
      <c r="H805" s="2">
        <f t="shared" ref="H805" si="1114">-B$1*SIN(C803)</f>
        <v>-2.9079975326039857</v>
      </c>
      <c r="I805" s="2">
        <f t="shared" ref="I805" si="1115">-B$2*SIN(C804)</f>
        <v>0.42592354829051443</v>
      </c>
      <c r="J805" s="2">
        <f t="shared" ref="J805" si="1116">-COS(B$6)</f>
        <v>-1</v>
      </c>
      <c r="L805" s="2" cm="1">
        <f t="array" ref="L805:N807">MINVERSE(H805:J807)</f>
        <v>0</v>
      </c>
      <c r="M805" s="2">
        <v>0</v>
      </c>
      <c r="N805" s="2">
        <v>0.99999999999999989</v>
      </c>
      <c r="O805" s="10">
        <f t="shared" ref="O805:O807" si="1117">-F803</f>
        <v>7.2131814818600518E-3</v>
      </c>
      <c r="Q805" s="2" cm="1">
        <f t="array" ref="Q805:Q807">MMULT(L805:N807,O805:O807)</f>
        <v>0</v>
      </c>
    </row>
    <row r="806" spans="1:17" x14ac:dyDescent="0.35">
      <c r="H806" s="2">
        <f t="shared" ref="H806" si="1118">B$1*COS(C803)</f>
        <v>0.73725867263066625</v>
      </c>
      <c r="I806" s="2">
        <f t="shared" ref="I806" si="1119">B$2*COS(C804)</f>
        <v>5.9848633343637534</v>
      </c>
      <c r="J806" s="2">
        <f t="shared" ref="J806" si="1120">-SIN(B$6)</f>
        <v>0</v>
      </c>
      <c r="L806" s="2">
        <v>0</v>
      </c>
      <c r="M806" s="2">
        <v>0.16708819301824696</v>
      </c>
      <c r="N806" s="2">
        <v>-0.12318721939688931</v>
      </c>
      <c r="O806" s="10">
        <f t="shared" si="1117"/>
        <v>1.7926015686528629E-2</v>
      </c>
      <c r="Q806" s="2">
        <v>2.9952255690788182E-3</v>
      </c>
    </row>
    <row r="807" spans="1:17" x14ac:dyDescent="0.35">
      <c r="H807" s="2">
        <v>1</v>
      </c>
      <c r="I807" s="2">
        <v>0</v>
      </c>
      <c r="J807" s="2">
        <v>0</v>
      </c>
      <c r="L807" s="2">
        <v>-1</v>
      </c>
      <c r="M807" s="2">
        <v>7.1166796047782102E-2</v>
      </c>
      <c r="N807" s="2">
        <v>-2.9604658701935507</v>
      </c>
      <c r="O807" s="10">
        <f t="shared" si="1117"/>
        <v>0</v>
      </c>
      <c r="Q807" s="2">
        <v>-5.9374443795475263E-3</v>
      </c>
    </row>
    <row r="810" spans="1:17" x14ac:dyDescent="0.35">
      <c r="A810" s="1" t="s">
        <v>9</v>
      </c>
      <c r="B810" s="2">
        <f t="shared" ref="B810" si="1121">IF(AND((B801 = B792), ABS(B805-B796) &lt; 0.001),B801+0.1,B801)</f>
        <v>2.3000000000000007</v>
      </c>
    </row>
    <row r="811" spans="1:17" x14ac:dyDescent="0.35">
      <c r="C811" s="1" t="s">
        <v>3</v>
      </c>
    </row>
    <row r="812" spans="1:17" x14ac:dyDescent="0.35">
      <c r="A812" s="1" t="s">
        <v>536</v>
      </c>
      <c r="B812" s="4">
        <f t="shared" ref="B812:B813" si="1122">C812*180/PI()</f>
        <v>75.773668406051428</v>
      </c>
      <c r="C812" s="2">
        <f t="shared" ref="C812:C813" si="1123">C803+Q805</f>
        <v>1.3225000000000009</v>
      </c>
      <c r="E812" s="7" t="s">
        <v>537</v>
      </c>
      <c r="F812" s="6">
        <f t="shared" ref="F812" si="1124">-B814*COS(B$6)+B$1*COS(C812)+B$2*COS(C813)-B$3*COS(C$4)</f>
        <v>-2.6848117716735608E-5</v>
      </c>
      <c r="H812" s="11" t="s">
        <v>14</v>
      </c>
      <c r="I812" s="12"/>
      <c r="J812" s="13"/>
      <c r="L812" s="11" t="s">
        <v>538</v>
      </c>
      <c r="M812" s="12"/>
      <c r="N812" s="13"/>
      <c r="O812" s="14" t="s">
        <v>18</v>
      </c>
      <c r="Q812" s="16" t="s">
        <v>19</v>
      </c>
    </row>
    <row r="813" spans="1:17" x14ac:dyDescent="0.35">
      <c r="A813" s="1" t="s">
        <v>539</v>
      </c>
      <c r="B813" s="4">
        <f t="shared" si="1122"/>
        <v>-3.8990802295513984</v>
      </c>
      <c r="C813" s="2">
        <f t="shared" si="1123"/>
        <v>-6.8051787805088207E-2</v>
      </c>
      <c r="E813" s="7" t="s">
        <v>540</v>
      </c>
      <c r="F813" s="6">
        <f t="shared" ref="F813" si="1125">-B814*SIN(B$6)+B$1*SIN(C812)+B$2*SIN(C813)-B$3*SIN(C$4)</f>
        <v>1.8837552726580498E-6</v>
      </c>
      <c r="H813" s="8" t="s">
        <v>16</v>
      </c>
      <c r="I813" s="8" t="s">
        <v>15</v>
      </c>
      <c r="J813" s="9" t="s">
        <v>8</v>
      </c>
      <c r="L813" s="8" t="s">
        <v>16</v>
      </c>
      <c r="M813" s="8" t="s">
        <v>15</v>
      </c>
      <c r="N813" s="9" t="s">
        <v>8</v>
      </c>
      <c r="O813" s="15"/>
      <c r="Q813" s="17"/>
    </row>
    <row r="814" spans="1:17" x14ac:dyDescent="0.35">
      <c r="A814" s="1" t="s">
        <v>8</v>
      </c>
      <c r="B814" s="4">
        <f t="shared" ref="B814" si="1126">B805+Q807</f>
        <v>6.7233977440967321</v>
      </c>
      <c r="C814" s="2"/>
      <c r="E814" s="7" t="s">
        <v>541</v>
      </c>
      <c r="F814" s="6">
        <f>C812-F$3*B810-0.5*(F$4)*B810^2</f>
        <v>0</v>
      </c>
      <c r="H814" s="2">
        <f t="shared" ref="H814" si="1127">-B$1*SIN(C812)</f>
        <v>-2.9079975326039857</v>
      </c>
      <c r="I814" s="2">
        <f t="shared" ref="I814" si="1128">-B$2*SIN(C813)</f>
        <v>0.40799564884871309</v>
      </c>
      <c r="J814" s="2">
        <f t="shared" ref="J814" si="1129">-COS(B$6)</f>
        <v>-1</v>
      </c>
      <c r="L814" s="2" cm="1">
        <f t="array" ref="L814:N816">MINVERSE(H814:J816)</f>
        <v>0</v>
      </c>
      <c r="M814" s="2">
        <v>-4.7722832128359821E-18</v>
      </c>
      <c r="N814" s="2">
        <v>1</v>
      </c>
      <c r="O814" s="10">
        <f t="shared" ref="O814:O816" si="1130">-F812</f>
        <v>2.6848117716735608E-5</v>
      </c>
      <c r="Q814" s="2" cm="1">
        <f t="array" ref="Q814:Q816">MMULT(L814:N816,O814:O816)</f>
        <v>8.9898136647972784E-24</v>
      </c>
    </row>
    <row r="815" spans="1:17" x14ac:dyDescent="0.35">
      <c r="H815" s="2">
        <f t="shared" ref="H815" si="1131">B$1*COS(C812)</f>
        <v>0.73725867263066625</v>
      </c>
      <c r="I815" s="2">
        <f t="shared" ref="I815" si="1132">B$2*COS(C813)</f>
        <v>5.986112223348349</v>
      </c>
      <c r="J815" s="2">
        <f t="shared" ref="J815" si="1133">-SIN(B$6)</f>
        <v>0</v>
      </c>
      <c r="L815" s="2">
        <v>0</v>
      </c>
      <c r="M815" s="2">
        <v>0.16705333323013566</v>
      </c>
      <c r="N815" s="2">
        <v>-0.12316151871577818</v>
      </c>
      <c r="O815" s="10">
        <f t="shared" si="1130"/>
        <v>-1.8837552726580498E-6</v>
      </c>
      <c r="Q815" s="2">
        <v>-3.1468759728737026E-7</v>
      </c>
    </row>
    <row r="816" spans="1:17" x14ac:dyDescent="0.35">
      <c r="H816" s="2">
        <v>1</v>
      </c>
      <c r="I816" s="2">
        <v>0</v>
      </c>
      <c r="J816" s="2">
        <v>0</v>
      </c>
      <c r="L816" s="2">
        <v>-1</v>
      </c>
      <c r="M816" s="2">
        <v>6.815703308356949E-2</v>
      </c>
      <c r="N816" s="2">
        <v>-2.9582468963456225</v>
      </c>
      <c r="O816" s="10">
        <f t="shared" si="1130"/>
        <v>0</v>
      </c>
      <c r="Q816" s="2">
        <v>-2.6976508887175513E-5</v>
      </c>
    </row>
    <row r="819" spans="1:17" x14ac:dyDescent="0.35">
      <c r="A819" s="1" t="s">
        <v>9</v>
      </c>
      <c r="B819" s="2">
        <f t="shared" ref="B819" si="1134">IF(AND((B810 = B801), ABS(B814-B805) &lt; 0.001),B810+0.1,B810)</f>
        <v>2.3000000000000007</v>
      </c>
    </row>
    <row r="820" spans="1:17" x14ac:dyDescent="0.35">
      <c r="C820" s="1" t="s">
        <v>3</v>
      </c>
    </row>
    <row r="821" spans="1:17" x14ac:dyDescent="0.35">
      <c r="A821" s="1" t="s">
        <v>542</v>
      </c>
      <c r="B821" s="4">
        <f t="shared" ref="B821:B822" si="1135">C821*180/PI()</f>
        <v>75.773668406051428</v>
      </c>
      <c r="C821" s="2">
        <f t="shared" ref="C821:C822" si="1136">C812+Q814</f>
        <v>1.3225000000000009</v>
      </c>
      <c r="E821" s="7" t="s">
        <v>543</v>
      </c>
      <c r="F821" s="6">
        <f t="shared" ref="F821" si="1137">-B823*COS(B$6)+B$1*COS(C821)+B$2*COS(C822)-B$3*COS(C$4)</f>
        <v>-2.9680473573670541E-13</v>
      </c>
      <c r="H821" s="11" t="s">
        <v>14</v>
      </c>
      <c r="I821" s="12"/>
      <c r="J821" s="13"/>
      <c r="L821" s="11" t="s">
        <v>544</v>
      </c>
      <c r="M821" s="12"/>
      <c r="N821" s="13"/>
      <c r="O821" s="14" t="s">
        <v>18</v>
      </c>
      <c r="Q821" s="16" t="s">
        <v>19</v>
      </c>
    </row>
    <row r="822" spans="1:17" x14ac:dyDescent="0.35">
      <c r="A822" s="1" t="s">
        <v>545</v>
      </c>
      <c r="B822" s="4">
        <f t="shared" si="1135"/>
        <v>-3.8990982598225883</v>
      </c>
      <c r="C822" s="2">
        <f t="shared" si="1136"/>
        <v>-6.8052102492685493E-2</v>
      </c>
      <c r="E822" s="7" t="s">
        <v>546</v>
      </c>
      <c r="F822" s="6">
        <f t="shared" ref="F822" si="1138">-B823*SIN(B$6)+B$1*SIN(C821)+B$2*SIN(C822)-B$3*SIN(C$4)</f>
        <v>2.042810365310288E-14</v>
      </c>
      <c r="H822" s="8" t="s">
        <v>16</v>
      </c>
      <c r="I822" s="8" t="s">
        <v>15</v>
      </c>
      <c r="J822" s="9" t="s">
        <v>8</v>
      </c>
      <c r="L822" s="8" t="s">
        <v>16</v>
      </c>
      <c r="M822" s="8" t="s">
        <v>15</v>
      </c>
      <c r="N822" s="9" t="s">
        <v>8</v>
      </c>
      <c r="O822" s="15"/>
      <c r="Q822" s="17"/>
    </row>
    <row r="823" spans="1:17" x14ac:dyDescent="0.35">
      <c r="A823" s="1" t="s">
        <v>8</v>
      </c>
      <c r="B823" s="4">
        <f t="shared" ref="B823" si="1139">B814+Q816</f>
        <v>6.7233707675878449</v>
      </c>
      <c r="C823" s="2"/>
      <c r="E823" s="7" t="s">
        <v>547</v>
      </c>
      <c r="F823" s="6">
        <f>C821-F$3*B819-0.5*(F$4)*B819^2</f>
        <v>0</v>
      </c>
      <c r="H823" s="2">
        <f t="shared" ref="H823" si="1140">-B$1*SIN(C821)</f>
        <v>-2.9079975326039857</v>
      </c>
      <c r="I823" s="2">
        <f t="shared" ref="I823" si="1141">-B$2*SIN(C822)</f>
        <v>0.40799753260396554</v>
      </c>
      <c r="J823" s="2">
        <f t="shared" ref="J823" si="1142">-COS(B$6)</f>
        <v>-1</v>
      </c>
      <c r="L823" s="2" cm="1">
        <f t="array" ref="L823:N825">MINVERSE(H823:J825)</f>
        <v>0</v>
      </c>
      <c r="M823" s="2">
        <v>-4.7722832128359821E-18</v>
      </c>
      <c r="N823" s="2">
        <v>1</v>
      </c>
      <c r="O823" s="10">
        <f t="shared" ref="O823:O825" si="1143">-F821</f>
        <v>2.9680473573670541E-13</v>
      </c>
      <c r="Q823" s="2" cm="1">
        <f t="array" ref="Q823:Q825">MMULT(L823:N825,O823:O825)</f>
        <v>9.7488696133776278E-32</v>
      </c>
    </row>
    <row r="824" spans="1:17" x14ac:dyDescent="0.35">
      <c r="H824" s="2">
        <f t="shared" ref="H824" si="1144">B$1*COS(C821)</f>
        <v>0.73725867263066625</v>
      </c>
      <c r="I824" s="2">
        <f t="shared" ref="I824" si="1145">B$2*COS(C822)</f>
        <v>5.9861120949568818</v>
      </c>
      <c r="J824" s="2">
        <f t="shared" ref="J824" si="1146">-SIN(B$6)</f>
        <v>0</v>
      </c>
      <c r="L824" s="2">
        <v>0</v>
      </c>
      <c r="M824" s="2">
        <v>0.16705333681313281</v>
      </c>
      <c r="N824" s="2">
        <v>-0.12316152135737392</v>
      </c>
      <c r="O824" s="10">
        <f t="shared" si="1143"/>
        <v>-2.042810365310288E-14</v>
      </c>
      <c r="Q824" s="2">
        <v>-3.4125828800153842E-15</v>
      </c>
    </row>
    <row r="825" spans="1:17" x14ac:dyDescent="0.35">
      <c r="H825" s="2">
        <v>1</v>
      </c>
      <c r="I825" s="2">
        <v>0</v>
      </c>
      <c r="J825" s="2">
        <v>0</v>
      </c>
      <c r="L825" s="2">
        <v>-1</v>
      </c>
      <c r="M825" s="2">
        <v>6.8157349233017403E-2</v>
      </c>
      <c r="N825" s="2">
        <v>-2.9582471294295449</v>
      </c>
      <c r="O825" s="10">
        <f t="shared" si="1143"/>
        <v>0</v>
      </c>
      <c r="Q825" s="2">
        <v>-2.9819706113155822E-13</v>
      </c>
    </row>
    <row r="828" spans="1:17" x14ac:dyDescent="0.35">
      <c r="A828" s="1" t="s">
        <v>9</v>
      </c>
      <c r="B828" s="2">
        <f t="shared" ref="B828" si="1147">IF(AND((B819 = B810), ABS(B823-B814) &lt; 0.001),B819+0.1,B819)</f>
        <v>2.4000000000000008</v>
      </c>
    </row>
    <row r="829" spans="1:17" x14ac:dyDescent="0.35">
      <c r="C829" s="1" t="s">
        <v>3</v>
      </c>
    </row>
    <row r="830" spans="1:17" x14ac:dyDescent="0.35">
      <c r="A830" s="1" t="s">
        <v>548</v>
      </c>
      <c r="B830" s="4">
        <f t="shared" ref="B830:B831" si="1148">C830*180/PI()</f>
        <v>75.773668406051428</v>
      </c>
      <c r="C830" s="2">
        <f t="shared" ref="C830:C831" si="1149">C821+Q823</f>
        <v>1.3225000000000009</v>
      </c>
      <c r="E830" s="7" t="s">
        <v>549</v>
      </c>
      <c r="F830" s="6">
        <f t="shared" ref="F830" si="1150">-B832*COS(B$6)+B$1*COS(C830)+B$2*COS(C831)-B$3*COS(C$4)</f>
        <v>7.3503486283654773E-16</v>
      </c>
      <c r="H830" s="11" t="s">
        <v>14</v>
      </c>
      <c r="I830" s="12"/>
      <c r="J830" s="13"/>
      <c r="L830" s="11" t="s">
        <v>550</v>
      </c>
      <c r="M830" s="12"/>
      <c r="N830" s="13"/>
      <c r="O830" s="14" t="s">
        <v>18</v>
      </c>
      <c r="Q830" s="16" t="s">
        <v>19</v>
      </c>
    </row>
    <row r="831" spans="1:17" x14ac:dyDescent="0.35">
      <c r="A831" s="1" t="s">
        <v>551</v>
      </c>
      <c r="B831" s="4">
        <f t="shared" si="1148"/>
        <v>-3.8990982598227837</v>
      </c>
      <c r="C831" s="2">
        <f t="shared" si="1149"/>
        <v>-6.8052102492688907E-2</v>
      </c>
      <c r="E831" s="7" t="s">
        <v>552</v>
      </c>
      <c r="F831" s="6">
        <f t="shared" ref="F831" si="1151">-B832*SIN(B$6)+B$1*SIN(C830)+B$2*SIN(C831)-B$3*SIN(C$4)</f>
        <v>0</v>
      </c>
      <c r="H831" s="8" t="s">
        <v>16</v>
      </c>
      <c r="I831" s="8" t="s">
        <v>15</v>
      </c>
      <c r="J831" s="9" t="s">
        <v>8</v>
      </c>
      <c r="L831" s="8" t="s">
        <v>16</v>
      </c>
      <c r="M831" s="8" t="s">
        <v>15</v>
      </c>
      <c r="N831" s="9" t="s">
        <v>8</v>
      </c>
      <c r="O831" s="15"/>
      <c r="Q831" s="17"/>
    </row>
    <row r="832" spans="1:17" x14ac:dyDescent="0.35">
      <c r="A832" s="1" t="s">
        <v>8</v>
      </c>
      <c r="B832" s="4">
        <f t="shared" ref="B832" si="1152">B823+Q825</f>
        <v>6.7233707675875465</v>
      </c>
      <c r="C832" s="2"/>
      <c r="E832" s="7" t="s">
        <v>553</v>
      </c>
      <c r="F832" s="6">
        <f>C830-F$3*B828-0.5*(F$4)*B828^2</f>
        <v>-0.11750000000000016</v>
      </c>
      <c r="H832" s="2">
        <f t="shared" ref="H832" si="1153">-B$1*SIN(C830)</f>
        <v>-2.9079975326039857</v>
      </c>
      <c r="I832" s="2">
        <f t="shared" ref="I832" si="1154">-B$2*SIN(C831)</f>
        <v>0.40799753260398602</v>
      </c>
      <c r="J832" s="2">
        <f t="shared" ref="J832" si="1155">-COS(B$6)</f>
        <v>-1</v>
      </c>
      <c r="L832" s="2" cm="1">
        <f t="array" ref="L832:N834">MINVERSE(H832:J834)</f>
        <v>0</v>
      </c>
      <c r="M832" s="2">
        <v>-4.7722832128359821E-18</v>
      </c>
      <c r="N832" s="2">
        <v>0.99999999999999989</v>
      </c>
      <c r="O832" s="10">
        <f t="shared" ref="O832:O834" si="1156">-F830</f>
        <v>-7.3503486283654773E-16</v>
      </c>
      <c r="Q832" s="2" cm="1">
        <f t="array" ref="Q832:Q834">MMULT(L832:N834,O832:O834)</f>
        <v>0.11750000000000015</v>
      </c>
    </row>
    <row r="833" spans="1:17" x14ac:dyDescent="0.35">
      <c r="H833" s="2">
        <f t="shared" ref="H833" si="1157">B$1*COS(C830)</f>
        <v>0.73725867263066625</v>
      </c>
      <c r="I833" s="2">
        <f t="shared" ref="I833" si="1158">B$2*COS(C831)</f>
        <v>5.9861120949568809</v>
      </c>
      <c r="J833" s="2">
        <f t="shared" ref="J833" si="1159">-SIN(B$6)</f>
        <v>0</v>
      </c>
      <c r="L833" s="2">
        <v>0</v>
      </c>
      <c r="M833" s="2">
        <v>0.16705333681313284</v>
      </c>
      <c r="N833" s="2">
        <v>-0.12316152135737392</v>
      </c>
      <c r="O833" s="10">
        <f t="shared" si="1156"/>
        <v>0</v>
      </c>
      <c r="Q833" s="2">
        <v>-1.4471478759491455E-2</v>
      </c>
    </row>
    <row r="834" spans="1:17" x14ac:dyDescent="0.35">
      <c r="H834" s="2">
        <v>1</v>
      </c>
      <c r="I834" s="2">
        <v>0</v>
      </c>
      <c r="J834" s="2">
        <v>0</v>
      </c>
      <c r="L834" s="2">
        <v>-1</v>
      </c>
      <c r="M834" s="2">
        <v>6.8157349233020831E-2</v>
      </c>
      <c r="N834" s="2">
        <v>-2.9582471294295472</v>
      </c>
      <c r="O834" s="10">
        <f t="shared" si="1156"/>
        <v>0.11750000000000016</v>
      </c>
      <c r="Q834" s="2">
        <v>-0.34759403770797154</v>
      </c>
    </row>
    <row r="837" spans="1:17" x14ac:dyDescent="0.35">
      <c r="A837" s="1" t="s">
        <v>9</v>
      </c>
      <c r="B837" s="2">
        <f t="shared" ref="B837" si="1160">IF(AND((B828 = B819), ABS(B832-B823) &lt; 0.001),B828+0.1,B828)</f>
        <v>2.4000000000000008</v>
      </c>
    </row>
    <row r="838" spans="1:17" x14ac:dyDescent="0.35">
      <c r="C838" s="1" t="s">
        <v>3</v>
      </c>
    </row>
    <row r="839" spans="1:17" x14ac:dyDescent="0.35">
      <c r="A839" s="1" t="s">
        <v>554</v>
      </c>
      <c r="B839" s="4">
        <f t="shared" ref="B839:B840" si="1161">C839*180/PI()</f>
        <v>82.505922498838615</v>
      </c>
      <c r="C839" s="2">
        <f t="shared" ref="C839:C840" si="1162">C830+Q832</f>
        <v>1.4400000000000011</v>
      </c>
      <c r="E839" s="7" t="s">
        <v>555</v>
      </c>
      <c r="F839" s="6">
        <f t="shared" ref="F839" si="1163">-B841*COS(B$6)+B$1*COS(C839)+B$2*COS(C840)-B$3*COS(C$4)</f>
        <v>-4.9244361781994187E-3</v>
      </c>
      <c r="H839" s="11" t="s">
        <v>14</v>
      </c>
      <c r="I839" s="12"/>
      <c r="J839" s="13"/>
      <c r="L839" s="11" t="s">
        <v>556</v>
      </c>
      <c r="M839" s="12"/>
      <c r="N839" s="13"/>
      <c r="O839" s="14" t="s">
        <v>18</v>
      </c>
      <c r="Q839" s="16" t="s">
        <v>19</v>
      </c>
    </row>
    <row r="840" spans="1:17" x14ac:dyDescent="0.35">
      <c r="A840" s="1" t="s">
        <v>557</v>
      </c>
      <c r="B840" s="4">
        <f t="shared" si="1161"/>
        <v>-4.7282529160548599</v>
      </c>
      <c r="C840" s="2">
        <f t="shared" si="1162"/>
        <v>-8.2523581252180359E-2</v>
      </c>
      <c r="E840" s="7" t="s">
        <v>558</v>
      </c>
      <c r="F840" s="6">
        <f t="shared" ref="F840" si="1164">-B841*SIN(B$6)+B$1*SIN(C839)+B$2*SIN(C840)-B$3*SIN(C$4)</f>
        <v>-2.0204637008704562E-2</v>
      </c>
      <c r="H840" s="8" t="s">
        <v>16</v>
      </c>
      <c r="I840" s="8" t="s">
        <v>15</v>
      </c>
      <c r="J840" s="9" t="s">
        <v>8</v>
      </c>
      <c r="L840" s="8" t="s">
        <v>16</v>
      </c>
      <c r="M840" s="8" t="s">
        <v>15</v>
      </c>
      <c r="N840" s="9" t="s">
        <v>8</v>
      </c>
      <c r="O840" s="15"/>
      <c r="Q840" s="17"/>
    </row>
    <row r="841" spans="1:17" x14ac:dyDescent="0.35">
      <c r="A841" s="1" t="s">
        <v>8</v>
      </c>
      <c r="B841" s="4">
        <f t="shared" ref="B841" si="1165">B832+Q834</f>
        <v>6.3757767298795747</v>
      </c>
      <c r="C841" s="2"/>
      <c r="E841" s="7" t="s">
        <v>559</v>
      </c>
      <c r="F841" s="6">
        <f>C839-F$3*B837-0.5*(F$4)*B837^2</f>
        <v>0</v>
      </c>
      <c r="H841" s="2">
        <f t="shared" ref="H841" si="1166">-B$1*SIN(C839)</f>
        <v>-2.9743750445750599</v>
      </c>
      <c r="I841" s="2">
        <f t="shared" ref="I841" si="1167">-B$2*SIN(C840)</f>
        <v>0.49457968158376431</v>
      </c>
      <c r="J841" s="2">
        <f t="shared" ref="J841" si="1168">-COS(B$6)</f>
        <v>-1</v>
      </c>
      <c r="L841" s="2" cm="1">
        <f t="array" ref="L841:N843">MINVERSE(H841:J843)</f>
        <v>0</v>
      </c>
      <c r="M841" s="2">
        <v>-4.66578276102943E-18</v>
      </c>
      <c r="N841" s="2">
        <v>1</v>
      </c>
      <c r="O841" s="10">
        <f t="shared" ref="O841:O843" si="1169">-F839</f>
        <v>4.9244361781994187E-3</v>
      </c>
      <c r="Q841" s="2" cm="1">
        <f t="array" ref="Q841:Q843">MMULT(L841:N843,O841:O843)</f>
        <v>-9.4270447048070977E-20</v>
      </c>
    </row>
    <row r="842" spans="1:17" x14ac:dyDescent="0.35">
      <c r="H842" s="2">
        <f t="shared" ref="H842" si="1170">B$1*COS(C839)</f>
        <v>0.39127112621443327</v>
      </c>
      <c r="I842" s="2">
        <f t="shared" ref="I842" si="1171">B$2*COS(C840)</f>
        <v>5.9795811674869421</v>
      </c>
      <c r="J842" s="2">
        <f t="shared" ref="J842" si="1172">-SIN(B$6)</f>
        <v>0</v>
      </c>
      <c r="L842" s="2">
        <v>0</v>
      </c>
      <c r="M842" s="2">
        <v>0.16723579327551349</v>
      </c>
      <c r="N842" s="2">
        <v>-6.5434537178274313E-2</v>
      </c>
      <c r="O842" s="10">
        <f t="shared" si="1169"/>
        <v>2.0204637008704562E-2</v>
      </c>
      <c r="Q842" s="2">
        <v>3.3789384979945056E-3</v>
      </c>
    </row>
    <row r="843" spans="1:17" x14ac:dyDescent="0.35">
      <c r="H843" s="2">
        <v>1</v>
      </c>
      <c r="I843" s="2">
        <v>0</v>
      </c>
      <c r="J843" s="2">
        <v>0</v>
      </c>
      <c r="L843" s="2">
        <v>-1</v>
      </c>
      <c r="M843" s="2">
        <v>8.2711425387611712E-2</v>
      </c>
      <c r="N843" s="2">
        <v>-3.0067376371372716</v>
      </c>
      <c r="O843" s="10">
        <f t="shared" si="1169"/>
        <v>0</v>
      </c>
      <c r="Q843" s="2">
        <v>-3.2532818517701729E-3</v>
      </c>
    </row>
    <row r="846" spans="1:17" x14ac:dyDescent="0.35">
      <c r="A846" s="1" t="s">
        <v>9</v>
      </c>
      <c r="B846" s="2">
        <f t="shared" ref="B846" si="1173">IF(AND((B837 = B828), ABS(B841-B832) &lt; 0.001),B837+0.1,B837)</f>
        <v>2.4000000000000008</v>
      </c>
    </row>
    <row r="847" spans="1:17" x14ac:dyDescent="0.35">
      <c r="C847" s="1" t="s">
        <v>3</v>
      </c>
    </row>
    <row r="848" spans="1:17" x14ac:dyDescent="0.35">
      <c r="A848" s="1" t="s">
        <v>560</v>
      </c>
      <c r="B848" s="4">
        <f t="shared" ref="B848:B849" si="1174">C848*180/PI()</f>
        <v>82.505922498838615</v>
      </c>
      <c r="C848" s="2">
        <f t="shared" ref="C848:C849" si="1175">C839+Q841</f>
        <v>1.4400000000000011</v>
      </c>
      <c r="E848" s="7" t="s">
        <v>561</v>
      </c>
      <c r="F848" s="6">
        <f t="shared" ref="F848" si="1176">-B850*COS(B$6)+B$1*COS(C848)+B$2*COS(C849)-B$3*COS(C$4)</f>
        <v>-3.4138260424907351E-5</v>
      </c>
      <c r="H848" s="11" t="s">
        <v>14</v>
      </c>
      <c r="I848" s="12"/>
      <c r="J848" s="13"/>
      <c r="L848" s="11" t="s">
        <v>562</v>
      </c>
      <c r="M848" s="12"/>
      <c r="N848" s="13"/>
      <c r="O848" s="14" t="s">
        <v>18</v>
      </c>
      <c r="Q848" s="16" t="s">
        <v>19</v>
      </c>
    </row>
    <row r="849" spans="1:17" x14ac:dyDescent="0.35">
      <c r="A849" s="1" t="s">
        <v>563</v>
      </c>
      <c r="B849" s="4">
        <f t="shared" si="1174"/>
        <v>-4.5346540008855012</v>
      </c>
      <c r="C849" s="2">
        <f t="shared" si="1175"/>
        <v>-7.9144642754185854E-2</v>
      </c>
      <c r="E849" s="7" t="s">
        <v>564</v>
      </c>
      <c r="F849" s="6">
        <f t="shared" ref="F849" si="1177">-B850*SIN(B$6)+B$1*SIN(C848)+B$2*SIN(C849)-B$3*SIN(C$4)</f>
        <v>2.7849143648950303E-6</v>
      </c>
      <c r="H849" s="8" t="s">
        <v>16</v>
      </c>
      <c r="I849" s="8" t="s">
        <v>15</v>
      </c>
      <c r="J849" s="9" t="s">
        <v>8</v>
      </c>
      <c r="L849" s="8" t="s">
        <v>16</v>
      </c>
      <c r="M849" s="8" t="s">
        <v>15</v>
      </c>
      <c r="N849" s="9" t="s">
        <v>8</v>
      </c>
      <c r="O849" s="15"/>
      <c r="Q849" s="17"/>
    </row>
    <row r="850" spans="1:17" x14ac:dyDescent="0.35">
      <c r="A850" s="1" t="s">
        <v>8</v>
      </c>
      <c r="B850" s="4">
        <f t="shared" ref="B850" si="1178">B841+Q843</f>
        <v>6.3725234480278043</v>
      </c>
      <c r="C850" s="2"/>
      <c r="E850" s="7" t="s">
        <v>565</v>
      </c>
      <c r="F850" s="6">
        <f>C848-F$3*B846-0.5*(F$4)*B846^2</f>
        <v>0</v>
      </c>
      <c r="H850" s="2">
        <f t="shared" ref="H850" si="1179">-B$1*SIN(C848)</f>
        <v>-2.9743750445750599</v>
      </c>
      <c r="I850" s="2">
        <f t="shared" ref="I850" si="1180">-B$2*SIN(C849)</f>
        <v>0.47437225966069491</v>
      </c>
      <c r="J850" s="2">
        <f t="shared" ref="J850" si="1181">-COS(B$6)</f>
        <v>-1</v>
      </c>
      <c r="L850" s="2" cm="1">
        <f t="array" ref="L850:N852">MINVERSE(H850:J852)</f>
        <v>0</v>
      </c>
      <c r="M850" s="2">
        <v>0</v>
      </c>
      <c r="N850" s="2">
        <v>1</v>
      </c>
      <c r="O850" s="10">
        <f t="shared" ref="O850:O852" si="1182">-F848</f>
        <v>3.4138260424907351E-5</v>
      </c>
      <c r="Q850" s="2" cm="1">
        <f t="array" ref="Q850:Q852">MMULT(L850:N852,O850:O852)</f>
        <v>0</v>
      </c>
    </row>
    <row r="851" spans="1:17" x14ac:dyDescent="0.35">
      <c r="H851" s="2">
        <f t="shared" ref="H851" si="1183">B$1*COS(C848)</f>
        <v>0.39127112621443327</v>
      </c>
      <c r="I851" s="2">
        <f t="shared" ref="I851" si="1184">B$2*COS(C849)</f>
        <v>5.9812181835529463</v>
      </c>
      <c r="J851" s="2">
        <f t="shared" ref="J851" si="1185">-SIN(B$6)</f>
        <v>0</v>
      </c>
      <c r="L851" s="2">
        <v>0</v>
      </c>
      <c r="M851" s="2">
        <v>0.16719002205099009</v>
      </c>
      <c r="N851" s="2">
        <v>-6.5416628219706827E-2</v>
      </c>
      <c r="O851" s="10">
        <f t="shared" si="1182"/>
        <v>-2.7849143648950303E-6</v>
      </c>
      <c r="Q851" s="2">
        <v>-4.6560989407691921E-7</v>
      </c>
    </row>
    <row r="852" spans="1:17" x14ac:dyDescent="0.35">
      <c r="H852" s="2">
        <v>1</v>
      </c>
      <c r="I852" s="2">
        <v>0</v>
      </c>
      <c r="J852" s="2">
        <v>0</v>
      </c>
      <c r="L852" s="2">
        <v>-1</v>
      </c>
      <c r="M852" s="2">
        <v>7.9310308553049574E-2</v>
      </c>
      <c r="N852" s="2">
        <v>-3.0054068783230257</v>
      </c>
      <c r="O852" s="10">
        <f t="shared" si="1182"/>
        <v>0</v>
      </c>
      <c r="Q852" s="2">
        <v>-3.4359132842480994E-5</v>
      </c>
    </row>
    <row r="855" spans="1:17" x14ac:dyDescent="0.35">
      <c r="A855" s="1" t="s">
        <v>9</v>
      </c>
      <c r="B855" s="2">
        <f t="shared" ref="B855" si="1186">IF(AND((B846 = B837), ABS(B850-B841) &lt; 0.001),B846+0.1,B846)</f>
        <v>2.4000000000000008</v>
      </c>
    </row>
    <row r="856" spans="1:17" x14ac:dyDescent="0.35">
      <c r="C856" s="1" t="s">
        <v>3</v>
      </c>
    </row>
    <row r="857" spans="1:17" x14ac:dyDescent="0.35">
      <c r="A857" s="1" t="s">
        <v>566</v>
      </c>
      <c r="B857" s="4">
        <f t="shared" ref="B857:B858" si="1187">C857*180/PI()</f>
        <v>82.505922498838615</v>
      </c>
      <c r="C857" s="2">
        <f t="shared" ref="C857:C858" si="1188">C848+Q850</f>
        <v>1.4400000000000011</v>
      </c>
      <c r="E857" s="7" t="s">
        <v>567</v>
      </c>
      <c r="F857" s="6">
        <f t="shared" ref="F857" si="1189">-B859*COS(B$6)+B$1*COS(C857)+B$2*COS(C858)-B$3*COS(C$4)</f>
        <v>-6.48523389937955E-13</v>
      </c>
      <c r="H857" s="11" t="s">
        <v>14</v>
      </c>
      <c r="I857" s="12"/>
      <c r="J857" s="13"/>
      <c r="L857" s="11" t="s">
        <v>568</v>
      </c>
      <c r="M857" s="12"/>
      <c r="N857" s="13"/>
      <c r="O857" s="14" t="s">
        <v>18</v>
      </c>
      <c r="Q857" s="16" t="s">
        <v>19</v>
      </c>
    </row>
    <row r="858" spans="1:17" x14ac:dyDescent="0.35">
      <c r="A858" s="1" t="s">
        <v>569</v>
      </c>
      <c r="B858" s="4">
        <f t="shared" si="1187"/>
        <v>-4.534680678367331</v>
      </c>
      <c r="C858" s="2">
        <f t="shared" si="1188"/>
        <v>-7.9145108364079925E-2</v>
      </c>
      <c r="E858" s="7" t="s">
        <v>570</v>
      </c>
      <c r="F858" s="6">
        <f t="shared" ref="F858" si="1190">-B859*SIN(B$6)+B$1*SIN(C857)+B$2*SIN(C858)-B$3*SIN(C$4)</f>
        <v>5.1514348342607263E-14</v>
      </c>
      <c r="H858" s="8" t="s">
        <v>16</v>
      </c>
      <c r="I858" s="8" t="s">
        <v>15</v>
      </c>
      <c r="J858" s="9" t="s">
        <v>8</v>
      </c>
      <c r="L858" s="8" t="s">
        <v>16</v>
      </c>
      <c r="M858" s="8" t="s">
        <v>15</v>
      </c>
      <c r="N858" s="9" t="s">
        <v>8</v>
      </c>
      <c r="O858" s="15"/>
      <c r="Q858" s="17"/>
    </row>
    <row r="859" spans="1:17" x14ac:dyDescent="0.35">
      <c r="A859" s="1" t="s">
        <v>8</v>
      </c>
      <c r="B859" s="4">
        <f t="shared" ref="B859" si="1191">B850+Q852</f>
        <v>6.3724890888949615</v>
      </c>
      <c r="C859" s="2"/>
      <c r="E859" s="7" t="s">
        <v>571</v>
      </c>
      <c r="F859" s="6">
        <f>C857-F$3*B855-0.5*(F$4)*B855^2</f>
        <v>0</v>
      </c>
      <c r="H859" s="2">
        <f t="shared" ref="H859" si="1192">-B$1*SIN(C857)</f>
        <v>-2.9743750445750599</v>
      </c>
      <c r="I859" s="2">
        <f t="shared" ref="I859" si="1193">-B$2*SIN(C858)</f>
        <v>0.4743750445750084</v>
      </c>
      <c r="J859" s="2">
        <f t="shared" ref="J859" si="1194">-COS(B$6)</f>
        <v>-1</v>
      </c>
      <c r="L859" s="2" cm="1">
        <f t="array" ref="L859:N861">MINVERSE(H859:J861)</f>
        <v>0</v>
      </c>
      <c r="M859" s="2">
        <v>4.66578276102943E-18</v>
      </c>
      <c r="N859" s="2">
        <v>1</v>
      </c>
      <c r="O859" s="10">
        <f t="shared" ref="O859:O861" si="1195">-F857</f>
        <v>6.48523389937955E-13</v>
      </c>
      <c r="Q859" s="2" cm="1">
        <f t="array" ref="Q859:Q861">MMULT(L859:N861,O859:O861)</f>
        <v>-2.4035475844260198E-31</v>
      </c>
    </row>
    <row r="860" spans="1:17" x14ac:dyDescent="0.35">
      <c r="H860" s="2">
        <f t="shared" ref="H860" si="1196">B$1*COS(C857)</f>
        <v>0.39127112621443327</v>
      </c>
      <c r="I860" s="2">
        <f t="shared" ref="I860" si="1197">B$2*COS(C858)</f>
        <v>5.9812179626798798</v>
      </c>
      <c r="J860" s="2">
        <f t="shared" ref="J860" si="1198">-SIN(B$6)</f>
        <v>0</v>
      </c>
      <c r="L860" s="2">
        <v>0</v>
      </c>
      <c r="M860" s="2">
        <v>0.16719002822494547</v>
      </c>
      <c r="N860" s="2">
        <v>-6.5416630635397308E-2</v>
      </c>
      <c r="O860" s="10">
        <f t="shared" si="1195"/>
        <v>-5.1514348342607263E-14</v>
      </c>
      <c r="Q860" s="2">
        <v>-8.6126853533901818E-15</v>
      </c>
    </row>
    <row r="861" spans="1:17" x14ac:dyDescent="0.35">
      <c r="H861" s="2">
        <v>1</v>
      </c>
      <c r="I861" s="2">
        <v>0</v>
      </c>
      <c r="J861" s="2">
        <v>0</v>
      </c>
      <c r="L861" s="2">
        <v>-1</v>
      </c>
      <c r="M861" s="2">
        <v>7.9310777091705406E-2</v>
      </c>
      <c r="N861" s="2">
        <v>-3.0054070616486732</v>
      </c>
      <c r="O861" s="10">
        <f t="shared" si="1195"/>
        <v>0</v>
      </c>
      <c r="Q861" s="2">
        <v>-6.5260903293637997E-13</v>
      </c>
    </row>
    <row r="864" spans="1:17" x14ac:dyDescent="0.35">
      <c r="A864" s="1" t="s">
        <v>9</v>
      </c>
      <c r="B864" s="2">
        <f t="shared" ref="B864" si="1199">IF(AND((B855 = B846), ABS(B859-B850) &lt; 0.001),B855+0.1,B855)</f>
        <v>2.5000000000000009</v>
      </c>
    </row>
    <row r="865" spans="1:17" x14ac:dyDescent="0.35">
      <c r="C865" s="1" t="s">
        <v>3</v>
      </c>
    </row>
    <row r="866" spans="1:17" x14ac:dyDescent="0.35">
      <c r="A866" s="1" t="s">
        <v>572</v>
      </c>
      <c r="B866" s="4">
        <f t="shared" ref="B866:B867" si="1200">C866*180/PI()</f>
        <v>82.505922498838615</v>
      </c>
      <c r="C866" s="2">
        <f t="shared" ref="C866:C867" si="1201">C857+Q859</f>
        <v>1.4400000000000011</v>
      </c>
      <c r="E866" s="7" t="s">
        <v>573</v>
      </c>
      <c r="F866" s="6">
        <f t="shared" ref="F866" si="1202">-B868*COS(B$6)+B$1*COS(C866)+B$2*COS(C867)-B$3*COS(C$4)</f>
        <v>7.3503486283654773E-16</v>
      </c>
      <c r="H866" s="11" t="s">
        <v>14</v>
      </c>
      <c r="I866" s="12"/>
      <c r="J866" s="13"/>
      <c r="L866" s="11" t="s">
        <v>574</v>
      </c>
      <c r="M866" s="12"/>
      <c r="N866" s="13"/>
      <c r="O866" s="14" t="s">
        <v>18</v>
      </c>
      <c r="Q866" s="16" t="s">
        <v>19</v>
      </c>
    </row>
    <row r="867" spans="1:17" x14ac:dyDescent="0.35">
      <c r="A867" s="1" t="s">
        <v>575</v>
      </c>
      <c r="B867" s="4">
        <f t="shared" si="1200"/>
        <v>-4.5346806783678248</v>
      </c>
      <c r="C867" s="2">
        <f t="shared" si="1201"/>
        <v>-7.9145108364088543E-2</v>
      </c>
      <c r="E867" s="7" t="s">
        <v>576</v>
      </c>
      <c r="F867" s="6">
        <f t="shared" ref="F867" si="1203">-B868*SIN(B$6)+B$1*SIN(C866)+B$2*SIN(C867)-B$3*SIN(C$4)</f>
        <v>0</v>
      </c>
      <c r="H867" s="8" t="s">
        <v>16</v>
      </c>
      <c r="I867" s="8" t="s">
        <v>15</v>
      </c>
      <c r="J867" s="9" t="s">
        <v>8</v>
      </c>
      <c r="L867" s="8" t="s">
        <v>16</v>
      </c>
      <c r="M867" s="8" t="s">
        <v>15</v>
      </c>
      <c r="N867" s="9" t="s">
        <v>8</v>
      </c>
      <c r="O867" s="15"/>
      <c r="Q867" s="17"/>
    </row>
    <row r="868" spans="1:17" x14ac:dyDescent="0.35">
      <c r="A868" s="1" t="s">
        <v>8</v>
      </c>
      <c r="B868" s="4">
        <f t="shared" ref="B868" si="1204">B859+Q861</f>
        <v>6.3724890888943087</v>
      </c>
      <c r="C868" s="2"/>
      <c r="E868" s="7" t="s">
        <v>577</v>
      </c>
      <c r="F868" s="6">
        <f>C866-F$3*B864-0.5*(F$4)*B864^2</f>
        <v>-0.12250000000000005</v>
      </c>
      <c r="H868" s="2">
        <f t="shared" ref="H868" si="1205">-B$1*SIN(C866)</f>
        <v>-2.9743750445750599</v>
      </c>
      <c r="I868" s="2">
        <f t="shared" ref="I868" si="1206">-B$2*SIN(C867)</f>
        <v>0.47437504457505997</v>
      </c>
      <c r="J868" s="2">
        <f t="shared" ref="J868" si="1207">-COS(B$6)</f>
        <v>-1</v>
      </c>
      <c r="L868" s="2" cm="1">
        <f t="array" ref="L868:N870">MINVERSE(H868:J870)</f>
        <v>0</v>
      </c>
      <c r="M868" s="2">
        <v>0</v>
      </c>
      <c r="N868" s="2">
        <v>1</v>
      </c>
      <c r="O868" s="10">
        <f t="shared" ref="O868:O870" si="1208">-F866</f>
        <v>-7.3503486283654773E-16</v>
      </c>
      <c r="Q868" s="2" cm="1">
        <f t="array" ref="Q868:Q870">MMULT(L868:N870,O868:O870)</f>
        <v>0.12250000000000005</v>
      </c>
    </row>
    <row r="869" spans="1:17" x14ac:dyDescent="0.35">
      <c r="H869" s="2">
        <f t="shared" ref="H869" si="1209">B$1*COS(C866)</f>
        <v>0.39127112621443327</v>
      </c>
      <c r="I869" s="2">
        <f t="shared" ref="I869" si="1210">B$2*COS(C867)</f>
        <v>5.9812179626798763</v>
      </c>
      <c r="J869" s="2">
        <f t="shared" ref="J869" si="1211">-SIN(B$6)</f>
        <v>0</v>
      </c>
      <c r="L869" s="2">
        <v>0</v>
      </c>
      <c r="M869" s="2">
        <v>0.16719002822494558</v>
      </c>
      <c r="N869" s="2">
        <v>-6.5416630635397349E-2</v>
      </c>
      <c r="O869" s="10">
        <f t="shared" si="1208"/>
        <v>0</v>
      </c>
      <c r="Q869" s="2">
        <v>-8.0135372528361785E-3</v>
      </c>
    </row>
    <row r="870" spans="1:17" x14ac:dyDescent="0.35">
      <c r="H870" s="2">
        <v>1</v>
      </c>
      <c r="I870" s="2">
        <v>0</v>
      </c>
      <c r="J870" s="2">
        <v>0</v>
      </c>
      <c r="L870" s="2">
        <v>-1</v>
      </c>
      <c r="M870" s="2">
        <v>7.9310777091714094E-2</v>
      </c>
      <c r="N870" s="2">
        <v>-3.0054070616486768</v>
      </c>
      <c r="O870" s="10">
        <f t="shared" si="1208"/>
        <v>0.12250000000000005</v>
      </c>
      <c r="Q870" s="2">
        <v>-0.36816236505196237</v>
      </c>
    </row>
    <row r="873" spans="1:17" x14ac:dyDescent="0.35">
      <c r="A873" s="1" t="s">
        <v>9</v>
      </c>
      <c r="B873" s="2">
        <f t="shared" ref="B873" si="1212">IF(AND((B864 = B855), ABS(B868-B859) &lt; 0.001),B864+0.1,B864)</f>
        <v>2.5000000000000009</v>
      </c>
    </row>
    <row r="874" spans="1:17" x14ac:dyDescent="0.35">
      <c r="C874" s="1" t="s">
        <v>3</v>
      </c>
    </row>
    <row r="875" spans="1:17" x14ac:dyDescent="0.35">
      <c r="A875" s="1" t="s">
        <v>578</v>
      </c>
      <c r="B875" s="4">
        <f t="shared" ref="B875:B876" si="1213">C875*180/PI()</f>
        <v>89.524655489191204</v>
      </c>
      <c r="C875" s="2">
        <f t="shared" ref="C875:C876" si="1214">C866+Q868</f>
        <v>1.5625000000000011</v>
      </c>
      <c r="E875" s="7" t="s">
        <v>579</v>
      </c>
      <c r="F875" s="6">
        <f t="shared" ref="F875" si="1215">-B877*COS(B$6)+B$1*COS(C875)+B$2*COS(C876)-B$3*COS(C$4)</f>
        <v>-2.2134939459156765E-3</v>
      </c>
      <c r="H875" s="11" t="s">
        <v>14</v>
      </c>
      <c r="I875" s="12"/>
      <c r="J875" s="13"/>
      <c r="L875" s="11" t="s">
        <v>580</v>
      </c>
      <c r="M875" s="12"/>
      <c r="N875" s="13"/>
      <c r="O875" s="14" t="s">
        <v>18</v>
      </c>
      <c r="Q875" s="16" t="s">
        <v>19</v>
      </c>
    </row>
    <row r="876" spans="1:17" x14ac:dyDescent="0.35">
      <c r="A876" s="1" t="s">
        <v>581</v>
      </c>
      <c r="B876" s="4">
        <f t="shared" si="1213"/>
        <v>-4.9938225419261988</v>
      </c>
      <c r="C876" s="2">
        <f t="shared" si="1214"/>
        <v>-8.7158645616924726E-2</v>
      </c>
      <c r="E876" s="7" t="s">
        <v>582</v>
      </c>
      <c r="F876" s="6">
        <f t="shared" ref="F876" si="1216">-B877*SIN(B$6)+B$1*SIN(C875)+B$2*SIN(C876)-B$3*SIN(C$4)</f>
        <v>-2.2393256173296461E-2</v>
      </c>
      <c r="H876" s="8" t="s">
        <v>16</v>
      </c>
      <c r="I876" s="8" t="s">
        <v>15</v>
      </c>
      <c r="J876" s="9" t="s">
        <v>8</v>
      </c>
      <c r="L876" s="8" t="s">
        <v>16</v>
      </c>
      <c r="M876" s="8" t="s">
        <v>15</v>
      </c>
      <c r="N876" s="9" t="s">
        <v>8</v>
      </c>
      <c r="O876" s="15"/>
      <c r="Q876" s="17"/>
    </row>
    <row r="877" spans="1:17" x14ac:dyDescent="0.35">
      <c r="A877" s="1" t="s">
        <v>8</v>
      </c>
      <c r="B877" s="4">
        <f t="shared" ref="B877" si="1217">B868+Q870</f>
        <v>6.0043267238423459</v>
      </c>
      <c r="C877" s="2"/>
      <c r="E877" s="7" t="s">
        <v>583</v>
      </c>
      <c r="F877" s="6">
        <f>C875-F$3*B873-0.5*(F$4)*B873^2</f>
        <v>0</v>
      </c>
      <c r="H877" s="2">
        <f t="shared" ref="H877" si="1218">-B$1*SIN(C875)</f>
        <v>-2.9998967570347466</v>
      </c>
      <c r="I877" s="2">
        <f t="shared" ref="I877" si="1219">-B$2*SIN(C876)</f>
        <v>0.52229001320804291</v>
      </c>
      <c r="J877" s="2">
        <f t="shared" ref="J877" si="1220">-COS(B$6)</f>
        <v>-1</v>
      </c>
      <c r="L877" s="2" cm="1">
        <f t="array" ref="L877:N879">MINVERSE(H877:J879)</f>
        <v>0</v>
      </c>
      <c r="M877" s="2">
        <v>4.6260884729686432E-18</v>
      </c>
      <c r="N877" s="2">
        <v>1</v>
      </c>
      <c r="O877" s="10">
        <f t="shared" ref="O877:O879" si="1221">-F875</f>
        <v>2.2134939459156765E-3</v>
      </c>
      <c r="Q877" s="2" cm="1">
        <f t="array" ref="Q877:Q879">MMULT(L877:N879,O877:O879)</f>
        <v>1.0359318425552066E-19</v>
      </c>
    </row>
    <row r="878" spans="1:17" x14ac:dyDescent="0.35">
      <c r="H878" s="2">
        <f t="shared" ref="H878" si="1222">B$1*COS(C875)</f>
        <v>2.4888694871571804E-2</v>
      </c>
      <c r="I878" s="2">
        <f t="shared" ref="I878" si="1223">B$2*COS(C876)</f>
        <v>5.9772245350248587</v>
      </c>
      <c r="J878" s="2">
        <f t="shared" ref="J878" si="1224">-SIN(B$6)</f>
        <v>0</v>
      </c>
      <c r="L878" s="2">
        <v>0</v>
      </c>
      <c r="M878" s="2">
        <v>0.16730172911194496</v>
      </c>
      <c r="N878" s="2">
        <v>-4.1639216873535596E-3</v>
      </c>
      <c r="O878" s="10">
        <f t="shared" si="1221"/>
        <v>2.2393256173296461E-2</v>
      </c>
      <c r="Q878" s="2">
        <v>3.7464304782392336E-3</v>
      </c>
    </row>
    <row r="879" spans="1:17" x14ac:dyDescent="0.35">
      <c r="H879" s="2">
        <v>1</v>
      </c>
      <c r="I879" s="2">
        <v>0</v>
      </c>
      <c r="J879" s="2">
        <v>0</v>
      </c>
      <c r="L879" s="2">
        <v>-1</v>
      </c>
      <c r="M879" s="2">
        <v>8.7380022307606137E-2</v>
      </c>
      <c r="N879" s="2">
        <v>-3.0020715317478319</v>
      </c>
      <c r="O879" s="10">
        <f t="shared" si="1221"/>
        <v>0</v>
      </c>
      <c r="Q879" s="2">
        <v>-2.5677072195309271E-4</v>
      </c>
    </row>
    <row r="882" spans="1:17" x14ac:dyDescent="0.35">
      <c r="A882" s="1" t="s">
        <v>9</v>
      </c>
      <c r="B882" s="2">
        <f t="shared" ref="B882" si="1225">IF(AND((B873 = B864), ABS(B877-B868) &lt; 0.001),B873+0.1,B873)</f>
        <v>2.5000000000000009</v>
      </c>
    </row>
    <row r="883" spans="1:17" x14ac:dyDescent="0.35">
      <c r="C883" s="1" t="s">
        <v>3</v>
      </c>
    </row>
    <row r="884" spans="1:17" x14ac:dyDescent="0.35">
      <c r="A884" s="1" t="s">
        <v>584</v>
      </c>
      <c r="B884" s="4">
        <f t="shared" ref="B884:B885" si="1226">C884*180/PI()</f>
        <v>89.524655489191204</v>
      </c>
      <c r="C884" s="2">
        <f t="shared" ref="C884:C885" si="1227">C875+Q877</f>
        <v>1.5625000000000011</v>
      </c>
      <c r="E884" s="7" t="s">
        <v>585</v>
      </c>
      <c r="F884" s="6">
        <f t="shared" ref="F884" si="1228">-B886*COS(B$6)+B$1*COS(C884)+B$2*COS(C885)-B$3*COS(C$4)</f>
        <v>-4.1951916993785354E-5</v>
      </c>
      <c r="H884" s="11" t="s">
        <v>14</v>
      </c>
      <c r="I884" s="12"/>
      <c r="J884" s="13"/>
      <c r="L884" s="11" t="s">
        <v>586</v>
      </c>
      <c r="M884" s="12"/>
      <c r="N884" s="13"/>
      <c r="O884" s="14" t="s">
        <v>18</v>
      </c>
      <c r="Q884" s="16" t="s">
        <v>19</v>
      </c>
    </row>
    <row r="885" spans="1:17" x14ac:dyDescent="0.35">
      <c r="A885" s="1" t="s">
        <v>587</v>
      </c>
      <c r="B885" s="4">
        <f t="shared" si="1226"/>
        <v>-4.7791678872839114</v>
      </c>
      <c r="C885" s="2">
        <f t="shared" si="1227"/>
        <v>-8.3412215138685492E-2</v>
      </c>
      <c r="E885" s="7" t="s">
        <v>588</v>
      </c>
      <c r="F885" s="6">
        <f t="shared" ref="F885" si="1229">-B886*SIN(B$6)+B$1*SIN(C884)+B$2*SIN(C885)-B$3*SIN(C$4)</f>
        <v>3.6129751865843218E-6</v>
      </c>
      <c r="H885" s="8" t="s">
        <v>16</v>
      </c>
      <c r="I885" s="8" t="s">
        <v>15</v>
      </c>
      <c r="J885" s="9" t="s">
        <v>8</v>
      </c>
      <c r="L885" s="8" t="s">
        <v>16</v>
      </c>
      <c r="M885" s="8" t="s">
        <v>15</v>
      </c>
      <c r="N885" s="9" t="s">
        <v>8</v>
      </c>
      <c r="O885" s="15"/>
      <c r="Q885" s="17"/>
    </row>
    <row r="886" spans="1:17" x14ac:dyDescent="0.35">
      <c r="A886" s="1" t="s">
        <v>8</v>
      </c>
      <c r="B886" s="4">
        <f t="shared" ref="B886" si="1230">B877+Q879</f>
        <v>6.0040699531203927</v>
      </c>
      <c r="C886" s="2"/>
      <c r="E886" s="7" t="s">
        <v>589</v>
      </c>
      <c r="F886" s="6">
        <f>C884-F$3*B882-0.5*(F$4)*B882^2</f>
        <v>0</v>
      </c>
      <c r="H886" s="2">
        <f t="shared" ref="H886" si="1231">-B$1*SIN(C884)</f>
        <v>-2.9998967570347466</v>
      </c>
      <c r="I886" s="2">
        <f t="shared" ref="I886" si="1232">-B$2*SIN(C885)</f>
        <v>0.4998931440595602</v>
      </c>
      <c r="J886" s="2">
        <f t="shared" ref="J886" si="1233">-COS(B$6)</f>
        <v>-1</v>
      </c>
      <c r="L886" s="2" cm="1">
        <f t="array" ref="L886:N888">MINVERSE(H886:J888)</f>
        <v>0</v>
      </c>
      <c r="M886" s="2">
        <v>0</v>
      </c>
      <c r="N886" s="2">
        <v>1</v>
      </c>
      <c r="O886" s="10">
        <f t="shared" ref="O886:O888" si="1234">-F884</f>
        <v>4.1951916993785354E-5</v>
      </c>
      <c r="Q886" s="2" cm="1">
        <f t="array" ref="Q886:Q888">MMULT(L886:N888,O886:O888)</f>
        <v>0</v>
      </c>
    </row>
    <row r="887" spans="1:17" x14ac:dyDescent="0.35">
      <c r="H887" s="2">
        <f t="shared" ref="H887" si="1235">B$1*COS(C884)</f>
        <v>2.4888694871571804E-2</v>
      </c>
      <c r="I887" s="2">
        <f t="shared" ref="I887" si="1236">B$2*COS(C885)</f>
        <v>5.9791393063318274</v>
      </c>
      <c r="J887" s="2">
        <f t="shared" ref="J887" si="1237">-SIN(B$6)</f>
        <v>0</v>
      </c>
      <c r="L887" s="2">
        <v>0</v>
      </c>
      <c r="M887" s="2">
        <v>0.16724815207784396</v>
      </c>
      <c r="N887" s="2">
        <v>-4.1625882248996961E-3</v>
      </c>
      <c r="O887" s="10">
        <f t="shared" si="1234"/>
        <v>-3.6129751865843218E-6</v>
      </c>
      <c r="Q887" s="2">
        <v>-6.0426342345933132E-7</v>
      </c>
    </row>
    <row r="888" spans="1:17" x14ac:dyDescent="0.35">
      <c r="H888" s="2">
        <v>1</v>
      </c>
      <c r="I888" s="2">
        <v>0</v>
      </c>
      <c r="J888" s="2">
        <v>0</v>
      </c>
      <c r="L888" s="2">
        <v>-1</v>
      </c>
      <c r="M888" s="2">
        <v>8.3606204580344887E-2</v>
      </c>
      <c r="N888" s="2">
        <v>-3.0019776063499171</v>
      </c>
      <c r="O888" s="10">
        <f t="shared" si="1234"/>
        <v>0</v>
      </c>
      <c r="Q888" s="2">
        <v>-4.2253984136378635E-5</v>
      </c>
    </row>
    <row r="891" spans="1:17" x14ac:dyDescent="0.35">
      <c r="A891" s="1" t="s">
        <v>9</v>
      </c>
      <c r="B891" s="2">
        <f t="shared" ref="B891" si="1238">IF(AND((B882 = B873), ABS(B886-B877) &lt; 0.001),B882+0.1,B882)</f>
        <v>2.600000000000001</v>
      </c>
    </row>
    <row r="892" spans="1:17" x14ac:dyDescent="0.35">
      <c r="C892" s="1" t="s">
        <v>3</v>
      </c>
    </row>
    <row r="893" spans="1:17" x14ac:dyDescent="0.35">
      <c r="A893" s="1" t="s">
        <v>590</v>
      </c>
      <c r="B893" s="4">
        <f t="shared" ref="B893:B894" si="1239">C893*180/PI()</f>
        <v>89.524655489191204</v>
      </c>
      <c r="C893" s="2">
        <f t="shared" ref="C893:C894" si="1240">C884+Q886</f>
        <v>1.5625000000000011</v>
      </c>
      <c r="E893" s="7" t="s">
        <v>591</v>
      </c>
      <c r="F893" s="6">
        <f t="shared" ref="F893" si="1241">-B895*COS(B$6)+B$1*COS(C893)+B$2*COS(C894)-B$3*COS(C$4)</f>
        <v>-1.0917244213683175E-12</v>
      </c>
      <c r="H893" s="11" t="s">
        <v>14</v>
      </c>
      <c r="I893" s="12"/>
      <c r="J893" s="13"/>
      <c r="L893" s="11" t="s">
        <v>592</v>
      </c>
      <c r="M893" s="12"/>
      <c r="N893" s="13"/>
      <c r="O893" s="14" t="s">
        <v>18</v>
      </c>
      <c r="Q893" s="16" t="s">
        <v>19</v>
      </c>
    </row>
    <row r="894" spans="1:17" x14ac:dyDescent="0.35">
      <c r="A894" s="1" t="s">
        <v>593</v>
      </c>
      <c r="B894" s="4">
        <f t="shared" si="1239"/>
        <v>-4.7792025090277894</v>
      </c>
      <c r="C894" s="2">
        <f t="shared" si="1240"/>
        <v>-8.3412819402108956E-2</v>
      </c>
      <c r="E894" s="7" t="s">
        <v>594</v>
      </c>
      <c r="F894" s="6">
        <f t="shared" ref="F894" si="1242">-B895*SIN(B$6)+B$1*SIN(C893)+B$2*SIN(C894)-B$3*SIN(C$4)</f>
        <v>9.1038288019262836E-14</v>
      </c>
      <c r="H894" s="8" t="s">
        <v>16</v>
      </c>
      <c r="I894" s="8" t="s">
        <v>15</v>
      </c>
      <c r="J894" s="9" t="s">
        <v>8</v>
      </c>
      <c r="L894" s="8" t="s">
        <v>16</v>
      </c>
      <c r="M894" s="8" t="s">
        <v>15</v>
      </c>
      <c r="N894" s="9" t="s">
        <v>8</v>
      </c>
      <c r="O894" s="15"/>
      <c r="Q894" s="17"/>
    </row>
    <row r="895" spans="1:17" x14ac:dyDescent="0.35">
      <c r="A895" s="1" t="s">
        <v>8</v>
      </c>
      <c r="B895" s="4">
        <f t="shared" ref="B895" si="1243">B886+Q888</f>
        <v>6.0040276991362562</v>
      </c>
      <c r="C895" s="2"/>
      <c r="E895" s="7" t="s">
        <v>595</v>
      </c>
      <c r="F895" s="6">
        <f>C893-F$3*B891-0.5*(F$4)*B891^2</f>
        <v>-0.12750000000000017</v>
      </c>
      <c r="H895" s="2">
        <f t="shared" ref="H895" si="1244">-B$1*SIN(C893)</f>
        <v>-2.9998967570347466</v>
      </c>
      <c r="I895" s="2">
        <f t="shared" ref="I895" si="1245">-B$2*SIN(C894)</f>
        <v>0.49989675703465564</v>
      </c>
      <c r="J895" s="2">
        <f t="shared" ref="J895" si="1246">-COS(B$6)</f>
        <v>-1</v>
      </c>
      <c r="L895" s="2" cm="1">
        <f t="array" ref="L895:N897">MINVERSE(H895:J897)</f>
        <v>0</v>
      </c>
      <c r="M895" s="2">
        <v>0</v>
      </c>
      <c r="N895" s="2">
        <v>1.0000000000000002</v>
      </c>
      <c r="O895" s="10">
        <f t="shared" ref="O895:O897" si="1247">-F893</f>
        <v>1.0917244213683175E-12</v>
      </c>
      <c r="Q895" s="2" cm="1">
        <f t="array" ref="Q895:Q897">MMULT(L895:N897,O895:O897)</f>
        <v>0.1275000000000002</v>
      </c>
    </row>
    <row r="896" spans="1:17" x14ac:dyDescent="0.35">
      <c r="H896" s="2">
        <f t="shared" ref="H896" si="1248">B$1*COS(C893)</f>
        <v>2.4888694871571804E-2</v>
      </c>
      <c r="I896" s="2">
        <f t="shared" ref="I896" si="1249">B$2*COS(C894)</f>
        <v>5.979139004263593</v>
      </c>
      <c r="J896" s="2">
        <f t="shared" ref="J896" si="1250">-SIN(B$6)</f>
        <v>0</v>
      </c>
      <c r="L896" s="2">
        <v>0</v>
      </c>
      <c r="M896" s="2">
        <v>0.16724816052728025</v>
      </c>
      <c r="N896" s="2">
        <v>-4.1625884351951378E-3</v>
      </c>
      <c r="O896" s="10">
        <f t="shared" si="1247"/>
        <v>-9.1038288019262836E-14</v>
      </c>
      <c r="Q896" s="2">
        <v>-5.3073002550260674E-4</v>
      </c>
    </row>
    <row r="897" spans="1:17" x14ac:dyDescent="0.35">
      <c r="H897" s="2">
        <v>1</v>
      </c>
      <c r="I897" s="2">
        <v>0</v>
      </c>
      <c r="J897" s="2">
        <v>0</v>
      </c>
      <c r="L897" s="2">
        <v>-1</v>
      </c>
      <c r="M897" s="2">
        <v>8.3606813067598901E-2</v>
      </c>
      <c r="N897" s="2">
        <v>-3.0019776214943712</v>
      </c>
      <c r="O897" s="10">
        <f t="shared" si="1247"/>
        <v>0.12750000000000017</v>
      </c>
      <c r="Q897" s="2">
        <v>-0.38275214674163216</v>
      </c>
    </row>
    <row r="900" spans="1:17" x14ac:dyDescent="0.35">
      <c r="A900" s="1" t="s">
        <v>9</v>
      </c>
      <c r="B900" s="2">
        <f t="shared" ref="B900" si="1251">IF(AND((B891 = B882), ABS(B895-B886) &lt; 0.001),B891+0.1,B891)</f>
        <v>2.600000000000001</v>
      </c>
    </row>
    <row r="901" spans="1:17" x14ac:dyDescent="0.35">
      <c r="C901" s="1" t="s">
        <v>3</v>
      </c>
    </row>
    <row r="902" spans="1:17" x14ac:dyDescent="0.35">
      <c r="A902" s="1" t="s">
        <v>596</v>
      </c>
      <c r="B902" s="4">
        <f t="shared" ref="B902:B903" si="1252">C902*180/PI()</f>
        <v>96.829867377109196</v>
      </c>
      <c r="C902" s="2">
        <f t="shared" ref="C902:C903" si="1253">C893+Q895</f>
        <v>1.6900000000000013</v>
      </c>
      <c r="E902" s="7" t="s">
        <v>597</v>
      </c>
      <c r="F902" s="6">
        <f t="shared" ref="F902" si="1254">-B904*COS(B$6)+B$1*COS(C902)+B$2*COS(C903)-B$3*COS(C$4)</f>
        <v>8.3259168791800743E-4</v>
      </c>
      <c r="H902" s="11" t="s">
        <v>14</v>
      </c>
      <c r="I902" s="12"/>
      <c r="J902" s="13"/>
      <c r="L902" s="11" t="s">
        <v>598</v>
      </c>
      <c r="M902" s="12"/>
      <c r="N902" s="13"/>
      <c r="O902" s="14" t="s">
        <v>18</v>
      </c>
      <c r="Q902" s="16" t="s">
        <v>19</v>
      </c>
    </row>
    <row r="903" spans="1:17" x14ac:dyDescent="0.35">
      <c r="A903" s="1" t="s">
        <v>599</v>
      </c>
      <c r="B903" s="4">
        <f t="shared" si="1252"/>
        <v>-4.8096110995499606</v>
      </c>
      <c r="C903" s="2">
        <f t="shared" si="1253"/>
        <v>-8.3943549427611563E-2</v>
      </c>
      <c r="E903" s="7" t="s">
        <v>600</v>
      </c>
      <c r="F903" s="6">
        <f t="shared" ref="F903" si="1255">-B904*SIN(B$6)+B$1*SIN(C902)+B$2*SIN(C903)-B$3*SIN(C$4)</f>
        <v>-2.4359041795495529E-2</v>
      </c>
      <c r="H903" s="8" t="s">
        <v>16</v>
      </c>
      <c r="I903" s="8" t="s">
        <v>15</v>
      </c>
      <c r="J903" s="9" t="s">
        <v>8</v>
      </c>
      <c r="L903" s="8" t="s">
        <v>16</v>
      </c>
      <c r="M903" s="8" t="s">
        <v>15</v>
      </c>
      <c r="N903" s="9" t="s">
        <v>8</v>
      </c>
      <c r="O903" s="15"/>
      <c r="Q903" s="17"/>
    </row>
    <row r="904" spans="1:17" x14ac:dyDescent="0.35">
      <c r="A904" s="1" t="s">
        <v>8</v>
      </c>
      <c r="B904" s="4">
        <f t="shared" ref="B904" si="1256">B895+Q897</f>
        <v>5.6212755523946241</v>
      </c>
      <c r="C904" s="2"/>
      <c r="E904" s="7" t="s">
        <v>601</v>
      </c>
      <c r="F904" s="6">
        <f>C902-F$3*B900-0.5*(F$4)*B900^2</f>
        <v>0</v>
      </c>
      <c r="H904" s="2">
        <f t="shared" ref="H904" si="1257">-B$1*SIN(C902)</f>
        <v>-2.9787109532823552</v>
      </c>
      <c r="I904" s="2">
        <f t="shared" ref="I904" si="1258">-B$2*SIN(C903)</f>
        <v>0.50306999507785088</v>
      </c>
      <c r="J904" s="2">
        <f t="shared" ref="J904" si="1259">-COS(B$6)</f>
        <v>-1</v>
      </c>
      <c r="L904" s="2" cm="1">
        <f t="array" ref="L904:N906">MINVERSE(H904:J906)</f>
        <v>0</v>
      </c>
      <c r="M904" s="2">
        <v>4.6589910956355105E-18</v>
      </c>
      <c r="N904" s="2">
        <v>1</v>
      </c>
      <c r="O904" s="10">
        <f t="shared" ref="O904:O906" si="1260">-F902</f>
        <v>-8.3259168791800743E-4</v>
      </c>
      <c r="Q904" s="2" cm="1">
        <f t="array" ref="Q904:Q906">MMULT(L904:N906,O904:O906)</f>
        <v>1.134885588234269E-19</v>
      </c>
    </row>
    <row r="905" spans="1:17" x14ac:dyDescent="0.35">
      <c r="H905" s="2">
        <f t="shared" ref="H905" si="1261">B$1*COS(C902)</f>
        <v>-0.3567647078898406</v>
      </c>
      <c r="I905" s="2">
        <f t="shared" ref="I905" si="1262">B$2*COS(C903)</f>
        <v>5.9788728519723824</v>
      </c>
      <c r="J905" s="2">
        <f t="shared" ref="J905" si="1263">-SIN(B$6)</f>
        <v>0</v>
      </c>
      <c r="L905" s="2">
        <v>0</v>
      </c>
      <c r="M905" s="2">
        <v>0.16725560565652572</v>
      </c>
      <c r="N905" s="2">
        <v>5.967089729498877E-2</v>
      </c>
      <c r="O905" s="10">
        <f t="shared" si="1260"/>
        <v>2.4359041795495529E-2</v>
      </c>
      <c r="Q905" s="2">
        <v>4.0741862887182286E-3</v>
      </c>
    </row>
    <row r="906" spans="1:17" x14ac:dyDescent="0.35">
      <c r="H906" s="2">
        <v>1</v>
      </c>
      <c r="I906" s="2">
        <v>0</v>
      </c>
      <c r="J906" s="2">
        <v>0</v>
      </c>
      <c r="L906" s="2">
        <v>-1</v>
      </c>
      <c r="M906" s="2">
        <v>8.4141276714371355E-2</v>
      </c>
      <c r="N906" s="2">
        <v>-2.9486923152738744</v>
      </c>
      <c r="O906" s="10">
        <f t="shared" si="1260"/>
        <v>0</v>
      </c>
      <c r="Q906" s="2">
        <v>2.8821925641297338E-3</v>
      </c>
    </row>
    <row r="909" spans="1:17" x14ac:dyDescent="0.35">
      <c r="A909" s="1" t="s">
        <v>9</v>
      </c>
      <c r="B909" s="2">
        <f t="shared" ref="B909" si="1264">IF(AND((B900 = B891), ABS(B904-B895) &lt; 0.001),B900+0.1,B900)</f>
        <v>2.600000000000001</v>
      </c>
    </row>
    <row r="910" spans="1:17" x14ac:dyDescent="0.35">
      <c r="C910" s="1" t="s">
        <v>3</v>
      </c>
    </row>
    <row r="911" spans="1:17" x14ac:dyDescent="0.35">
      <c r="A911" s="1" t="s">
        <v>602</v>
      </c>
      <c r="B911" s="4">
        <f t="shared" ref="B911:B912" si="1265">C911*180/PI()</f>
        <v>96.829867377109196</v>
      </c>
      <c r="C911" s="2">
        <f t="shared" ref="C911:C912" si="1266">C902+Q904</f>
        <v>1.6900000000000013</v>
      </c>
      <c r="E911" s="7" t="s">
        <v>603</v>
      </c>
      <c r="F911" s="6">
        <f t="shared" ref="F911" si="1267">-B913*COS(B$6)+B$1*COS(C911)+B$2*COS(C912)-B$3*COS(C$4)</f>
        <v>-4.9627238619163116E-5</v>
      </c>
      <c r="H911" s="11" t="s">
        <v>14</v>
      </c>
      <c r="I911" s="12"/>
      <c r="J911" s="13"/>
      <c r="L911" s="11" t="s">
        <v>604</v>
      </c>
      <c r="M911" s="12"/>
      <c r="N911" s="13"/>
      <c r="O911" s="14" t="s">
        <v>18</v>
      </c>
      <c r="Q911" s="16" t="s">
        <v>19</v>
      </c>
    </row>
    <row r="912" spans="1:17" x14ac:dyDescent="0.35">
      <c r="A912" s="1" t="s">
        <v>605</v>
      </c>
      <c r="B912" s="4">
        <f t="shared" si="1265"/>
        <v>-4.5761774202563377</v>
      </c>
      <c r="C912" s="2">
        <f t="shared" si="1266"/>
        <v>-7.986936313889334E-2</v>
      </c>
      <c r="E912" s="7" t="s">
        <v>606</v>
      </c>
      <c r="F912" s="6">
        <f t="shared" ref="F912" si="1268">-B913*SIN(B$6)+B$1*SIN(C911)+B$2*SIN(C912)-B$3*SIN(C$4)</f>
        <v>4.1078329093835464E-6</v>
      </c>
      <c r="H912" s="8" t="s">
        <v>16</v>
      </c>
      <c r="I912" s="8" t="s">
        <v>15</v>
      </c>
      <c r="J912" s="9" t="s">
        <v>8</v>
      </c>
      <c r="L912" s="8" t="s">
        <v>16</v>
      </c>
      <c r="M912" s="8" t="s">
        <v>15</v>
      </c>
      <c r="N912" s="9" t="s">
        <v>8</v>
      </c>
      <c r="O912" s="15"/>
      <c r="Q912" s="17"/>
    </row>
    <row r="913" spans="1:17" x14ac:dyDescent="0.35">
      <c r="A913" s="1" t="s">
        <v>8</v>
      </c>
      <c r="B913" s="4">
        <f t="shared" ref="B913" si="1269">B904+Q906</f>
        <v>5.6241577449587536</v>
      </c>
      <c r="C913" s="2"/>
      <c r="E913" s="7" t="s">
        <v>607</v>
      </c>
      <c r="F913" s="6">
        <f>C911-F$3*B909-0.5*(F$4)*B909^2</f>
        <v>0</v>
      </c>
      <c r="H913" s="2">
        <f t="shared" ref="H913" si="1270">-B$1*SIN(C911)</f>
        <v>-2.9787109532823552</v>
      </c>
      <c r="I913" s="2">
        <f t="shared" ref="I913" si="1271">-B$2*SIN(C912)</f>
        <v>0.47870684544944564</v>
      </c>
      <c r="J913" s="2">
        <f t="shared" ref="J913" si="1272">-COS(B$6)</f>
        <v>-1</v>
      </c>
      <c r="L913" s="2" cm="1">
        <f t="array" ref="L913:N915">MINVERSE(H913:J915)</f>
        <v>0</v>
      </c>
      <c r="M913" s="2">
        <v>4.6589910956355105E-18</v>
      </c>
      <c r="N913" s="2">
        <v>1</v>
      </c>
      <c r="O913" s="10">
        <f t="shared" ref="O913:O915" si="1273">-F911</f>
        <v>4.9627238619163116E-5</v>
      </c>
      <c r="Q913" s="2" cm="1">
        <f t="array" ref="Q913:Q915">MMULT(L913:N915,O913:O915)</f>
        <v>-1.9138356947176455E-23</v>
      </c>
    </row>
    <row r="914" spans="1:17" x14ac:dyDescent="0.35">
      <c r="H914" s="2">
        <f t="shared" ref="H914" si="1274">B$1*COS(C911)</f>
        <v>-0.3567647078898406</v>
      </c>
      <c r="I914" s="2">
        <f t="shared" ref="I914" si="1275">B$2*COS(C912)</f>
        <v>5.9808728256099748</v>
      </c>
      <c r="J914" s="2">
        <f t="shared" ref="J914" si="1276">-SIN(B$6)</f>
        <v>0</v>
      </c>
      <c r="L914" s="2">
        <v>0</v>
      </c>
      <c r="M914" s="2">
        <v>0.16719967622752663</v>
      </c>
      <c r="N914" s="2">
        <v>5.9650943648589458E-2</v>
      </c>
      <c r="O914" s="10">
        <f t="shared" si="1273"/>
        <v>-4.1078329093835464E-6</v>
      </c>
      <c r="Q914" s="2">
        <v>-6.8682833244570768E-7</v>
      </c>
    </row>
    <row r="915" spans="1:17" x14ac:dyDescent="0.35">
      <c r="H915" s="2">
        <v>1</v>
      </c>
      <c r="I915" s="2">
        <v>0</v>
      </c>
      <c r="J915" s="2">
        <v>0</v>
      </c>
      <c r="L915" s="2">
        <v>-1</v>
      </c>
      <c r="M915" s="2">
        <v>8.0039629567047924E-2</v>
      </c>
      <c r="N915" s="2">
        <v>-2.9501556382202563</v>
      </c>
      <c r="O915" s="10">
        <f t="shared" si="1273"/>
        <v>0</v>
      </c>
      <c r="Q915" s="2">
        <v>-4.9956028043553503E-5</v>
      </c>
    </row>
    <row r="918" spans="1:17" x14ac:dyDescent="0.35">
      <c r="A918" s="1" t="s">
        <v>9</v>
      </c>
      <c r="B918" s="2">
        <f t="shared" ref="B918" si="1277">IF(AND((B909 = B900), ABS(B913-B904) &lt; 0.001),B909+0.1,B909)</f>
        <v>2.600000000000001</v>
      </c>
    </row>
    <row r="919" spans="1:17" x14ac:dyDescent="0.35">
      <c r="C919" s="1" t="s">
        <v>3</v>
      </c>
    </row>
    <row r="920" spans="1:17" x14ac:dyDescent="0.35">
      <c r="A920" s="1" t="s">
        <v>608</v>
      </c>
      <c r="B920" s="4">
        <f t="shared" ref="B920:B921" si="1278">C920*180/PI()</f>
        <v>96.829867377109196</v>
      </c>
      <c r="C920" s="2">
        <f t="shared" ref="C920:C921" si="1279">C911+Q913</f>
        <v>1.6900000000000013</v>
      </c>
      <c r="E920" s="7" t="s">
        <v>609</v>
      </c>
      <c r="F920" s="6">
        <f t="shared" ref="F920" si="1280">-B922*COS(B$6)+B$1*COS(C920)+B$2*COS(C921)-B$3*COS(C$4)</f>
        <v>-1.4114686524603626E-12</v>
      </c>
      <c r="H920" s="11" t="s">
        <v>14</v>
      </c>
      <c r="I920" s="12"/>
      <c r="J920" s="13"/>
      <c r="L920" s="11" t="s">
        <v>610</v>
      </c>
      <c r="M920" s="12"/>
      <c r="N920" s="13"/>
      <c r="O920" s="14" t="s">
        <v>18</v>
      </c>
      <c r="Q920" s="16" t="s">
        <v>19</v>
      </c>
    </row>
    <row r="921" spans="1:17" x14ac:dyDescent="0.35">
      <c r="A921" s="1" t="s">
        <v>611</v>
      </c>
      <c r="B921" s="4">
        <f t="shared" si="1278"/>
        <v>-4.5762167726210361</v>
      </c>
      <c r="C921" s="2">
        <f t="shared" si="1279"/>
        <v>-7.9870049967225784E-2</v>
      </c>
      <c r="E921" s="7" t="s">
        <v>612</v>
      </c>
      <c r="F921" s="6">
        <f t="shared" ref="F921" si="1281">-B922*SIN(B$6)+B$1*SIN(C920)+B$2*SIN(C921)-B$3*SIN(C$4)</f>
        <v>1.1324274851176597E-13</v>
      </c>
      <c r="H921" s="8" t="s">
        <v>16</v>
      </c>
      <c r="I921" s="8" t="s">
        <v>15</v>
      </c>
      <c r="J921" s="9" t="s">
        <v>8</v>
      </c>
      <c r="L921" s="8" t="s">
        <v>16</v>
      </c>
      <c r="M921" s="8" t="s">
        <v>15</v>
      </c>
      <c r="N921" s="9" t="s">
        <v>8</v>
      </c>
      <c r="O921" s="15"/>
      <c r="Q921" s="17"/>
    </row>
    <row r="922" spans="1:17" x14ac:dyDescent="0.35">
      <c r="A922" s="1" t="s">
        <v>8</v>
      </c>
      <c r="B922" s="4">
        <f t="shared" ref="B922" si="1282">B913+Q915</f>
        <v>5.6241077889307105</v>
      </c>
      <c r="C922" s="2"/>
      <c r="E922" s="7" t="s">
        <v>613</v>
      </c>
      <c r="F922" s="6">
        <f>C920-F$3*B918-0.5*(F$4)*B918^2</f>
        <v>0</v>
      </c>
      <c r="H922" s="2">
        <f t="shared" ref="H922" si="1283">-B$1*SIN(C920)</f>
        <v>-2.9787109532823552</v>
      </c>
      <c r="I922" s="2">
        <f t="shared" ref="I922" si="1284">-B$2*SIN(C921)</f>
        <v>0.47871095328224211</v>
      </c>
      <c r="J922" s="2">
        <f t="shared" ref="J922" si="1285">-COS(B$6)</f>
        <v>-1</v>
      </c>
      <c r="L922" s="2" cm="1">
        <f t="array" ref="L922:N924">MINVERSE(H922:J924)</f>
        <v>0</v>
      </c>
      <c r="M922" s="2">
        <v>0</v>
      </c>
      <c r="N922" s="2">
        <v>1</v>
      </c>
      <c r="O922" s="10">
        <f t="shared" ref="O922:O924" si="1286">-F920</f>
        <v>1.4114686524603626E-12</v>
      </c>
      <c r="Q922" s="2" cm="1">
        <f t="array" ref="Q922:Q924">MMULT(L922:N924,O922:O924)</f>
        <v>0</v>
      </c>
    </row>
    <row r="923" spans="1:17" x14ac:dyDescent="0.35">
      <c r="H923" s="2">
        <f t="shared" ref="H923" si="1287">B$1*COS(C920)</f>
        <v>-0.3567647078898406</v>
      </c>
      <c r="I923" s="2">
        <f t="shared" ref="I923" si="1288">B$2*COS(C921)</f>
        <v>5.9808724968191394</v>
      </c>
      <c r="J923" s="2">
        <f t="shared" ref="J923" si="1289">-SIN(B$6)</f>
        <v>0</v>
      </c>
      <c r="L923" s="2">
        <v>0</v>
      </c>
      <c r="M923" s="2">
        <v>0.16719968541911551</v>
      </c>
      <c r="N923" s="2">
        <v>5.9650946927823988E-2</v>
      </c>
      <c r="O923" s="10">
        <f t="shared" si="1286"/>
        <v>-1.1324274851176597E-13</v>
      </c>
      <c r="Q923" s="2">
        <v>-1.8934151927163281E-14</v>
      </c>
    </row>
    <row r="924" spans="1:17" x14ac:dyDescent="0.35">
      <c r="H924" s="2">
        <v>1</v>
      </c>
      <c r="I924" s="2">
        <v>0</v>
      </c>
      <c r="J924" s="2">
        <v>0</v>
      </c>
      <c r="L924" s="2">
        <v>-1</v>
      </c>
      <c r="M924" s="2">
        <v>8.0040320795475781E-2</v>
      </c>
      <c r="N924" s="2">
        <v>-2.9501553916143481</v>
      </c>
      <c r="O924" s="10">
        <f t="shared" si="1286"/>
        <v>0</v>
      </c>
      <c r="Q924" s="2">
        <v>-1.4205326383790057E-12</v>
      </c>
    </row>
    <row r="927" spans="1:17" x14ac:dyDescent="0.35">
      <c r="A927" s="1" t="s">
        <v>9</v>
      </c>
      <c r="B927" s="2">
        <f t="shared" ref="B927" si="1290">IF(AND((B918 = B909), ABS(B922-B913) &lt; 0.001),B918+0.1,B918)</f>
        <v>2.7000000000000011</v>
      </c>
    </row>
    <row r="928" spans="1:17" x14ac:dyDescent="0.35">
      <c r="C928" s="1" t="s">
        <v>3</v>
      </c>
    </row>
    <row r="929" spans="1:17" x14ac:dyDescent="0.35">
      <c r="A929" s="1" t="s">
        <v>614</v>
      </c>
      <c r="B929" s="4">
        <f t="shared" ref="B929:B930" si="1291">C929*180/PI()</f>
        <v>96.829867377109196</v>
      </c>
      <c r="C929" s="2">
        <f t="shared" ref="C929:C930" si="1292">C920+Q922</f>
        <v>1.6900000000000013</v>
      </c>
      <c r="E929" s="7" t="s">
        <v>615</v>
      </c>
      <c r="F929" s="6">
        <f t="shared" ref="F929" si="1293">-B931*COS(B$6)+B$1*COS(C929)+B$2*COS(C930)-B$3*COS(C$4)</f>
        <v>-1.0413219765637027E-15</v>
      </c>
      <c r="H929" s="11" t="s">
        <v>14</v>
      </c>
      <c r="I929" s="12"/>
      <c r="J929" s="13"/>
      <c r="L929" s="11" t="s">
        <v>616</v>
      </c>
      <c r="M929" s="12"/>
      <c r="N929" s="13"/>
      <c r="O929" s="14" t="s">
        <v>18</v>
      </c>
      <c r="Q929" s="16" t="s">
        <v>19</v>
      </c>
    </row>
    <row r="930" spans="1:17" x14ac:dyDescent="0.35">
      <c r="A930" s="1" t="s">
        <v>617</v>
      </c>
      <c r="B930" s="4">
        <f t="shared" si="1291"/>
        <v>-4.5762167726221206</v>
      </c>
      <c r="C930" s="2">
        <f t="shared" si="1292"/>
        <v>-7.9870049967244713E-2</v>
      </c>
      <c r="E930" s="7" t="s">
        <v>618</v>
      </c>
      <c r="F930" s="6">
        <f t="shared" ref="F930" si="1294">-B931*SIN(B$6)+B$1*SIN(C929)+B$2*SIN(C930)-B$3*SIN(C$4)</f>
        <v>0</v>
      </c>
      <c r="H930" s="8" t="s">
        <v>16</v>
      </c>
      <c r="I930" s="8" t="s">
        <v>15</v>
      </c>
      <c r="J930" s="9" t="s">
        <v>8</v>
      </c>
      <c r="L930" s="8" t="s">
        <v>16</v>
      </c>
      <c r="M930" s="8" t="s">
        <v>15</v>
      </c>
      <c r="N930" s="9" t="s">
        <v>8</v>
      </c>
      <c r="O930" s="15"/>
      <c r="Q930" s="17"/>
    </row>
    <row r="931" spans="1:17" x14ac:dyDescent="0.35">
      <c r="A931" s="1" t="s">
        <v>8</v>
      </c>
      <c r="B931" s="4">
        <f t="shared" ref="B931" si="1295">B922+Q924</f>
        <v>5.6241077889292903</v>
      </c>
      <c r="C931" s="2"/>
      <c r="E931" s="7" t="s">
        <v>619</v>
      </c>
      <c r="F931" s="6">
        <f>C929-F$3*B927-0.5*(F$4)*B927^2</f>
        <v>-0.13250000000000006</v>
      </c>
      <c r="H931" s="2">
        <f t="shared" ref="H931" si="1296">-B$1*SIN(C929)</f>
        <v>-2.9787109532823552</v>
      </c>
      <c r="I931" s="2">
        <f t="shared" ref="I931" si="1297">-B$2*SIN(C930)</f>
        <v>0.47871095328235536</v>
      </c>
      <c r="J931" s="2">
        <f t="shared" ref="J931" si="1298">-COS(B$6)</f>
        <v>-1</v>
      </c>
      <c r="L931" s="2" cm="1">
        <f t="array" ref="L931:N933">MINVERSE(H931:J933)</f>
        <v>0</v>
      </c>
      <c r="M931" s="2">
        <v>4.6589910956355105E-18</v>
      </c>
      <c r="N931" s="2">
        <v>1</v>
      </c>
      <c r="O931" s="10">
        <f t="shared" ref="O931:O933" si="1299">-F929</f>
        <v>1.0413219765637027E-15</v>
      </c>
      <c r="Q931" s="2" cm="1">
        <f t="array" ref="Q931:Q933">MMULT(L931:N933,O931:O933)</f>
        <v>0.13250000000000006</v>
      </c>
    </row>
    <row r="932" spans="1:17" x14ac:dyDescent="0.35">
      <c r="H932" s="2">
        <f t="shared" ref="H932" si="1300">B$1*COS(C929)</f>
        <v>-0.3567647078898406</v>
      </c>
      <c r="I932" s="2">
        <f t="shared" ref="I932" si="1301">B$2*COS(C930)</f>
        <v>5.9808724968191305</v>
      </c>
      <c r="J932" s="2">
        <f t="shared" ref="J932" si="1302">-SIN(B$6)</f>
        <v>0</v>
      </c>
      <c r="L932" s="2">
        <v>0</v>
      </c>
      <c r="M932" s="2">
        <v>0.16719968541911576</v>
      </c>
      <c r="N932" s="2">
        <v>5.9650946927824071E-2</v>
      </c>
      <c r="O932" s="10">
        <f t="shared" si="1299"/>
        <v>0</v>
      </c>
      <c r="Q932" s="2">
        <v>7.9037504679366939E-3</v>
      </c>
    </row>
    <row r="933" spans="1:17" x14ac:dyDescent="0.35">
      <c r="H933" s="2">
        <v>1</v>
      </c>
      <c r="I933" s="2">
        <v>0</v>
      </c>
      <c r="J933" s="2">
        <v>0</v>
      </c>
      <c r="L933" s="2">
        <v>-1</v>
      </c>
      <c r="M933" s="2">
        <v>8.0040320795494821E-2</v>
      </c>
      <c r="N933" s="2">
        <v>-2.9501553916143415</v>
      </c>
      <c r="O933" s="10">
        <f t="shared" si="1299"/>
        <v>0.13250000000000006</v>
      </c>
      <c r="Q933" s="2">
        <v>-0.39089558938890151</v>
      </c>
    </row>
    <row r="936" spans="1:17" x14ac:dyDescent="0.35">
      <c r="A936" s="1" t="s">
        <v>9</v>
      </c>
      <c r="B936" s="2">
        <f t="shared" ref="B936" si="1303">IF(AND((B927 = B918), ABS(B931-B922) &lt; 0.001),B927+0.1,B927)</f>
        <v>2.7000000000000011</v>
      </c>
    </row>
    <row r="937" spans="1:17" x14ac:dyDescent="0.35">
      <c r="C937" s="1" t="s">
        <v>3</v>
      </c>
    </row>
    <row r="938" spans="1:17" x14ac:dyDescent="0.35">
      <c r="A938" s="1" t="s">
        <v>620</v>
      </c>
      <c r="B938" s="4">
        <f t="shared" ref="B938:B939" si="1304">C938*180/PI()</f>
        <v>104.4215581625926</v>
      </c>
      <c r="C938" s="2">
        <f t="shared" ref="C938:C939" si="1305">C929+Q931</f>
        <v>1.8225000000000013</v>
      </c>
      <c r="E938" s="7" t="s">
        <v>621</v>
      </c>
      <c r="F938" s="6">
        <f t="shared" ref="F938" si="1306">-B940*COS(B$6)+B$1*COS(C938)+B$2*COS(C939)-B$3*COS(C$4)</f>
        <v>4.0941317800918383E-3</v>
      </c>
      <c r="H938" s="11" t="s">
        <v>14</v>
      </c>
      <c r="I938" s="12"/>
      <c r="J938" s="13"/>
      <c r="L938" s="11" t="s">
        <v>622</v>
      </c>
      <c r="M938" s="12"/>
      <c r="N938" s="13"/>
      <c r="O938" s="14" t="s">
        <v>18</v>
      </c>
      <c r="Q938" s="16" t="s">
        <v>19</v>
      </c>
    </row>
    <row r="939" spans="1:17" x14ac:dyDescent="0.35">
      <c r="A939" s="1" t="s">
        <v>623</v>
      </c>
      <c r="B939" s="4">
        <f t="shared" si="1304"/>
        <v>-4.1233652284847988</v>
      </c>
      <c r="C939" s="2">
        <f t="shared" si="1305"/>
        <v>-7.1966299499308023E-2</v>
      </c>
      <c r="E939" s="7" t="s">
        <v>624</v>
      </c>
      <c r="F939" s="6">
        <f t="shared" ref="F939" si="1307">-B940*SIN(B$6)+B$1*SIN(C938)+B$2*SIN(C939)-B$3*SIN(C$4)</f>
        <v>-2.5956608518468371E-2</v>
      </c>
      <c r="H939" s="8" t="s">
        <v>16</v>
      </c>
      <c r="I939" s="8" t="s">
        <v>15</v>
      </c>
      <c r="J939" s="9" t="s">
        <v>8</v>
      </c>
      <c r="L939" s="8" t="s">
        <v>16</v>
      </c>
      <c r="M939" s="8" t="s">
        <v>15</v>
      </c>
      <c r="N939" s="9" t="s">
        <v>8</v>
      </c>
      <c r="O939" s="15"/>
      <c r="Q939" s="17"/>
    </row>
    <row r="940" spans="1:17" x14ac:dyDescent="0.35">
      <c r="A940" s="1" t="s">
        <v>8</v>
      </c>
      <c r="B940" s="4">
        <f t="shared" ref="B940" si="1308">B931+Q933</f>
        <v>5.2332121995403886</v>
      </c>
      <c r="C940" s="2"/>
      <c r="E940" s="7" t="s">
        <v>625</v>
      </c>
      <c r="F940" s="6">
        <f>C938-F$3*B936-0.5*(F$4)*B936^2</f>
        <v>0</v>
      </c>
      <c r="H940" s="2">
        <f t="shared" ref="H940" si="1309">-B$1*SIN(C938)</f>
        <v>-2.905468560850065</v>
      </c>
      <c r="I940" s="2">
        <f t="shared" ref="I940" si="1310">-B$2*SIN(C939)</f>
        <v>0.43142516936853337</v>
      </c>
      <c r="J940" s="2">
        <f t="shared" ref="J940" si="1311">-COS(B$6)</f>
        <v>-1</v>
      </c>
      <c r="L940" s="2" cm="1">
        <f t="array" ref="L940:N942">MINVERSE(H940:J942)</f>
        <v>0</v>
      </c>
      <c r="M940" s="2">
        <v>4.7764370934215768E-18</v>
      </c>
      <c r="N940" s="2">
        <v>1</v>
      </c>
      <c r="O940" s="10">
        <f t="shared" ref="O940:O942" si="1312">-F938</f>
        <v>-4.0941317800918383E-3</v>
      </c>
      <c r="Q940" s="2" cm="1">
        <f t="array" ref="Q940:Q942">MMULT(L940:N942,O940:O942)</f>
        <v>1.239801077470348E-19</v>
      </c>
    </row>
    <row r="941" spans="1:17" x14ac:dyDescent="0.35">
      <c r="H941" s="2">
        <f t="shared" ref="H941" si="1313">B$1*COS(C938)</f>
        <v>-0.7471629286252448</v>
      </c>
      <c r="I941" s="2">
        <f t="shared" ref="I941" si="1314">B$2*COS(C939)</f>
        <v>5.9844692599457252</v>
      </c>
      <c r="J941" s="2">
        <f t="shared" ref="J941" si="1315">-SIN(B$6)</f>
        <v>0</v>
      </c>
      <c r="L941" s="2">
        <v>0</v>
      </c>
      <c r="M941" s="2">
        <v>0.16709919569527026</v>
      </c>
      <c r="N941" s="2">
        <v>0.12485032442660103</v>
      </c>
      <c r="O941" s="10">
        <f t="shared" si="1312"/>
        <v>2.5956608518468371E-2</v>
      </c>
      <c r="Q941" s="2">
        <v>4.3373284064130652E-3</v>
      </c>
    </row>
    <row r="942" spans="1:17" x14ac:dyDescent="0.35">
      <c r="H942" s="2">
        <v>1</v>
      </c>
      <c r="I942" s="2">
        <v>0</v>
      </c>
      <c r="J942" s="2">
        <v>0</v>
      </c>
      <c r="L942" s="2">
        <v>-1</v>
      </c>
      <c r="M942" s="2">
        <v>7.2090798804177667E-2</v>
      </c>
      <c r="N942" s="2">
        <v>-2.8516049884886021</v>
      </c>
      <c r="O942" s="10">
        <f t="shared" si="1312"/>
        <v>0</v>
      </c>
      <c r="Q942" s="2">
        <v>5.9653644224355457E-3</v>
      </c>
    </row>
    <row r="945" spans="1:17" x14ac:dyDescent="0.35">
      <c r="A945" s="1" t="s">
        <v>9</v>
      </c>
      <c r="B945" s="2">
        <f t="shared" ref="B945" si="1316">IF(AND((B936 = B927), ABS(B940-B931) &lt; 0.001),B936+0.1,B936)</f>
        <v>2.7000000000000011</v>
      </c>
    </row>
    <row r="946" spans="1:17" x14ac:dyDescent="0.35">
      <c r="C946" s="1" t="s">
        <v>3</v>
      </c>
    </row>
    <row r="947" spans="1:17" x14ac:dyDescent="0.35">
      <c r="A947" s="1" t="s">
        <v>626</v>
      </c>
      <c r="B947" s="4">
        <f t="shared" ref="B947:B948" si="1317">C947*180/PI()</f>
        <v>104.4215581625926</v>
      </c>
      <c r="C947" s="2">
        <f t="shared" ref="C947:C948" si="1318">C938+Q940</f>
        <v>1.8225000000000013</v>
      </c>
      <c r="E947" s="7" t="s">
        <v>627</v>
      </c>
      <c r="F947" s="6">
        <f t="shared" ref="F947" si="1319">-B949*COS(B$6)+B$1*COS(C947)+B$2*COS(C948)-B$3*COS(C$4)</f>
        <v>-5.6296946545561987E-5</v>
      </c>
      <c r="H947" s="11" t="s">
        <v>14</v>
      </c>
      <c r="I947" s="12"/>
      <c r="J947" s="13"/>
      <c r="L947" s="11" t="s">
        <v>628</v>
      </c>
      <c r="M947" s="12"/>
      <c r="N947" s="13"/>
      <c r="O947" s="14" t="s">
        <v>18</v>
      </c>
      <c r="Q947" s="16" t="s">
        <v>19</v>
      </c>
    </row>
    <row r="948" spans="1:17" x14ac:dyDescent="0.35">
      <c r="A948" s="1" t="s">
        <v>629</v>
      </c>
      <c r="B948" s="4">
        <f t="shared" si="1317"/>
        <v>-3.874854616435127</v>
      </c>
      <c r="C948" s="2">
        <f t="shared" si="1318"/>
        <v>-6.7628971092894952E-2</v>
      </c>
      <c r="E948" s="7" t="s">
        <v>630</v>
      </c>
      <c r="F948" s="6">
        <f t="shared" ref="F948" si="1320">-B949*SIN(B$6)+B$1*SIN(C947)+B$2*SIN(C948)-B$3*SIN(C$4)</f>
        <v>3.976684535000885E-6</v>
      </c>
      <c r="H948" s="8" t="s">
        <v>16</v>
      </c>
      <c r="I948" s="8" t="s">
        <v>15</v>
      </c>
      <c r="J948" s="9" t="s">
        <v>8</v>
      </c>
      <c r="L948" s="8" t="s">
        <v>16</v>
      </c>
      <c r="M948" s="8" t="s">
        <v>15</v>
      </c>
      <c r="N948" s="9" t="s">
        <v>8</v>
      </c>
      <c r="O948" s="15"/>
      <c r="Q948" s="17"/>
    </row>
    <row r="949" spans="1:17" x14ac:dyDescent="0.35">
      <c r="A949" s="1" t="s">
        <v>8</v>
      </c>
      <c r="B949" s="4">
        <f t="shared" ref="B949" si="1321">B940+Q942</f>
        <v>5.2391775639628237</v>
      </c>
      <c r="C949" s="2"/>
      <c r="E949" s="7" t="s">
        <v>631</v>
      </c>
      <c r="F949" s="6">
        <f>C947-F$3*B945-0.5*(F$4)*B945^2</f>
        <v>0</v>
      </c>
      <c r="H949" s="2">
        <f t="shared" ref="H949" si="1322">-B$1*SIN(C947)</f>
        <v>-2.905468560850065</v>
      </c>
      <c r="I949" s="2">
        <f t="shared" ref="I949" si="1323">-B$2*SIN(C948)</f>
        <v>0.40546458416553</v>
      </c>
      <c r="J949" s="2">
        <f t="shared" ref="J949" si="1324">-COS(B$6)</f>
        <v>-1</v>
      </c>
      <c r="L949" s="2" cm="1">
        <f t="array" ref="L949:N951">MINVERSE(H949:J951)</f>
        <v>0</v>
      </c>
      <c r="M949" s="2">
        <v>0</v>
      </c>
      <c r="N949" s="2">
        <v>1</v>
      </c>
      <c r="O949" s="10">
        <f t="shared" ref="O949:O951" si="1325">-F947</f>
        <v>5.6296946545561987E-5</v>
      </c>
      <c r="Q949" s="2" cm="1">
        <f t="array" ref="Q949:Q951">MMULT(L949:N951,O949:O951)</f>
        <v>0</v>
      </c>
    </row>
    <row r="950" spans="1:17" x14ac:dyDescent="0.35">
      <c r="H950" s="2">
        <f t="shared" ref="H950" si="1326">B$1*COS(C947)</f>
        <v>-0.7471629286252448</v>
      </c>
      <c r="I950" s="2">
        <f t="shared" ref="I950" si="1327">B$2*COS(C948)</f>
        <v>5.9862841956415229</v>
      </c>
      <c r="J950" s="2">
        <f t="shared" ref="J950" si="1328">-SIN(B$6)</f>
        <v>0</v>
      </c>
      <c r="L950" s="2">
        <v>0</v>
      </c>
      <c r="M950" s="2">
        <v>0.16704853416883836</v>
      </c>
      <c r="N950" s="2">
        <v>0.12481247201214354</v>
      </c>
      <c r="O950" s="10">
        <f t="shared" si="1325"/>
        <v>-3.976684535000885E-6</v>
      </c>
      <c r="Q950" s="2">
        <v>-6.6429932242378637E-7</v>
      </c>
    </row>
    <row r="951" spans="1:17" x14ac:dyDescent="0.35">
      <c r="H951" s="2">
        <v>1</v>
      </c>
      <c r="I951" s="2">
        <v>0</v>
      </c>
      <c r="J951" s="2">
        <v>0</v>
      </c>
      <c r="L951" s="2">
        <v>-1</v>
      </c>
      <c r="M951" s="2">
        <v>6.7732264442229378E-2</v>
      </c>
      <c r="N951" s="2">
        <v>-2.8548615237869894</v>
      </c>
      <c r="O951" s="10">
        <f t="shared" si="1325"/>
        <v>0</v>
      </c>
      <c r="Q951" s="2">
        <v>-5.656629639408999E-5</v>
      </c>
    </row>
    <row r="954" spans="1:17" x14ac:dyDescent="0.35">
      <c r="A954" s="1" t="s">
        <v>9</v>
      </c>
      <c r="B954" s="2">
        <f t="shared" ref="B954" si="1329">IF(AND((B945 = B936), ABS(B949-B940) &lt; 0.001),B945+0.1,B945)</f>
        <v>2.7000000000000011</v>
      </c>
    </row>
    <row r="955" spans="1:17" x14ac:dyDescent="0.35">
      <c r="C955" s="1" t="s">
        <v>3</v>
      </c>
    </row>
    <row r="956" spans="1:17" x14ac:dyDescent="0.35">
      <c r="A956" s="1" t="s">
        <v>632</v>
      </c>
      <c r="B956" s="4">
        <f t="shared" ref="B956:B957" si="1330">C956*180/PI()</f>
        <v>104.4215581625926</v>
      </c>
      <c r="C956" s="2">
        <f t="shared" ref="C956:C957" si="1331">C947+Q949</f>
        <v>1.8225000000000013</v>
      </c>
      <c r="E956" s="7" t="s">
        <v>633</v>
      </c>
      <c r="F956" s="6">
        <f t="shared" ref="F956" si="1332">-B958*COS(B$6)+B$1*COS(C956)+B$2*COS(C957)-B$3*COS(C$4)</f>
        <v>-1.3208744536509498E-12</v>
      </c>
      <c r="H956" s="11" t="s">
        <v>14</v>
      </c>
      <c r="I956" s="12"/>
      <c r="J956" s="13"/>
      <c r="L956" s="11" t="s">
        <v>634</v>
      </c>
      <c r="M956" s="12"/>
      <c r="N956" s="13"/>
      <c r="O956" s="14" t="s">
        <v>18</v>
      </c>
      <c r="Q956" s="16" t="s">
        <v>19</v>
      </c>
    </row>
    <row r="957" spans="1:17" x14ac:dyDescent="0.35">
      <c r="A957" s="1" t="s">
        <v>635</v>
      </c>
      <c r="B957" s="4">
        <f t="shared" si="1330"/>
        <v>-3.8748926779826354</v>
      </c>
      <c r="C957" s="2">
        <f t="shared" si="1331"/>
        <v>-6.7629635392217377E-2</v>
      </c>
      <c r="E957" s="7" t="s">
        <v>636</v>
      </c>
      <c r="F957" s="6">
        <f t="shared" ref="F957" si="1333">-B958*SIN(B$6)+B$1*SIN(C956)+B$2*SIN(C957)-B$3*SIN(C$4)</f>
        <v>8.9706020389712648E-14</v>
      </c>
      <c r="H957" s="8" t="s">
        <v>16</v>
      </c>
      <c r="I957" s="8" t="s">
        <v>15</v>
      </c>
      <c r="J957" s="9" t="s">
        <v>8</v>
      </c>
      <c r="L957" s="8" t="s">
        <v>16</v>
      </c>
      <c r="M957" s="8" t="s">
        <v>15</v>
      </c>
      <c r="N957" s="9" t="s">
        <v>8</v>
      </c>
      <c r="O957" s="15"/>
      <c r="Q957" s="17"/>
    </row>
    <row r="958" spans="1:17" x14ac:dyDescent="0.35">
      <c r="A958" s="1" t="s">
        <v>8</v>
      </c>
      <c r="B958" s="4">
        <f t="shared" ref="B958" si="1334">B949+Q951</f>
        <v>5.2391209976664292</v>
      </c>
      <c r="C958" s="2"/>
      <c r="E958" s="7" t="s">
        <v>637</v>
      </c>
      <c r="F958" s="6">
        <f>C956-F$3*B954-0.5*(F$4)*B954^2</f>
        <v>0</v>
      </c>
      <c r="H958" s="2">
        <f t="shared" ref="H958" si="1335">-B$1*SIN(C956)</f>
        <v>-2.905468560850065</v>
      </c>
      <c r="I958" s="2">
        <f t="shared" ref="I958" si="1336">-B$2*SIN(C957)</f>
        <v>0.40546856084997546</v>
      </c>
      <c r="J958" s="2">
        <f t="shared" ref="J958" si="1337">-COS(B$6)</f>
        <v>-1</v>
      </c>
      <c r="L958" s="2" cm="1">
        <f t="array" ref="L958:N960">MINVERSE(H958:J960)</f>
        <v>0</v>
      </c>
      <c r="M958" s="2">
        <v>0</v>
      </c>
      <c r="N958" s="2">
        <v>1</v>
      </c>
      <c r="O958" s="10">
        <f t="shared" ref="O958:O960" si="1338">-F956</f>
        <v>1.3208744536509498E-12</v>
      </c>
      <c r="Q958" s="2" cm="1">
        <f t="array" ref="Q958:Q960">MMULT(L958:N960,O958:O960)</f>
        <v>0</v>
      </c>
    </row>
    <row r="959" spans="1:17" x14ac:dyDescent="0.35">
      <c r="H959" s="2">
        <f t="shared" ref="H959" si="1339">B$1*COS(C956)</f>
        <v>-0.7471629286252448</v>
      </c>
      <c r="I959" s="2">
        <f t="shared" ref="I959" si="1340">B$2*COS(C957)</f>
        <v>5.9862839262903531</v>
      </c>
      <c r="J959" s="2">
        <f t="shared" ref="J959" si="1341">-SIN(B$6)</f>
        <v>0</v>
      </c>
      <c r="L959" s="2">
        <v>0</v>
      </c>
      <c r="M959" s="2">
        <v>0.16704854168514038</v>
      </c>
      <c r="N959" s="2">
        <v>0.1248124776280458</v>
      </c>
      <c r="O959" s="10">
        <f t="shared" si="1338"/>
        <v>-8.9706020389712648E-14</v>
      </c>
      <c r="Q959" s="2">
        <v>-1.4985259886478968E-14</v>
      </c>
    </row>
    <row r="960" spans="1:17" x14ac:dyDescent="0.35">
      <c r="H960" s="2">
        <v>1</v>
      </c>
      <c r="I960" s="2">
        <v>0</v>
      </c>
      <c r="J960" s="2">
        <v>0</v>
      </c>
      <c r="L960" s="2">
        <v>-1</v>
      </c>
      <c r="M960" s="2">
        <v>6.7732931789161011E-2</v>
      </c>
      <c r="N960" s="2">
        <v>-2.8548610251701017</v>
      </c>
      <c r="O960" s="10">
        <f t="shared" si="1338"/>
        <v>0</v>
      </c>
      <c r="Q960" s="2">
        <v>-1.3269505054110834E-12</v>
      </c>
    </row>
    <row r="963" spans="1:17" x14ac:dyDescent="0.35">
      <c r="A963" s="1" t="s">
        <v>9</v>
      </c>
      <c r="B963" s="2">
        <f t="shared" ref="B963" si="1342">IF(AND((B954 = B945), ABS(B958-B949) &lt; 0.001),B954+0.1,B954)</f>
        <v>2.8000000000000012</v>
      </c>
    </row>
    <row r="964" spans="1:17" x14ac:dyDescent="0.35">
      <c r="C964" s="1" t="s">
        <v>3</v>
      </c>
    </row>
    <row r="965" spans="1:17" x14ac:dyDescent="0.35">
      <c r="A965" s="1" t="s">
        <v>638</v>
      </c>
      <c r="B965" s="4">
        <f t="shared" ref="B965:B966" si="1343">C965*180/PI()</f>
        <v>104.4215581625926</v>
      </c>
      <c r="C965" s="2">
        <f t="shared" ref="C965:C966" si="1344">C956+Q958</f>
        <v>1.8225000000000013</v>
      </c>
      <c r="E965" s="7" t="s">
        <v>639</v>
      </c>
      <c r="F965" s="6">
        <f t="shared" ref="F965" si="1345">-B967*COS(B$6)+B$1*COS(C965)+B$2*COS(C966)-B$3*COS(C$4)</f>
        <v>7.3503486283654773E-16</v>
      </c>
      <c r="H965" s="11" t="s">
        <v>14</v>
      </c>
      <c r="I965" s="12"/>
      <c r="J965" s="13"/>
      <c r="L965" s="11" t="s">
        <v>640</v>
      </c>
      <c r="M965" s="12"/>
      <c r="N965" s="13"/>
      <c r="O965" s="14" t="s">
        <v>18</v>
      </c>
      <c r="Q965" s="16" t="s">
        <v>19</v>
      </c>
    </row>
    <row r="966" spans="1:17" x14ac:dyDescent="0.35">
      <c r="A966" s="1" t="s">
        <v>641</v>
      </c>
      <c r="B966" s="4">
        <f t="shared" si="1343"/>
        <v>-3.8748926779834942</v>
      </c>
      <c r="C966" s="2">
        <f t="shared" si="1344"/>
        <v>-6.7629635392232365E-2</v>
      </c>
      <c r="E966" s="7" t="s">
        <v>642</v>
      </c>
      <c r="F966" s="6">
        <f t="shared" ref="F966" si="1346">-B967*SIN(B$6)+B$1*SIN(C965)+B$2*SIN(C966)-B$3*SIN(C$4)</f>
        <v>0</v>
      </c>
      <c r="H966" s="8" t="s">
        <v>16</v>
      </c>
      <c r="I966" s="8" t="s">
        <v>15</v>
      </c>
      <c r="J966" s="9" t="s">
        <v>8</v>
      </c>
      <c r="L966" s="8" t="s">
        <v>16</v>
      </c>
      <c r="M966" s="8" t="s">
        <v>15</v>
      </c>
      <c r="N966" s="9" t="s">
        <v>8</v>
      </c>
      <c r="O966" s="15"/>
      <c r="Q966" s="17"/>
    </row>
    <row r="967" spans="1:17" x14ac:dyDescent="0.35">
      <c r="A967" s="1" t="s">
        <v>8</v>
      </c>
      <c r="B967" s="4">
        <f t="shared" ref="B967" si="1347">B958+Q960</f>
        <v>5.2391209976651023</v>
      </c>
      <c r="C967" s="2"/>
      <c r="E967" s="7" t="s">
        <v>643</v>
      </c>
      <c r="F967" s="6">
        <f>C965-F$3*B963-0.5*(F$4)*B963^2</f>
        <v>-0.13750000000000018</v>
      </c>
      <c r="H967" s="2">
        <f t="shared" ref="H967" si="1348">-B$1*SIN(C965)</f>
        <v>-2.905468560850065</v>
      </c>
      <c r="I967" s="2">
        <f t="shared" ref="I967" si="1349">-B$2*SIN(C966)</f>
        <v>0.40546856085006522</v>
      </c>
      <c r="J967" s="2">
        <f t="shared" ref="J967" si="1350">-COS(B$6)</f>
        <v>-1</v>
      </c>
      <c r="L967" s="2" cm="1">
        <f t="array" ref="L967:N969">MINVERSE(H967:J969)</f>
        <v>0</v>
      </c>
      <c r="M967" s="2">
        <v>0</v>
      </c>
      <c r="N967" s="2">
        <v>1.0000000000000002</v>
      </c>
      <c r="O967" s="10">
        <f t="shared" ref="O967:O969" si="1351">-F965</f>
        <v>-7.3503486283654773E-16</v>
      </c>
      <c r="Q967" s="2" cm="1">
        <f t="array" ref="Q967:Q969">MMULT(L967:N969,O967:O969)</f>
        <v>0.13750000000000021</v>
      </c>
    </row>
    <row r="968" spans="1:17" x14ac:dyDescent="0.35">
      <c r="H968" s="2">
        <f t="shared" ref="H968" si="1352">B$1*COS(C965)</f>
        <v>-0.7471629286252448</v>
      </c>
      <c r="I968" s="2">
        <f t="shared" ref="I968" si="1353">B$2*COS(C966)</f>
        <v>5.9862839262903478</v>
      </c>
      <c r="J968" s="2">
        <f t="shared" ref="J968" si="1354">-SIN(B$6)</f>
        <v>0</v>
      </c>
      <c r="L968" s="2">
        <v>0</v>
      </c>
      <c r="M968" s="2">
        <v>0.16704854168514055</v>
      </c>
      <c r="N968" s="2">
        <v>0.12481247762804591</v>
      </c>
      <c r="O968" s="10">
        <f t="shared" si="1351"/>
        <v>0</v>
      </c>
      <c r="Q968" s="2">
        <v>1.7161715673856336E-2</v>
      </c>
    </row>
    <row r="969" spans="1:17" x14ac:dyDescent="0.35">
      <c r="H969" s="2">
        <v>1</v>
      </c>
      <c r="I969" s="2">
        <v>0</v>
      </c>
      <c r="J969" s="2">
        <v>0</v>
      </c>
      <c r="L969" s="2">
        <v>-1</v>
      </c>
      <c r="M969" s="2">
        <v>6.7732931789176068E-2</v>
      </c>
      <c r="N969" s="2">
        <v>-2.8548610251700905</v>
      </c>
      <c r="O969" s="10">
        <f t="shared" si="1351"/>
        <v>0.13750000000000018</v>
      </c>
      <c r="Q969" s="2">
        <v>-0.39254339096088725</v>
      </c>
    </row>
    <row r="972" spans="1:17" x14ac:dyDescent="0.35">
      <c r="A972" s="1" t="s">
        <v>9</v>
      </c>
      <c r="B972" s="2">
        <f t="shared" ref="B972" si="1355">IF(AND((B963 = B954), ABS(B967-B958) &lt; 0.001),B963+0.1,B963)</f>
        <v>2.8000000000000012</v>
      </c>
    </row>
    <row r="973" spans="1:17" x14ac:dyDescent="0.35">
      <c r="C973" s="1" t="s">
        <v>3</v>
      </c>
    </row>
    <row r="974" spans="1:17" x14ac:dyDescent="0.35">
      <c r="A974" s="1" t="s">
        <v>644</v>
      </c>
      <c r="B974" s="4">
        <f t="shared" ref="B974:B975" si="1356">C974*180/PI()</f>
        <v>112.29972784564144</v>
      </c>
      <c r="C974" s="2">
        <f t="shared" ref="C974:C975" si="1357">C965+Q967</f>
        <v>1.9600000000000015</v>
      </c>
      <c r="E974" s="7" t="s">
        <v>645</v>
      </c>
      <c r="F974" s="6">
        <f t="shared" ref="F974" si="1358">-B976*COS(B$6)+B$1*COS(C974)+B$2*COS(C975)-B$3*COS(C$4)</f>
        <v>7.4276878476869498E-3</v>
      </c>
      <c r="H974" s="11" t="s">
        <v>14</v>
      </c>
      <c r="I974" s="12"/>
      <c r="J974" s="13"/>
      <c r="L974" s="11" t="s">
        <v>646</v>
      </c>
      <c r="M974" s="12"/>
      <c r="N974" s="13"/>
      <c r="O974" s="14" t="s">
        <v>18</v>
      </c>
      <c r="Q974" s="16" t="s">
        <v>19</v>
      </c>
    </row>
    <row r="975" spans="1:17" x14ac:dyDescent="0.35">
      <c r="A975" s="1" t="s">
        <v>647</v>
      </c>
      <c r="B975" s="4">
        <f t="shared" si="1356"/>
        <v>-2.8915988006680124</v>
      </c>
      <c r="C975" s="2">
        <f t="shared" si="1357"/>
        <v>-5.0467919718376025E-2</v>
      </c>
      <c r="E975" s="7" t="s">
        <v>648</v>
      </c>
      <c r="F975" s="6">
        <f t="shared" ref="F975" si="1359">-B976*SIN(B$6)+B$1*SIN(C974)+B$2*SIN(C975)-B$3*SIN(C$4)</f>
        <v>-2.7044429972030049E-2</v>
      </c>
      <c r="H975" s="8" t="s">
        <v>16</v>
      </c>
      <c r="I975" s="8" t="s">
        <v>15</v>
      </c>
      <c r="J975" s="9" t="s">
        <v>8</v>
      </c>
      <c r="L975" s="8" t="s">
        <v>16</v>
      </c>
      <c r="M975" s="8" t="s">
        <v>15</v>
      </c>
      <c r="N975" s="9" t="s">
        <v>8</v>
      </c>
      <c r="O975" s="15"/>
      <c r="Q975" s="17"/>
    </row>
    <row r="976" spans="1:17" x14ac:dyDescent="0.35">
      <c r="A976" s="1" t="s">
        <v>8</v>
      </c>
      <c r="B976" s="4">
        <f t="shared" ref="B976" si="1360">B967+Q969</f>
        <v>4.8465776067042148</v>
      </c>
      <c r="C976" s="2"/>
      <c r="E976" s="7" t="s">
        <v>649</v>
      </c>
      <c r="F976" s="6">
        <f>C974-F$3*B972-0.5*(F$4)*B972^2</f>
        <v>0</v>
      </c>
      <c r="H976" s="2">
        <f t="shared" ref="H976" si="1361">-B$1*SIN(C974)</f>
        <v>-2.7756345623645031</v>
      </c>
      <c r="I976" s="2">
        <f t="shared" ref="I976" si="1362">-B$2*SIN(C975)</f>
        <v>0.30267899233653328</v>
      </c>
      <c r="J976" s="2">
        <f t="shared" ref="J976" si="1363">-COS(B$6)</f>
        <v>-1</v>
      </c>
      <c r="L976" s="2" cm="1">
        <f t="array" ref="L976:N978">MINVERSE(H976:J978)</f>
        <v>0</v>
      </c>
      <c r="M976" s="2">
        <v>0</v>
      </c>
      <c r="N976" s="2">
        <v>1.0000000000000002</v>
      </c>
      <c r="O976" s="10">
        <f t="shared" ref="O976:O978" si="1364">-F974</f>
        <v>-7.4276878476869498E-3</v>
      </c>
      <c r="Q976" s="2" cm="1">
        <f t="array" ref="Q976:Q978">MMULT(L976:N978,O976:O978)</f>
        <v>0</v>
      </c>
    </row>
    <row r="977" spans="1:17" x14ac:dyDescent="0.35">
      <c r="H977" s="2">
        <f t="shared" ref="H977" si="1365">B$1*COS(C974)</f>
        <v>-1.1383552943644677</v>
      </c>
      <c r="I977" s="2">
        <f t="shared" ref="I977" si="1366">B$2*COS(C975)</f>
        <v>5.9923605889163696</v>
      </c>
      <c r="J977" s="2">
        <f t="shared" ref="J977" si="1367">-SIN(B$6)</f>
        <v>0</v>
      </c>
      <c r="L977" s="2">
        <v>0</v>
      </c>
      <c r="M977" s="2">
        <v>0.16687914306252308</v>
      </c>
      <c r="N977" s="2">
        <v>0.18996775602422861</v>
      </c>
      <c r="O977" s="10">
        <f t="shared" si="1364"/>
        <v>2.7044429972030049E-2</v>
      </c>
      <c r="Q977" s="2">
        <v>4.5131512983467891E-3</v>
      </c>
    </row>
    <row r="978" spans="1:17" x14ac:dyDescent="0.35">
      <c r="H978" s="2">
        <v>1</v>
      </c>
      <c r="I978" s="2">
        <v>0</v>
      </c>
      <c r="J978" s="2">
        <v>0</v>
      </c>
      <c r="L978" s="2">
        <v>-1</v>
      </c>
      <c r="M978" s="2">
        <v>5.0510810864148666E-2</v>
      </c>
      <c r="N978" s="2">
        <v>-2.7181353133946575</v>
      </c>
      <c r="O978" s="10">
        <f t="shared" si="1364"/>
        <v>0</v>
      </c>
      <c r="Q978" s="2">
        <v>8.7937239349328723E-3</v>
      </c>
    </row>
    <row r="981" spans="1:17" x14ac:dyDescent="0.35">
      <c r="A981" s="1" t="s">
        <v>9</v>
      </c>
      <c r="B981" s="2">
        <f t="shared" ref="B981" si="1368">IF(AND((B972 = B963), ABS(B976-B967) &lt; 0.001),B972+0.1,B972)</f>
        <v>2.8000000000000012</v>
      </c>
    </row>
    <row r="982" spans="1:17" x14ac:dyDescent="0.35">
      <c r="C982" s="1" t="s">
        <v>3</v>
      </c>
    </row>
    <row r="983" spans="1:17" x14ac:dyDescent="0.35">
      <c r="A983" s="1" t="s">
        <v>650</v>
      </c>
      <c r="B983" s="4">
        <f t="shared" ref="B983:B984" si="1369">C983*180/PI()</f>
        <v>112.29972784564144</v>
      </c>
      <c r="C983" s="2">
        <f t="shared" ref="C983:C984" si="1370">C974+Q976</f>
        <v>1.9600000000000015</v>
      </c>
      <c r="E983" s="7" t="s">
        <v>651</v>
      </c>
      <c r="F983" s="6">
        <f t="shared" ref="F983" si="1371">-B985*COS(B$6)+B$1*COS(C983)+B$2*COS(C984)-B$3*COS(C$4)</f>
        <v>-6.103233588754302E-5</v>
      </c>
      <c r="H983" s="11" t="s">
        <v>14</v>
      </c>
      <c r="I983" s="12"/>
      <c r="J983" s="13"/>
      <c r="L983" s="11" t="s">
        <v>652</v>
      </c>
      <c r="M983" s="12"/>
      <c r="N983" s="13"/>
      <c r="O983" s="14" t="s">
        <v>18</v>
      </c>
      <c r="Q983" s="16" t="s">
        <v>19</v>
      </c>
    </row>
    <row r="984" spans="1:17" x14ac:dyDescent="0.35">
      <c r="A984" s="1" t="s">
        <v>653</v>
      </c>
      <c r="B984" s="4">
        <f t="shared" si="1369"/>
        <v>-2.6330142789687536</v>
      </c>
      <c r="C984" s="2">
        <f t="shared" si="1370"/>
        <v>-4.5954768420029234E-2</v>
      </c>
      <c r="E984" s="7" t="s">
        <v>654</v>
      </c>
      <c r="F984" s="6">
        <f t="shared" ref="F984" si="1372">-B985*SIN(B$6)+B$1*SIN(C983)+B$2*SIN(C984)-B$3*SIN(C$4)</f>
        <v>2.9907493965808385E-6</v>
      </c>
      <c r="H984" s="8" t="s">
        <v>16</v>
      </c>
      <c r="I984" s="8" t="s">
        <v>15</v>
      </c>
      <c r="J984" s="9" t="s">
        <v>8</v>
      </c>
      <c r="L984" s="8" t="s">
        <v>16</v>
      </c>
      <c r="M984" s="8" t="s">
        <v>15</v>
      </c>
      <c r="N984" s="9" t="s">
        <v>8</v>
      </c>
      <c r="O984" s="15"/>
      <c r="Q984" s="17"/>
    </row>
    <row r="985" spans="1:17" x14ac:dyDescent="0.35">
      <c r="A985" s="1" t="s">
        <v>8</v>
      </c>
      <c r="B985" s="4">
        <f t="shared" ref="B985" si="1373">B976+Q978</f>
        <v>4.8553713306391479</v>
      </c>
      <c r="C985" s="2"/>
      <c r="E985" s="7" t="s">
        <v>655</v>
      </c>
      <c r="F985" s="6">
        <f>C983-F$3*B981-0.5*(F$4)*B981^2</f>
        <v>0</v>
      </c>
      <c r="H985" s="2">
        <f t="shared" ref="H985" si="1374">-B$1*SIN(C983)</f>
        <v>-2.7756345623645031</v>
      </c>
      <c r="I985" s="2">
        <f t="shared" ref="I985" si="1375">-B$2*SIN(C984)</f>
        <v>0.27563157161510637</v>
      </c>
      <c r="J985" s="2">
        <f t="shared" ref="J985" si="1376">-COS(B$6)</f>
        <v>-1</v>
      </c>
      <c r="L985" s="2" cm="1">
        <f t="array" ref="L985:N987">MINVERSE(H985:J987)</f>
        <v>0</v>
      </c>
      <c r="M985" s="2">
        <v>2.4999306457677679E-18</v>
      </c>
      <c r="N985" s="2">
        <v>1.0000000000000002</v>
      </c>
      <c r="O985" s="10">
        <f t="shared" ref="O985:O987" si="1377">-F983</f>
        <v>6.103233588754302E-5</v>
      </c>
      <c r="Q985" s="2" cm="1">
        <f t="array" ref="Q985:Q987">MMULT(L985:N987,O985:O987)</f>
        <v>-7.4766660703238972E-24</v>
      </c>
    </row>
    <row r="986" spans="1:17" x14ac:dyDescent="0.35">
      <c r="H986" s="2">
        <f t="shared" ref="H986" si="1378">B$1*COS(C983)</f>
        <v>-1.1383552943644677</v>
      </c>
      <c r="I986" s="2">
        <f t="shared" ref="I986" si="1379">B$2*COS(C984)</f>
        <v>5.9936655926677282</v>
      </c>
      <c r="J986" s="2">
        <f t="shared" ref="J986" si="1380">-SIN(B$6)</f>
        <v>0</v>
      </c>
      <c r="L986" s="2">
        <v>0</v>
      </c>
      <c r="M986" s="2">
        <v>0.16684280838479493</v>
      </c>
      <c r="N986" s="2">
        <v>0.18992639425146773</v>
      </c>
      <c r="O986" s="10">
        <f t="shared" si="1377"/>
        <v>-2.9907493965808385E-6</v>
      </c>
      <c r="Q986" s="2">
        <v>-4.9898502850067791E-7</v>
      </c>
    </row>
    <row r="987" spans="1:17" x14ac:dyDescent="0.35">
      <c r="H987" s="2">
        <v>1</v>
      </c>
      <c r="I987" s="2">
        <v>0</v>
      </c>
      <c r="J987" s="2">
        <v>0</v>
      </c>
      <c r="L987" s="2">
        <v>-1</v>
      </c>
      <c r="M987" s="2">
        <v>4.5987145487779067E-2</v>
      </c>
      <c r="N987" s="2">
        <v>-2.7232848518257811</v>
      </c>
      <c r="O987" s="10">
        <f t="shared" si="1377"/>
        <v>0</v>
      </c>
      <c r="Q987" s="2">
        <v>-6.1169871915161067E-5</v>
      </c>
    </row>
    <row r="990" spans="1:17" x14ac:dyDescent="0.35">
      <c r="A990" s="1" t="s">
        <v>9</v>
      </c>
      <c r="B990" s="2">
        <f t="shared" ref="B990" si="1381">IF(AND((B981 = B972), ABS(B985-B976) &lt; 0.001),B981+0.1,B981)</f>
        <v>2.8000000000000012</v>
      </c>
    </row>
    <row r="991" spans="1:17" x14ac:dyDescent="0.35">
      <c r="C991" s="1" t="s">
        <v>3</v>
      </c>
    </row>
    <row r="992" spans="1:17" x14ac:dyDescent="0.35">
      <c r="A992" s="1" t="s">
        <v>656</v>
      </c>
      <c r="B992" s="4">
        <f t="shared" ref="B992:B993" si="1382">C992*180/PI()</f>
        <v>112.29972784564144</v>
      </c>
      <c r="C992" s="2">
        <f t="shared" ref="C992:C993" si="1383">C983+Q985</f>
        <v>1.9600000000000015</v>
      </c>
      <c r="E992" s="7" t="s">
        <v>657</v>
      </c>
      <c r="F992" s="6">
        <f t="shared" ref="F992" si="1384">-B994*COS(B$6)+B$1*COS(C992)+B$2*COS(C993)-B$3*COS(C$4)</f>
        <v>-7.4622301610496877E-13</v>
      </c>
      <c r="H992" s="11" t="s">
        <v>14</v>
      </c>
      <c r="I992" s="12"/>
      <c r="J992" s="13"/>
      <c r="L992" s="11" t="s">
        <v>658</v>
      </c>
      <c r="M992" s="12"/>
      <c r="N992" s="13"/>
      <c r="O992" s="14" t="s">
        <v>18</v>
      </c>
      <c r="Q992" s="16" t="s">
        <v>19</v>
      </c>
    </row>
    <row r="993" spans="1:17" x14ac:dyDescent="0.35">
      <c r="A993" s="1" t="s">
        <v>659</v>
      </c>
      <c r="B993" s="4">
        <f t="shared" si="1382"/>
        <v>-2.6330428687049268</v>
      </c>
      <c r="C993" s="2">
        <f t="shared" si="1383"/>
        <v>-4.5955267405057731E-2</v>
      </c>
      <c r="E993" s="7" t="s">
        <v>660</v>
      </c>
      <c r="F993" s="6">
        <f t="shared" ref="F993" si="1385">-B994*SIN(B$6)+B$1*SIN(C992)+B$2*SIN(C993)-B$3*SIN(C$4)</f>
        <v>3.4638958368304884E-14</v>
      </c>
      <c r="H993" s="8" t="s">
        <v>16</v>
      </c>
      <c r="I993" s="8" t="s">
        <v>15</v>
      </c>
      <c r="J993" s="9" t="s">
        <v>8</v>
      </c>
      <c r="L993" s="8" t="s">
        <v>16</v>
      </c>
      <c r="M993" s="8" t="s">
        <v>15</v>
      </c>
      <c r="N993" s="9" t="s">
        <v>8</v>
      </c>
      <c r="O993" s="15"/>
      <c r="Q993" s="17"/>
    </row>
    <row r="994" spans="1:17" x14ac:dyDescent="0.35">
      <c r="A994" s="1" t="s">
        <v>8</v>
      </c>
      <c r="B994" s="4">
        <f t="shared" ref="B994" si="1386">B985+Q987</f>
        <v>4.8553101607672327</v>
      </c>
      <c r="C994" s="2"/>
      <c r="E994" s="7" t="s">
        <v>661</v>
      </c>
      <c r="F994" s="6">
        <f>C992-F$3*B990-0.5*(F$4)*B990^2</f>
        <v>0</v>
      </c>
      <c r="H994" s="2">
        <f t="shared" ref="H994" si="1387">-B$1*SIN(C992)</f>
        <v>-2.7756345623645031</v>
      </c>
      <c r="I994" s="2">
        <f t="shared" ref="I994" si="1388">-B$2*SIN(C993)</f>
        <v>0.27563456236446859</v>
      </c>
      <c r="J994" s="2">
        <f t="shared" ref="J994" si="1389">-COS(B$6)</f>
        <v>-1</v>
      </c>
      <c r="L994" s="2" cm="1">
        <f t="array" ref="L994:N996">MINVERSE(H994:J996)</f>
        <v>0</v>
      </c>
      <c r="M994" s="2">
        <v>-2.4999306457677679E-18</v>
      </c>
      <c r="N994" s="2">
        <v>1</v>
      </c>
      <c r="O994" s="10">
        <f t="shared" ref="O994:O996" si="1390">-F992</f>
        <v>7.4622301610496877E-13</v>
      </c>
      <c r="Q994" s="2" cm="1">
        <f t="array" ref="Q994:Q996">MMULT(L994:N996,O994:O996)</f>
        <v>8.6594993562399252E-32</v>
      </c>
    </row>
    <row r="995" spans="1:17" x14ac:dyDescent="0.35">
      <c r="H995" s="2">
        <f t="shared" ref="H995" si="1391">B$1*COS(C992)</f>
        <v>-1.1383552943644677</v>
      </c>
      <c r="I995" s="2">
        <f t="shared" ref="I995" si="1392">B$2*COS(C993)</f>
        <v>5.9936654551309543</v>
      </c>
      <c r="J995" s="2">
        <f t="shared" ref="J995" si="1393">-SIN(B$6)</f>
        <v>0</v>
      </c>
      <c r="L995" s="2">
        <v>0</v>
      </c>
      <c r="M995" s="2">
        <v>0.16684281221334052</v>
      </c>
      <c r="N995" s="2">
        <v>0.18992639860971286</v>
      </c>
      <c r="O995" s="10">
        <f t="shared" si="1390"/>
        <v>-3.4638958368304884E-14</v>
      </c>
      <c r="Q995" s="2">
        <v>-5.7792612263088115E-15</v>
      </c>
    </row>
    <row r="996" spans="1:17" x14ac:dyDescent="0.35">
      <c r="H996" s="2">
        <v>1</v>
      </c>
      <c r="I996" s="2">
        <v>0</v>
      </c>
      <c r="J996" s="2">
        <v>0</v>
      </c>
      <c r="L996" s="2">
        <v>-1</v>
      </c>
      <c r="M996" s="2">
        <v>4.5987645528081336E-2</v>
      </c>
      <c r="N996" s="2">
        <v>-2.7232842826022554</v>
      </c>
      <c r="O996" s="10">
        <f t="shared" si="1390"/>
        <v>0</v>
      </c>
      <c r="Q996" s="2">
        <v>-7.4781598024387235E-13</v>
      </c>
    </row>
    <row r="999" spans="1:17" x14ac:dyDescent="0.35">
      <c r="A999" s="1" t="s">
        <v>9</v>
      </c>
      <c r="B999" s="2">
        <f t="shared" ref="B999" si="1394">IF(AND((B990 = B981), ABS(B994-B985) &lt; 0.001),B990+0.1,B990)</f>
        <v>2.9000000000000012</v>
      </c>
    </row>
    <row r="1000" spans="1:17" x14ac:dyDescent="0.35">
      <c r="C1000" s="1" t="s">
        <v>3</v>
      </c>
    </row>
    <row r="1001" spans="1:17" x14ac:dyDescent="0.35">
      <c r="A1001" s="1" t="s">
        <v>662</v>
      </c>
      <c r="B1001" s="4">
        <f t="shared" ref="B1001:B1002" si="1395">C1001*180/PI()</f>
        <v>112.29972784564144</v>
      </c>
      <c r="C1001" s="2">
        <f t="shared" ref="C1001:C1002" si="1396">C992+Q994</f>
        <v>1.9600000000000015</v>
      </c>
      <c r="E1001" s="7" t="s">
        <v>663</v>
      </c>
      <c r="F1001" s="6">
        <f t="shared" ref="F1001" si="1397">-B1003*COS(B$6)+B$1*COS(C1001)+B$2*COS(C1002)-B$3*COS(C$4)</f>
        <v>-1.531435568635775E-16</v>
      </c>
      <c r="H1001" s="11" t="s">
        <v>14</v>
      </c>
      <c r="I1001" s="12"/>
      <c r="J1001" s="13"/>
      <c r="L1001" s="11" t="s">
        <v>664</v>
      </c>
      <c r="M1001" s="12"/>
      <c r="N1001" s="13"/>
      <c r="O1001" s="14" t="s">
        <v>18</v>
      </c>
      <c r="Q1001" s="16" t="s">
        <v>19</v>
      </c>
    </row>
    <row r="1002" spans="1:17" x14ac:dyDescent="0.35">
      <c r="A1002" s="1" t="s">
        <v>665</v>
      </c>
      <c r="B1002" s="4">
        <f t="shared" si="1395"/>
        <v>-2.6330428687052576</v>
      </c>
      <c r="C1002" s="2">
        <f t="shared" si="1396"/>
        <v>-4.5955267405063512E-2</v>
      </c>
      <c r="E1002" s="7" t="s">
        <v>666</v>
      </c>
      <c r="F1002" s="6">
        <f t="shared" ref="F1002" si="1398">-B1003*SIN(B$6)+B$1*SIN(C1001)+B$2*SIN(C1002)-B$3*SIN(C$4)</f>
        <v>0</v>
      </c>
      <c r="H1002" s="8" t="s">
        <v>16</v>
      </c>
      <c r="I1002" s="8" t="s">
        <v>15</v>
      </c>
      <c r="J1002" s="9" t="s">
        <v>8</v>
      </c>
      <c r="L1002" s="8" t="s">
        <v>16</v>
      </c>
      <c r="M1002" s="8" t="s">
        <v>15</v>
      </c>
      <c r="N1002" s="9" t="s">
        <v>8</v>
      </c>
      <c r="O1002" s="15"/>
      <c r="Q1002" s="17"/>
    </row>
    <row r="1003" spans="1:17" x14ac:dyDescent="0.35">
      <c r="A1003" s="1" t="s">
        <v>8</v>
      </c>
      <c r="B1003" s="4">
        <f t="shared" ref="B1003" si="1399">B994+Q996</f>
        <v>4.8553101607664848</v>
      </c>
      <c r="C1003" s="2"/>
      <c r="E1003" s="7" t="s">
        <v>667</v>
      </c>
      <c r="F1003" s="6">
        <f>C1001-F$3*B999-0.5*(F$4)*B999^2</f>
        <v>-0.14250000000000029</v>
      </c>
      <c r="H1003" s="2">
        <f t="shared" ref="H1003" si="1400">-B$1*SIN(C1001)</f>
        <v>-2.7756345623645031</v>
      </c>
      <c r="I1003" s="2">
        <f t="shared" ref="I1003" si="1401">-B$2*SIN(C1002)</f>
        <v>0.27563456236450323</v>
      </c>
      <c r="J1003" s="2">
        <f t="shared" ref="J1003" si="1402">-COS(B$6)</f>
        <v>-1</v>
      </c>
      <c r="L1003" s="2" cm="1">
        <f t="array" ref="L1003:N1005">MINVERSE(H1003:J1005)</f>
        <v>0</v>
      </c>
      <c r="M1003" s="2">
        <v>0</v>
      </c>
      <c r="N1003" s="2">
        <v>1</v>
      </c>
      <c r="O1003" s="10">
        <f t="shared" ref="O1003:O1005" si="1403">-F1001</f>
        <v>1.531435568635775E-16</v>
      </c>
      <c r="Q1003" s="2" cm="1">
        <f t="array" ref="Q1003:Q1005">MMULT(L1003:N1005,O1003:O1005)</f>
        <v>0.14250000000000029</v>
      </c>
    </row>
    <row r="1004" spans="1:17" x14ac:dyDescent="0.35">
      <c r="H1004" s="2">
        <f t="shared" ref="H1004" si="1404">B$1*COS(C1001)</f>
        <v>-1.1383552943644677</v>
      </c>
      <c r="I1004" s="2">
        <f t="shared" ref="I1004" si="1405">B$2*COS(C1002)</f>
        <v>5.9936654551309525</v>
      </c>
      <c r="J1004" s="2">
        <f t="shared" ref="J1004" si="1406">-SIN(B$6)</f>
        <v>0</v>
      </c>
      <c r="L1004" s="2">
        <v>0</v>
      </c>
      <c r="M1004" s="2">
        <v>0.16684281221334057</v>
      </c>
      <c r="N1004" s="2">
        <v>0.18992639860971292</v>
      </c>
      <c r="O1004" s="10">
        <f t="shared" si="1403"/>
        <v>0</v>
      </c>
      <c r="Q1004" s="2">
        <v>2.7064511801884145E-2</v>
      </c>
    </row>
    <row r="1005" spans="1:17" x14ac:dyDescent="0.35">
      <c r="H1005" s="2">
        <v>1</v>
      </c>
      <c r="I1005" s="2">
        <v>0</v>
      </c>
      <c r="J1005" s="2">
        <v>0</v>
      </c>
      <c r="L1005" s="2">
        <v>-1</v>
      </c>
      <c r="M1005" s="2">
        <v>4.5987645528087123E-2</v>
      </c>
      <c r="N1005" s="2">
        <v>-2.7232842826022488</v>
      </c>
      <c r="O1005" s="10">
        <f t="shared" si="1403"/>
        <v>0.14250000000000029</v>
      </c>
      <c r="Q1005" s="2">
        <v>-0.38806801027082138</v>
      </c>
    </row>
    <row r="1008" spans="1:17" x14ac:dyDescent="0.35">
      <c r="A1008" s="1" t="s">
        <v>9</v>
      </c>
      <c r="B1008" s="2">
        <f t="shared" ref="B1008" si="1407">IF(AND((B999 = B990), ABS(B1003-B994) &lt; 0.001),B999+0.1,B999)</f>
        <v>2.9000000000000012</v>
      </c>
    </row>
    <row r="1009" spans="1:17" x14ac:dyDescent="0.35">
      <c r="C1009" s="1" t="s">
        <v>3</v>
      </c>
    </row>
    <row r="1010" spans="1:17" x14ac:dyDescent="0.35">
      <c r="A1010" s="1" t="s">
        <v>668</v>
      </c>
      <c r="B1010" s="4">
        <f t="shared" ref="B1010:B1011" si="1408">C1010*180/PI()</f>
        <v>120.46437642625568</v>
      </c>
      <c r="C1010" s="2">
        <f t="shared" ref="C1010:C1011" si="1409">C1001+Q1003</f>
        <v>2.1025000000000018</v>
      </c>
      <c r="E1010" s="7" t="s">
        <v>669</v>
      </c>
      <c r="F1010" s="6">
        <f t="shared" ref="F1010" si="1410">-B1012*COS(B$6)+B$1*COS(C1010)+B$2*COS(C1011)-B$3*COS(C$4)</f>
        <v>1.067965502370323E-2</v>
      </c>
      <c r="H1010" s="11" t="s">
        <v>14</v>
      </c>
      <c r="I1010" s="12"/>
      <c r="J1010" s="13"/>
      <c r="L1010" s="11" t="s">
        <v>670</v>
      </c>
      <c r="M1010" s="12"/>
      <c r="N1010" s="13"/>
      <c r="O1010" s="14" t="s">
        <v>18</v>
      </c>
      <c r="Q1010" s="16" t="s">
        <v>19</v>
      </c>
    </row>
    <row r="1011" spans="1:17" x14ac:dyDescent="0.35">
      <c r="A1011" s="1" t="s">
        <v>671</v>
      </c>
      <c r="B1011" s="4">
        <f t="shared" si="1408"/>
        <v>-1.0823605678752894</v>
      </c>
      <c r="C1011" s="2">
        <f t="shared" si="1409"/>
        <v>-1.8890755603179366E-2</v>
      </c>
      <c r="E1011" s="7" t="s">
        <v>672</v>
      </c>
      <c r="F1011" s="6">
        <f t="shared" ref="F1011" si="1411">-B1012*SIN(B$6)+B$1*SIN(C1010)+B$2*SIN(C1011)-B$3*SIN(C$4)</f>
        <v>-2.7504126849458466E-2</v>
      </c>
      <c r="H1011" s="8" t="s">
        <v>16</v>
      </c>
      <c r="I1011" s="8" t="s">
        <v>15</v>
      </c>
      <c r="J1011" s="9" t="s">
        <v>8</v>
      </c>
      <c r="L1011" s="8" t="s">
        <v>16</v>
      </c>
      <c r="M1011" s="8" t="s">
        <v>15</v>
      </c>
      <c r="N1011" s="9" t="s">
        <v>8</v>
      </c>
      <c r="O1011" s="15"/>
      <c r="Q1011" s="17"/>
    </row>
    <row r="1012" spans="1:17" x14ac:dyDescent="0.35">
      <c r="A1012" s="1" t="s">
        <v>8</v>
      </c>
      <c r="B1012" s="4">
        <f t="shared" ref="B1012" si="1412">B1003+Q1005</f>
        <v>4.4672421504956636</v>
      </c>
      <c r="C1012" s="2"/>
      <c r="E1012" s="7" t="s">
        <v>673</v>
      </c>
      <c r="F1012" s="6">
        <f>C1010-F$3*B1008-0.5*(F$4)*B1008^2</f>
        <v>0</v>
      </c>
      <c r="H1012" s="2">
        <f t="shared" ref="H1012" si="1413">-B$1*SIN(C1010)</f>
        <v>-2.5858336655226313</v>
      </c>
      <c r="I1012" s="2">
        <f t="shared" ref="I1012" si="1414">-B$2*SIN(C1011)</f>
        <v>0.11333779237208984</v>
      </c>
      <c r="J1012" s="2">
        <f t="shared" ref="J1012" si="1415">-COS(B$6)</f>
        <v>-1</v>
      </c>
      <c r="L1012" s="2" cm="1">
        <f t="array" ref="L1012:N1014">MINVERSE(H1012:J1014)</f>
        <v>0</v>
      </c>
      <c r="M1012" s="2">
        <v>0</v>
      </c>
      <c r="N1012" s="2">
        <v>1</v>
      </c>
      <c r="O1012" s="10">
        <f t="shared" ref="O1012:O1014" si="1416">-F1010</f>
        <v>-1.067965502370323E-2</v>
      </c>
      <c r="Q1012" s="2" cm="1">
        <f t="array" ref="Q1012:Q1014">MMULT(L1012:N1014,O1012:O1014)</f>
        <v>0</v>
      </c>
    </row>
    <row r="1013" spans="1:17" x14ac:dyDescent="0.35">
      <c r="H1013" s="2">
        <f t="shared" ref="H1013" si="1417">B$1*COS(C1010)</f>
        <v>-1.5210076443758571</v>
      </c>
      <c r="I1013" s="2">
        <f t="shared" ref="I1013" si="1418">B$2*COS(C1011)</f>
        <v>5.9989294498952246</v>
      </c>
      <c r="J1013" s="2">
        <f t="shared" ref="J1013" si="1419">-SIN(B$6)</f>
        <v>0</v>
      </c>
      <c r="L1013" s="2">
        <v>0</v>
      </c>
      <c r="M1013" s="2">
        <v>0.16669640947643846</v>
      </c>
      <c r="N1013" s="2">
        <v>0.25354651310367093</v>
      </c>
      <c r="O1013" s="10">
        <f t="shared" si="1416"/>
        <v>2.7504126849458466E-2</v>
      </c>
      <c r="Q1013" s="2">
        <v>4.5848391915892335E-3</v>
      </c>
    </row>
    <row r="1014" spans="1:17" x14ac:dyDescent="0.35">
      <c r="H1014" s="2">
        <v>1</v>
      </c>
      <c r="I1014" s="2">
        <v>0</v>
      </c>
      <c r="J1014" s="2">
        <v>0</v>
      </c>
      <c r="L1014" s="2">
        <v>-1</v>
      </c>
      <c r="M1014" s="2">
        <v>1.8893003046413451E-2</v>
      </c>
      <c r="N1014" s="2">
        <v>-2.5570972634638203</v>
      </c>
      <c r="O1014" s="10">
        <f t="shared" si="1416"/>
        <v>0</v>
      </c>
      <c r="Q1014" s="2">
        <v>1.1199290576058991E-2</v>
      </c>
    </row>
    <row r="1017" spans="1:17" x14ac:dyDescent="0.35">
      <c r="A1017" s="1" t="s">
        <v>9</v>
      </c>
      <c r="B1017" s="2">
        <f t="shared" ref="B1017" si="1420">IF(AND((B1008 = B999), ABS(B1012-B1003) &lt; 0.001),B1008+0.1,B1008)</f>
        <v>2.9000000000000012</v>
      </c>
    </row>
    <row r="1018" spans="1:17" x14ac:dyDescent="0.35">
      <c r="C1018" s="1" t="s">
        <v>3</v>
      </c>
    </row>
    <row r="1019" spans="1:17" x14ac:dyDescent="0.35">
      <c r="A1019" s="1" t="s">
        <v>674</v>
      </c>
      <c r="B1019" s="4">
        <f t="shared" ref="B1019:B1020" si="1421">C1019*180/PI()</f>
        <v>120.46437642625568</v>
      </c>
      <c r="C1019" s="2">
        <f t="shared" ref="C1019:C1020" si="1422">C1010+Q1012</f>
        <v>2.1025000000000018</v>
      </c>
      <c r="E1019" s="7" t="s">
        <v>675</v>
      </c>
      <c r="F1019" s="6">
        <f t="shared" ref="F1019" si="1423">-B1021*COS(B$6)+B$1*COS(C1019)+B$2*COS(C1020)-B$3*COS(C$4)</f>
        <v>-6.3052709426234465E-5</v>
      </c>
      <c r="H1019" s="11" t="s">
        <v>14</v>
      </c>
      <c r="I1019" s="12"/>
      <c r="J1019" s="13"/>
      <c r="L1019" s="11" t="s">
        <v>676</v>
      </c>
      <c r="M1019" s="12"/>
      <c r="N1019" s="13"/>
      <c r="O1019" s="14" t="s">
        <v>18</v>
      </c>
      <c r="Q1019" s="16" t="s">
        <v>19</v>
      </c>
    </row>
    <row r="1020" spans="1:17" x14ac:dyDescent="0.35">
      <c r="A1020" s="1" t="s">
        <v>677</v>
      </c>
      <c r="B1020" s="4">
        <f t="shared" si="1421"/>
        <v>-0.81966863245105404</v>
      </c>
      <c r="C1020" s="2">
        <f t="shared" si="1422"/>
        <v>-1.4305916411590132E-2</v>
      </c>
      <c r="E1020" s="7" t="s">
        <v>678</v>
      </c>
      <c r="F1020" s="6">
        <f t="shared" ref="F1020" si="1424">-B1021*SIN(B$6)+B$1*SIN(C1019)+B$2*SIN(C1020)-B$3*SIN(C$4)</f>
        <v>1.0948611732786162E-6</v>
      </c>
      <c r="H1020" s="8" t="s">
        <v>16</v>
      </c>
      <c r="I1020" s="8" t="s">
        <v>15</v>
      </c>
      <c r="J1020" s="9" t="s">
        <v>8</v>
      </c>
      <c r="L1020" s="8" t="s">
        <v>16</v>
      </c>
      <c r="M1020" s="8" t="s">
        <v>15</v>
      </c>
      <c r="N1020" s="9" t="s">
        <v>8</v>
      </c>
      <c r="O1020" s="15"/>
      <c r="Q1020" s="17"/>
    </row>
    <row r="1021" spans="1:17" x14ac:dyDescent="0.35">
      <c r="A1021" s="1" t="s">
        <v>8</v>
      </c>
      <c r="B1021" s="4">
        <f t="shared" ref="B1021" si="1425">B1012+Q1014</f>
        <v>4.4784414410717224</v>
      </c>
      <c r="C1021" s="2"/>
      <c r="E1021" s="7" t="s">
        <v>679</v>
      </c>
      <c r="F1021" s="6">
        <f>C1019-F$3*B1017-0.5*(F$4)*B1017^2</f>
        <v>0</v>
      </c>
      <c r="H1021" s="2">
        <f t="shared" ref="H1021" si="1426">-B$1*SIN(C1019)</f>
        <v>-2.5858336655226313</v>
      </c>
      <c r="I1021" s="2">
        <f t="shared" ref="I1021" si="1427">-B$2*SIN(C1020)</f>
        <v>8.5832570661458218E-2</v>
      </c>
      <c r="J1021" s="2">
        <f t="shared" ref="J1021" si="1428">-COS(B$6)</f>
        <v>-1</v>
      </c>
      <c r="L1021" s="2" cm="1">
        <f t="array" ref="L1021:N1023">MINVERSE(H1021:J1023)</f>
        <v>0</v>
      </c>
      <c r="M1021" s="2">
        <v>0</v>
      </c>
      <c r="N1021" s="2">
        <v>1</v>
      </c>
      <c r="O1021" s="10">
        <f t="shared" ref="O1021:O1023" si="1429">-F1019</f>
        <v>6.3052709426234465E-5</v>
      </c>
      <c r="Q1021" s="2" cm="1">
        <f t="array" ref="Q1021:Q1023">MMULT(L1021:N1023,O1021:O1023)</f>
        <v>0</v>
      </c>
    </row>
    <row r="1022" spans="1:17" x14ac:dyDescent="0.35">
      <c r="H1022" s="2">
        <f t="shared" ref="H1022" si="1430">B$1*COS(C1019)</f>
        <v>-1.5210076443758571</v>
      </c>
      <c r="I1022" s="2">
        <f t="shared" ref="I1022" si="1431">B$2*COS(C1020)</f>
        <v>5.9993860327381539</v>
      </c>
      <c r="J1022" s="2">
        <f t="shared" ref="J1022" si="1432">-SIN(B$6)</f>
        <v>0</v>
      </c>
      <c r="L1022" s="2">
        <v>0</v>
      </c>
      <c r="M1022" s="2">
        <v>0.16668372305817339</v>
      </c>
      <c r="N1022" s="2">
        <v>0.25352721696451003</v>
      </c>
      <c r="O1022" s="10">
        <f t="shared" si="1429"/>
        <v>-1.0948611732786162E-6</v>
      </c>
      <c r="Q1022" s="2">
        <v>-1.8249553659391966E-7</v>
      </c>
    </row>
    <row r="1023" spans="1:17" x14ac:dyDescent="0.35">
      <c r="H1023" s="2">
        <v>1</v>
      </c>
      <c r="I1023" s="2">
        <v>0</v>
      </c>
      <c r="J1023" s="2">
        <v>0</v>
      </c>
      <c r="L1023" s="2">
        <v>-1</v>
      </c>
      <c r="M1023" s="2">
        <v>1.4306892437505599E-2</v>
      </c>
      <c r="N1023" s="2">
        <v>-2.564072772757922</v>
      </c>
      <c r="O1023" s="10">
        <f t="shared" si="1429"/>
        <v>0</v>
      </c>
      <c r="Q1023" s="2">
        <v>-6.3068373487274568E-5</v>
      </c>
    </row>
    <row r="1026" spans="1:17" x14ac:dyDescent="0.35">
      <c r="A1026" s="1" t="s">
        <v>9</v>
      </c>
      <c r="B1026" s="2">
        <f t="shared" ref="B1026" si="1433">IF(AND((B1017 = B1008), ABS(B1021-B1012) &lt; 0.001),B1017+0.1,B1017)</f>
        <v>2.9000000000000012</v>
      </c>
    </row>
    <row r="1027" spans="1:17" x14ac:dyDescent="0.35">
      <c r="C1027" s="1" t="s">
        <v>3</v>
      </c>
    </row>
    <row r="1028" spans="1:17" x14ac:dyDescent="0.35">
      <c r="A1028" s="1" t="s">
        <v>680</v>
      </c>
      <c r="B1028" s="4">
        <f t="shared" ref="B1028:B1029" si="1434">C1028*180/PI()</f>
        <v>120.46437642625568</v>
      </c>
      <c r="C1028" s="2">
        <f t="shared" ref="C1028:C1029" si="1435">C1019+Q1021</f>
        <v>2.1025000000000018</v>
      </c>
      <c r="E1028" s="7" t="s">
        <v>681</v>
      </c>
      <c r="F1028" s="6">
        <f t="shared" ref="F1028" si="1436">-B1030*COS(B$6)+B$1*COS(C1028)+B$2*COS(C1029)-B$3*COS(C$4)</f>
        <v>-9.9629126563277604E-14</v>
      </c>
      <c r="H1028" s="11" t="s">
        <v>14</v>
      </c>
      <c r="I1028" s="12"/>
      <c r="J1028" s="13"/>
      <c r="L1028" s="11" t="s">
        <v>682</v>
      </c>
      <c r="M1028" s="12"/>
      <c r="N1028" s="13"/>
      <c r="O1028" s="14" t="s">
        <v>18</v>
      </c>
      <c r="Q1028" s="16" t="s">
        <v>19</v>
      </c>
    </row>
    <row r="1029" spans="1:17" x14ac:dyDescent="0.35">
      <c r="A1029" s="1" t="s">
        <v>683</v>
      </c>
      <c r="B1029" s="4">
        <f t="shared" si="1434"/>
        <v>-0.81967908867508077</v>
      </c>
      <c r="C1029" s="2">
        <f t="shared" si="1435"/>
        <v>-1.4306098907126726E-2</v>
      </c>
      <c r="E1029" s="7" t="s">
        <v>684</v>
      </c>
      <c r="F1029" s="6">
        <f t="shared" ref="F1029" si="1437">-B1030*SIN(B$6)+B$1*SIN(C1028)+B$2*SIN(C1029)-B$3*SIN(C$4)</f>
        <v>0</v>
      </c>
      <c r="H1029" s="8" t="s">
        <v>16</v>
      </c>
      <c r="I1029" s="8" t="s">
        <v>15</v>
      </c>
      <c r="J1029" s="9" t="s">
        <v>8</v>
      </c>
      <c r="L1029" s="8" t="s">
        <v>16</v>
      </c>
      <c r="M1029" s="8" t="s">
        <v>15</v>
      </c>
      <c r="N1029" s="9" t="s">
        <v>8</v>
      </c>
      <c r="O1029" s="15"/>
      <c r="Q1029" s="17"/>
    </row>
    <row r="1030" spans="1:17" x14ac:dyDescent="0.35">
      <c r="A1030" s="1" t="s">
        <v>8</v>
      </c>
      <c r="B1030" s="4">
        <f t="shared" ref="B1030" si="1438">B1021+Q1023</f>
        <v>4.4783783726982351</v>
      </c>
      <c r="C1030" s="2"/>
      <c r="E1030" s="7" t="s">
        <v>685</v>
      </c>
      <c r="F1030" s="6">
        <f>C1028-F$3*B1026-0.5*(F$4)*B1026^2</f>
        <v>0</v>
      </c>
      <c r="H1030" s="2">
        <f t="shared" ref="H1030" si="1439">-B$1*SIN(C1028)</f>
        <v>-2.5858336655226313</v>
      </c>
      <c r="I1030" s="2">
        <f t="shared" ref="I1030" si="1440">-B$2*SIN(C1029)</f>
        <v>8.5833665522630054E-2</v>
      </c>
      <c r="J1030" s="2">
        <f t="shared" ref="J1030" si="1441">-COS(B$6)</f>
        <v>-1</v>
      </c>
      <c r="L1030" s="2" cm="1">
        <f t="array" ref="L1030:N1032">MINVERSE(H1030:J1032)</f>
        <v>0</v>
      </c>
      <c r="M1030" s="2">
        <v>-6.7085655937819048E-19</v>
      </c>
      <c r="N1030" s="2">
        <v>1.0000000000000002</v>
      </c>
      <c r="O1030" s="10">
        <f t="shared" ref="O1030:O1032" si="1442">-F1028</f>
        <v>9.9629126563277604E-14</v>
      </c>
      <c r="Q1030" s="2" cm="1">
        <f t="array" ref="Q1030:Q1032">MMULT(L1030:N1032,O1030:O1032)</f>
        <v>0</v>
      </c>
    </row>
    <row r="1031" spans="1:17" x14ac:dyDescent="0.35">
      <c r="H1031" s="2">
        <f t="shared" ref="H1031" si="1443">B$1*COS(C1028)</f>
        <v>-1.5210076443758571</v>
      </c>
      <c r="I1031" s="2">
        <f t="shared" ref="I1031" si="1444">B$2*COS(C1029)</f>
        <v>5.9993860170739932</v>
      </c>
      <c r="J1031" s="2">
        <f t="shared" ref="J1031" si="1445">-SIN(B$6)</f>
        <v>0</v>
      </c>
      <c r="L1031" s="2">
        <v>0</v>
      </c>
      <c r="M1031" s="2">
        <v>0.16668372349337804</v>
      </c>
      <c r="N1031" s="2">
        <v>0.25352721762645969</v>
      </c>
      <c r="O1031" s="10">
        <f t="shared" si="1442"/>
        <v>0</v>
      </c>
      <c r="Q1031" s="2">
        <v>0</v>
      </c>
    </row>
    <row r="1032" spans="1:17" x14ac:dyDescent="0.35">
      <c r="H1032" s="2">
        <v>1</v>
      </c>
      <c r="I1032" s="2">
        <v>0</v>
      </c>
      <c r="J1032" s="2">
        <v>0</v>
      </c>
      <c r="L1032" s="2">
        <v>-1</v>
      </c>
      <c r="M1032" s="2">
        <v>1.4307074970397165E-2</v>
      </c>
      <c r="N1032" s="2">
        <v>-2.564072495123999</v>
      </c>
      <c r="O1032" s="10">
        <f t="shared" si="1442"/>
        <v>0</v>
      </c>
      <c r="Q1032" s="2">
        <v>-9.9629126563277604E-14</v>
      </c>
    </row>
    <row r="1035" spans="1:17" x14ac:dyDescent="0.35">
      <c r="A1035" s="1" t="s">
        <v>9</v>
      </c>
      <c r="B1035" s="2">
        <f t="shared" ref="B1035" si="1446">IF(AND((B1026 = B1017), ABS(B1030-B1021) &lt; 0.001),B1026+0.1,B1026)</f>
        <v>3.0000000000000013</v>
      </c>
    </row>
    <row r="1036" spans="1:17" x14ac:dyDescent="0.35">
      <c r="C1036" s="1" t="s">
        <v>3</v>
      </c>
    </row>
    <row r="1037" spans="1:17" x14ac:dyDescent="0.35">
      <c r="A1037" s="1" t="s">
        <v>686</v>
      </c>
      <c r="B1037" s="4">
        <f t="shared" ref="B1037:B1038" si="1447">C1037*180/PI()</f>
        <v>120.46437642625568</v>
      </c>
      <c r="C1037" s="2">
        <f t="shared" ref="C1037:C1038" si="1448">C1028+Q1030</f>
        <v>2.1025000000000018</v>
      </c>
      <c r="E1037" s="7" t="s">
        <v>687</v>
      </c>
      <c r="F1037" s="6">
        <f t="shared" ref="F1037" si="1449">-B1039*COS(B$6)+B$1*COS(C1037)+B$2*COS(C1038)-B$3*COS(C$4)</f>
        <v>-1.531435568635775E-16</v>
      </c>
      <c r="H1037" s="11" t="s">
        <v>14</v>
      </c>
      <c r="I1037" s="12"/>
      <c r="J1037" s="13"/>
      <c r="L1037" s="11" t="s">
        <v>688</v>
      </c>
      <c r="M1037" s="12"/>
      <c r="N1037" s="13"/>
      <c r="O1037" s="14" t="s">
        <v>18</v>
      </c>
      <c r="Q1037" s="16" t="s">
        <v>19</v>
      </c>
    </row>
    <row r="1038" spans="1:17" x14ac:dyDescent="0.35">
      <c r="A1038" s="1" t="s">
        <v>689</v>
      </c>
      <c r="B1038" s="4">
        <f t="shared" si="1447"/>
        <v>-0.81967908867508077</v>
      </c>
      <c r="C1038" s="2">
        <f t="shared" si="1448"/>
        <v>-1.4306098907126726E-2</v>
      </c>
      <c r="E1038" s="7" t="s">
        <v>690</v>
      </c>
      <c r="F1038" s="6">
        <f t="shared" ref="F1038" si="1450">-B1039*SIN(B$6)+B$1*SIN(C1037)+B$2*SIN(C1038)-B$3*SIN(C$4)</f>
        <v>0</v>
      </c>
      <c r="H1038" s="8" t="s">
        <v>16</v>
      </c>
      <c r="I1038" s="8" t="s">
        <v>15</v>
      </c>
      <c r="J1038" s="9" t="s">
        <v>8</v>
      </c>
      <c r="L1038" s="8" t="s">
        <v>16</v>
      </c>
      <c r="M1038" s="8" t="s">
        <v>15</v>
      </c>
      <c r="N1038" s="9" t="s">
        <v>8</v>
      </c>
      <c r="O1038" s="15"/>
      <c r="Q1038" s="17"/>
    </row>
    <row r="1039" spans="1:17" x14ac:dyDescent="0.35">
      <c r="A1039" s="1" t="s">
        <v>8</v>
      </c>
      <c r="B1039" s="4">
        <f t="shared" ref="B1039" si="1451">B1030+Q1032</f>
        <v>4.4783783726981357</v>
      </c>
      <c r="C1039" s="2"/>
      <c r="E1039" s="7" t="s">
        <v>691</v>
      </c>
      <c r="F1039" s="6">
        <f>C1037-F$3*B1035-0.5*(F$4)*B1035^2</f>
        <v>-0.14749999999999996</v>
      </c>
      <c r="H1039" s="2">
        <f t="shared" ref="H1039" si="1452">-B$1*SIN(C1037)</f>
        <v>-2.5858336655226313</v>
      </c>
      <c r="I1039" s="2">
        <f t="shared" ref="I1039" si="1453">-B$2*SIN(C1038)</f>
        <v>8.5833665522630054E-2</v>
      </c>
      <c r="J1039" s="2">
        <f t="shared" ref="J1039" si="1454">-COS(B$6)</f>
        <v>-1</v>
      </c>
      <c r="L1039" s="2" cm="1">
        <f t="array" ref="L1039:N1041">MINVERSE(H1039:J1041)</f>
        <v>0</v>
      </c>
      <c r="M1039" s="2">
        <v>-6.7085655937819048E-19</v>
      </c>
      <c r="N1039" s="2">
        <v>1.0000000000000002</v>
      </c>
      <c r="O1039" s="10">
        <f t="shared" ref="O1039:O1041" si="1455">-F1037</f>
        <v>1.531435568635775E-16</v>
      </c>
      <c r="Q1039" s="2" cm="1">
        <f t="array" ref="Q1039:Q1041">MMULT(L1039:N1041,O1039:O1041)</f>
        <v>0.14749999999999999</v>
      </c>
    </row>
    <row r="1040" spans="1:17" x14ac:dyDescent="0.35">
      <c r="H1040" s="2">
        <f t="shared" ref="H1040" si="1456">B$1*COS(C1037)</f>
        <v>-1.5210076443758571</v>
      </c>
      <c r="I1040" s="2">
        <f t="shared" ref="I1040" si="1457">B$2*COS(C1038)</f>
        <v>5.9993860170739932</v>
      </c>
      <c r="J1040" s="2">
        <f t="shared" ref="J1040" si="1458">-SIN(B$6)</f>
        <v>0</v>
      </c>
      <c r="L1040" s="2">
        <v>0</v>
      </c>
      <c r="M1040" s="2">
        <v>0.16668372349337804</v>
      </c>
      <c r="N1040" s="2">
        <v>0.25352721762645969</v>
      </c>
      <c r="O1040" s="10">
        <f t="shared" si="1455"/>
        <v>0</v>
      </c>
      <c r="Q1040" s="2">
        <v>3.7395264599902799E-2</v>
      </c>
    </row>
    <row r="1041" spans="1:17" x14ac:dyDescent="0.35">
      <c r="H1041" s="2">
        <v>1</v>
      </c>
      <c r="I1041" s="2">
        <v>0</v>
      </c>
      <c r="J1041" s="2">
        <v>0</v>
      </c>
      <c r="L1041" s="2">
        <v>-1</v>
      </c>
      <c r="M1041" s="2">
        <v>1.4307074970397165E-2</v>
      </c>
      <c r="N1041" s="2">
        <v>-2.564072495123999</v>
      </c>
      <c r="O1041" s="10">
        <f t="shared" si="1455"/>
        <v>0.14749999999999996</v>
      </c>
      <c r="Q1041" s="2">
        <v>-0.37820069303078996</v>
      </c>
    </row>
    <row r="1044" spans="1:17" x14ac:dyDescent="0.35">
      <c r="A1044" s="1" t="s">
        <v>9</v>
      </c>
      <c r="B1044" s="2">
        <f t="shared" ref="B1044" si="1459">IF(AND((B1035 = B1026), ABS(B1039-B1030) &lt; 0.001),B1035+0.1,B1035)</f>
        <v>3.0000000000000013</v>
      </c>
    </row>
    <row r="1045" spans="1:17" x14ac:dyDescent="0.35">
      <c r="C1045" s="1" t="s">
        <v>3</v>
      </c>
    </row>
    <row r="1046" spans="1:17" x14ac:dyDescent="0.35">
      <c r="A1046" s="1" t="s">
        <v>692</v>
      </c>
      <c r="B1046" s="4">
        <f t="shared" ref="B1046:B1047" si="1460">C1046*180/PI()</f>
        <v>128.91550390443533</v>
      </c>
      <c r="C1046" s="2">
        <f t="shared" ref="C1046:C1047" si="1461">C1037+Q1039</f>
        <v>2.2500000000000018</v>
      </c>
      <c r="E1046" s="7" t="s">
        <v>693</v>
      </c>
      <c r="F1046" s="6">
        <f t="shared" ref="F1046" si="1462">-B1048*COS(B$6)+B$1*COS(C1046)+B$2*COS(C1047)-B$3*COS(C$4)</f>
        <v>1.3702194497458312E-2</v>
      </c>
      <c r="H1046" s="11" t="s">
        <v>14</v>
      </c>
      <c r="I1046" s="12"/>
      <c r="J1046" s="13"/>
      <c r="L1046" s="11" t="s">
        <v>694</v>
      </c>
      <c r="M1046" s="12"/>
      <c r="N1046" s="13"/>
      <c r="O1046" s="14" t="s">
        <v>18</v>
      </c>
      <c r="Q1046" s="16" t="s">
        <v>19</v>
      </c>
    </row>
    <row r="1047" spans="1:17" x14ac:dyDescent="0.35">
      <c r="A1047" s="1" t="s">
        <v>695</v>
      </c>
      <c r="B1047" s="4">
        <f t="shared" si="1460"/>
        <v>1.3229117466743228</v>
      </c>
      <c r="C1047" s="2">
        <f t="shared" si="1461"/>
        <v>2.3089165692776074E-2</v>
      </c>
      <c r="E1047" s="7" t="s">
        <v>696</v>
      </c>
      <c r="F1047" s="6">
        <f t="shared" ref="F1047" si="1463">-B1048*SIN(B$6)+B$1*SIN(C1046)+B$2*SIN(C1047)-B$3*SIN(C$4)</f>
        <v>-2.7257723906733311E-2</v>
      </c>
      <c r="H1047" s="8" t="s">
        <v>16</v>
      </c>
      <c r="I1047" s="8" t="s">
        <v>15</v>
      </c>
      <c r="J1047" s="9" t="s">
        <v>8</v>
      </c>
      <c r="L1047" s="8" t="s">
        <v>16</v>
      </c>
      <c r="M1047" s="8" t="s">
        <v>15</v>
      </c>
      <c r="N1047" s="9" t="s">
        <v>8</v>
      </c>
      <c r="O1047" s="15"/>
      <c r="Q1047" s="17"/>
    </row>
    <row r="1048" spans="1:17" x14ac:dyDescent="0.35">
      <c r="A1048" s="1" t="s">
        <v>8</v>
      </c>
      <c r="B1048" s="4">
        <f t="shared" ref="B1048" si="1464">B1039+Q1041</f>
        <v>4.1001776796673459</v>
      </c>
      <c r="C1048" s="2"/>
      <c r="E1048" s="7" t="s">
        <v>697</v>
      </c>
      <c r="F1048" s="6">
        <f>C1046-F$3*B1044-0.5*(F$4)*B1044^2</f>
        <v>0</v>
      </c>
      <c r="H1048" s="2">
        <f t="shared" ref="H1048" si="1465">-B$1*SIN(C1046)</f>
        <v>-2.3342195906637602</v>
      </c>
      <c r="I1048" s="2">
        <f t="shared" ref="I1048" si="1466">-B$2*SIN(C1047)</f>
        <v>-0.13852268542950674</v>
      </c>
      <c r="J1048" s="2">
        <f t="shared" ref="J1048" si="1467">-COS(B$6)</f>
        <v>-1</v>
      </c>
      <c r="L1048" s="2" cm="1">
        <f t="array" ref="L1048:N1050">MINVERSE(H1048:J1050)</f>
        <v>0</v>
      </c>
      <c r="M1048" s="2">
        <v>1.4863412876108371E-18</v>
      </c>
      <c r="N1048" s="2">
        <v>1</v>
      </c>
      <c r="O1048" s="10">
        <f t="shared" ref="O1048:O1050" si="1468">-F1046</f>
        <v>-1.3702194497458312E-2</v>
      </c>
      <c r="Q1048" s="2" cm="1">
        <f t="array" ref="Q1048:Q1050">MMULT(L1048:N1050,O1048:O1050)</f>
        <v>4.0514280448874688E-20</v>
      </c>
    </row>
    <row r="1049" spans="1:17" x14ac:dyDescent="0.35">
      <c r="H1049" s="2">
        <f t="shared" ref="H1049" si="1469">B$1*COS(C1046)</f>
        <v>-1.8845208681682215</v>
      </c>
      <c r="I1049" s="2">
        <f t="shared" ref="I1049" si="1470">B$2*COS(C1047)</f>
        <v>5.9984007423330254</v>
      </c>
      <c r="J1049" s="2">
        <f t="shared" ref="J1049" si="1471">-SIN(B$6)</f>
        <v>0</v>
      </c>
      <c r="L1049" s="2">
        <v>0</v>
      </c>
      <c r="M1049" s="2">
        <v>0.16671110233476311</v>
      </c>
      <c r="N1049" s="2">
        <v>0.31417055130518901</v>
      </c>
      <c r="O1049" s="10">
        <f t="shared" si="1468"/>
        <v>2.7257723906733311E-2</v>
      </c>
      <c r="Q1049" s="2">
        <v>4.5441651996281354E-3</v>
      </c>
    </row>
    <row r="1050" spans="1:17" x14ac:dyDescent="0.35">
      <c r="H1050" s="2">
        <v>1</v>
      </c>
      <c r="I1050" s="2">
        <v>0</v>
      </c>
      <c r="J1050" s="2">
        <v>0</v>
      </c>
      <c r="L1050" s="2">
        <v>-1</v>
      </c>
      <c r="M1050" s="2">
        <v>-2.30932695863247E-2</v>
      </c>
      <c r="N1050" s="2">
        <v>-2.3777393391134236</v>
      </c>
      <c r="O1050" s="10">
        <f t="shared" si="1468"/>
        <v>0</v>
      </c>
      <c r="Q1050" s="2">
        <v>1.3072724530970511E-2</v>
      </c>
    </row>
    <row r="1053" spans="1:17" x14ac:dyDescent="0.35">
      <c r="A1053" s="1" t="s">
        <v>9</v>
      </c>
      <c r="B1053" s="2">
        <f t="shared" ref="B1053" si="1472">IF(AND((B1044 = B1035), ABS(B1048-B1039) &lt; 0.001),B1044+0.1,B1044)</f>
        <v>3.0000000000000013</v>
      </c>
    </row>
    <row r="1054" spans="1:17" x14ac:dyDescent="0.35">
      <c r="C1054" s="1" t="s">
        <v>3</v>
      </c>
    </row>
    <row r="1055" spans="1:17" x14ac:dyDescent="0.35">
      <c r="A1055" s="1" t="s">
        <v>698</v>
      </c>
      <c r="B1055" s="4">
        <f t="shared" ref="B1055:B1056" si="1473">C1055*180/PI()</f>
        <v>128.91550390443533</v>
      </c>
      <c r="C1055" s="2">
        <f t="shared" ref="C1055:C1056" si="1474">C1046+Q1048</f>
        <v>2.2500000000000018</v>
      </c>
      <c r="E1055" s="7" t="s">
        <v>699</v>
      </c>
      <c r="F1055" s="6">
        <f t="shared" ref="F1055" si="1475">-B1057*COS(B$6)+B$1*COS(C1055)+B$2*COS(C1056)-B$3*COS(C$4)</f>
        <v>-6.1929527262958239E-5</v>
      </c>
      <c r="H1055" s="11" t="s">
        <v>14</v>
      </c>
      <c r="I1055" s="12"/>
      <c r="J1055" s="13"/>
      <c r="L1055" s="11" t="s">
        <v>700</v>
      </c>
      <c r="M1055" s="12"/>
      <c r="N1055" s="13"/>
      <c r="O1055" s="14" t="s">
        <v>18</v>
      </c>
      <c r="Q1055" s="16" t="s">
        <v>19</v>
      </c>
    </row>
    <row r="1056" spans="1:17" x14ac:dyDescent="0.35">
      <c r="A1056" s="1" t="s">
        <v>701</v>
      </c>
      <c r="B1056" s="4">
        <f t="shared" si="1473"/>
        <v>1.5832732340232381</v>
      </c>
      <c r="C1056" s="2">
        <f t="shared" si="1474"/>
        <v>2.7633330892404211E-2</v>
      </c>
      <c r="E1056" s="7" t="s">
        <v>702</v>
      </c>
      <c r="F1056" s="6">
        <f t="shared" ref="F1056" si="1476">-B1057*SIN(B$6)+B$1*SIN(C1055)+B$2*SIN(C1056)-B$3*SIN(C$4)</f>
        <v>-1.5240146433725954E-6</v>
      </c>
      <c r="H1056" s="8" t="s">
        <v>16</v>
      </c>
      <c r="I1056" s="8" t="s">
        <v>15</v>
      </c>
      <c r="J1056" s="9" t="s">
        <v>8</v>
      </c>
      <c r="L1056" s="8" t="s">
        <v>16</v>
      </c>
      <c r="M1056" s="8" t="s">
        <v>15</v>
      </c>
      <c r="N1056" s="9" t="s">
        <v>8</v>
      </c>
      <c r="O1056" s="15"/>
      <c r="Q1056" s="17"/>
    </row>
    <row r="1057" spans="1:17" x14ac:dyDescent="0.35">
      <c r="A1057" s="1" t="s">
        <v>8</v>
      </c>
      <c r="B1057" s="4">
        <f t="shared" ref="B1057" si="1477">B1048+Q1050</f>
        <v>4.1132504041983164</v>
      </c>
      <c r="C1057" s="2"/>
      <c r="E1057" s="7" t="s">
        <v>703</v>
      </c>
      <c r="F1057" s="6">
        <f>C1055-F$3*B1053-0.5*(F$4)*B1053^2</f>
        <v>0</v>
      </c>
      <c r="H1057" s="2">
        <f t="shared" ref="H1057" si="1478">-B$1*SIN(C1055)</f>
        <v>-2.3342195906637602</v>
      </c>
      <c r="I1057" s="2">
        <f t="shared" ref="I1057" si="1479">-B$2*SIN(C1056)</f>
        <v>-0.16577888532159629</v>
      </c>
      <c r="J1057" s="2">
        <f t="shared" ref="J1057" si="1480">-COS(B$6)</f>
        <v>-1</v>
      </c>
      <c r="L1057" s="2" cm="1">
        <f t="array" ref="L1057:N1059">MINVERSE(H1057:J1059)</f>
        <v>0</v>
      </c>
      <c r="M1057" s="2">
        <v>0</v>
      </c>
      <c r="N1057" s="2">
        <v>1</v>
      </c>
      <c r="O1057" s="10">
        <f t="shared" ref="O1057:O1059" si="1481">-F1055</f>
        <v>6.1929527262958239E-5</v>
      </c>
      <c r="Q1057" s="2" cm="1">
        <f t="array" ref="Q1057:Q1059">MMULT(L1057:N1059,O1057:O1059)</f>
        <v>0</v>
      </c>
    </row>
    <row r="1058" spans="1:17" x14ac:dyDescent="0.35">
      <c r="H1058" s="2">
        <f t="shared" ref="H1058" si="1482">B$1*COS(C1055)</f>
        <v>-1.8845208681682215</v>
      </c>
      <c r="I1058" s="2">
        <f t="shared" ref="I1058" si="1483">B$2*COS(C1056)</f>
        <v>5.9977093428392756</v>
      </c>
      <c r="J1058" s="2">
        <f t="shared" ref="J1058" si="1484">-SIN(B$6)</f>
        <v>0</v>
      </c>
      <c r="L1058" s="2">
        <v>0</v>
      </c>
      <c r="M1058" s="2">
        <v>0.16673032033369706</v>
      </c>
      <c r="N1058" s="2">
        <v>0.31420676802522446</v>
      </c>
      <c r="O1058" s="10">
        <f t="shared" si="1481"/>
        <v>1.5240146433725954E-6</v>
      </c>
      <c r="Q1058" s="2">
        <v>2.5409944968275789E-7</v>
      </c>
    </row>
    <row r="1059" spans="1:17" x14ac:dyDescent="0.35">
      <c r="H1059" s="2">
        <v>1</v>
      </c>
      <c r="I1059" s="2">
        <v>0</v>
      </c>
      <c r="J1059" s="2">
        <v>0</v>
      </c>
      <c r="L1059" s="2">
        <v>-1</v>
      </c>
      <c r="M1059" s="2">
        <v>-2.764036665423298E-2</v>
      </c>
      <c r="N1059" s="2">
        <v>-2.3863084384274833</v>
      </c>
      <c r="O1059" s="10">
        <f t="shared" si="1481"/>
        <v>0</v>
      </c>
      <c r="Q1059" s="2">
        <v>-6.1971651586487477E-5</v>
      </c>
    </row>
    <row r="1062" spans="1:17" x14ac:dyDescent="0.35">
      <c r="A1062" s="1" t="s">
        <v>9</v>
      </c>
      <c r="B1062" s="2">
        <f t="shared" ref="B1062" si="1485">IF(AND((B1053 = B1044), ABS(B1057-B1048) &lt; 0.001),B1053+0.1,B1053)</f>
        <v>3.0000000000000013</v>
      </c>
    </row>
    <row r="1063" spans="1:17" x14ac:dyDescent="0.35">
      <c r="C1063" s="1" t="s">
        <v>3</v>
      </c>
    </row>
    <row r="1064" spans="1:17" x14ac:dyDescent="0.35">
      <c r="A1064" s="1" t="s">
        <v>704</v>
      </c>
      <c r="B1064" s="4">
        <f t="shared" ref="B1064:B1065" si="1486">C1064*180/PI()</f>
        <v>128.91550390443533</v>
      </c>
      <c r="C1064" s="2">
        <f t="shared" ref="C1064:C1065" si="1487">C1055+Q1057</f>
        <v>2.2500000000000018</v>
      </c>
      <c r="E1064" s="7" t="s">
        <v>705</v>
      </c>
      <c r="F1064" s="6">
        <f t="shared" ref="F1064" si="1488">-B1066*COS(B$6)+B$1*COS(C1064)+B$2*COS(C1065)-B$3*COS(C$4)</f>
        <v>-1.9377603905149088E-13</v>
      </c>
      <c r="H1064" s="11" t="s">
        <v>14</v>
      </c>
      <c r="I1064" s="12"/>
      <c r="J1064" s="13"/>
      <c r="L1064" s="11" t="s">
        <v>706</v>
      </c>
      <c r="M1064" s="12"/>
      <c r="N1064" s="13"/>
      <c r="O1064" s="14" t="s">
        <v>18</v>
      </c>
      <c r="Q1064" s="16" t="s">
        <v>19</v>
      </c>
    </row>
    <row r="1065" spans="1:17" x14ac:dyDescent="0.35">
      <c r="A1065" s="1" t="s">
        <v>707</v>
      </c>
      <c r="B1065" s="4">
        <f t="shared" si="1486"/>
        <v>1.5832877928492817</v>
      </c>
      <c r="C1065" s="2">
        <f t="shared" si="1487"/>
        <v>2.7633584991853893E-2</v>
      </c>
      <c r="E1065" s="7" t="s">
        <v>708</v>
      </c>
      <c r="F1065" s="6">
        <f t="shared" ref="F1065" si="1489">-B1066*SIN(B$6)+B$1*SIN(C1064)+B$2*SIN(C1065)-B$3*SIN(C$4)</f>
        <v>-5.3290705182007514E-15</v>
      </c>
      <c r="H1065" s="8" t="s">
        <v>16</v>
      </c>
      <c r="I1065" s="8" t="s">
        <v>15</v>
      </c>
      <c r="J1065" s="9" t="s">
        <v>8</v>
      </c>
      <c r="L1065" s="8" t="s">
        <v>16</v>
      </c>
      <c r="M1065" s="8" t="s">
        <v>15</v>
      </c>
      <c r="N1065" s="9" t="s">
        <v>8</v>
      </c>
      <c r="O1065" s="15"/>
      <c r="Q1065" s="17"/>
    </row>
    <row r="1066" spans="1:17" x14ac:dyDescent="0.35">
      <c r="A1066" s="1" t="s">
        <v>8</v>
      </c>
      <c r="B1066" s="4">
        <f t="shared" ref="B1066" si="1490">B1057+Q1059</f>
        <v>4.1131884325467301</v>
      </c>
      <c r="C1066" s="2"/>
      <c r="E1066" s="7" t="s">
        <v>709</v>
      </c>
      <c r="F1066" s="6">
        <f>C1064-F$3*B1062-0.5*(F$4)*B1062^2</f>
        <v>0</v>
      </c>
      <c r="H1066" s="2">
        <f t="shared" ref="H1066" si="1491">-B$1*SIN(C1064)</f>
        <v>-2.3342195906637602</v>
      </c>
      <c r="I1066" s="2">
        <f t="shared" ref="I1066" si="1492">-B$2*SIN(C1065)</f>
        <v>-0.16578040933623434</v>
      </c>
      <c r="J1066" s="2">
        <f t="shared" ref="J1066" si="1493">-COS(B$6)</f>
        <v>-1</v>
      </c>
      <c r="L1066" s="2" cm="1">
        <f t="array" ref="L1066:N1068">MINVERSE(H1066:J1068)</f>
        <v>0</v>
      </c>
      <c r="M1066" s="2">
        <v>0</v>
      </c>
      <c r="N1066" s="2">
        <v>1</v>
      </c>
      <c r="O1066" s="10">
        <f t="shared" ref="O1066:O1068" si="1494">-F1064</f>
        <v>1.9377603905149088E-13</v>
      </c>
      <c r="Q1066" s="2" cm="1">
        <f t="array" ref="Q1066:Q1068">MMULT(L1066:N1068,O1066:O1068)</f>
        <v>0</v>
      </c>
    </row>
    <row r="1067" spans="1:17" x14ac:dyDescent="0.35">
      <c r="H1067" s="2">
        <f t="shared" ref="H1067" si="1495">B$1*COS(C1064)</f>
        <v>-1.8845208681682215</v>
      </c>
      <c r="I1067" s="2">
        <f t="shared" ref="I1067" si="1496">B$2*COS(C1065)</f>
        <v>5.9977093007147584</v>
      </c>
      <c r="J1067" s="2">
        <f t="shared" ref="J1067" si="1497">-SIN(B$6)</f>
        <v>0</v>
      </c>
      <c r="L1067" s="2">
        <v>0</v>
      </c>
      <c r="M1067" s="2">
        <v>0.16673032150471651</v>
      </c>
      <c r="N1067" s="2">
        <v>0.31420677023203503</v>
      </c>
      <c r="O1067" s="10">
        <f t="shared" si="1494"/>
        <v>5.3290705182007514E-15</v>
      </c>
      <c r="Q1067" s="2">
        <v>8.8851764082091757E-16</v>
      </c>
    </row>
    <row r="1068" spans="1:17" x14ac:dyDescent="0.35">
      <c r="H1068" s="2">
        <v>1</v>
      </c>
      <c r="I1068" s="2">
        <v>0</v>
      </c>
      <c r="J1068" s="2">
        <v>0</v>
      </c>
      <c r="L1068" s="2">
        <v>-1</v>
      </c>
      <c r="M1068" s="2">
        <v>-2.7640620947813856E-2</v>
      </c>
      <c r="N1068" s="2">
        <v>-2.3863089176490431</v>
      </c>
      <c r="O1068" s="10">
        <f t="shared" si="1494"/>
        <v>0</v>
      </c>
      <c r="Q1068" s="2">
        <v>-1.9392333786968862E-13</v>
      </c>
    </row>
    <row r="1071" spans="1:17" x14ac:dyDescent="0.35">
      <c r="A1071" s="1" t="s">
        <v>9</v>
      </c>
      <c r="B1071" s="2">
        <f t="shared" ref="B1071" si="1498">IF(AND((B1062 = B1053), ABS(B1066-B1057) &lt; 0.001),B1062+0.1,B1062)</f>
        <v>3.1000000000000014</v>
      </c>
    </row>
    <row r="1072" spans="1:17" x14ac:dyDescent="0.35">
      <c r="C1072" s="1" t="s">
        <v>3</v>
      </c>
    </row>
    <row r="1073" spans="1:17" x14ac:dyDescent="0.35">
      <c r="A1073" s="1" t="s">
        <v>710</v>
      </c>
      <c r="B1073" s="4">
        <f t="shared" ref="B1073:B1074" si="1499">C1073*180/PI()</f>
        <v>128.91550390443533</v>
      </c>
      <c r="C1073" s="2">
        <f t="shared" ref="C1073:C1074" si="1500">C1064+Q1066</f>
        <v>2.2500000000000018</v>
      </c>
      <c r="E1073" s="7" t="s">
        <v>711</v>
      </c>
      <c r="F1073" s="6">
        <f t="shared" ref="F1073" si="1501">-B1075*COS(B$6)+B$1*COS(C1073)+B$2*COS(C1074)-B$3*COS(C$4)</f>
        <v>-1.531435568635775E-16</v>
      </c>
      <c r="H1073" s="11" t="s">
        <v>14</v>
      </c>
      <c r="I1073" s="12"/>
      <c r="J1073" s="13"/>
      <c r="L1073" s="11" t="s">
        <v>712</v>
      </c>
      <c r="M1073" s="12"/>
      <c r="N1073" s="13"/>
      <c r="O1073" s="14" t="s">
        <v>18</v>
      </c>
      <c r="Q1073" s="16" t="s">
        <v>19</v>
      </c>
    </row>
    <row r="1074" spans="1:17" x14ac:dyDescent="0.35">
      <c r="A1074" s="1" t="s">
        <v>713</v>
      </c>
      <c r="B1074" s="4">
        <f t="shared" si="1499"/>
        <v>1.5832877928493325</v>
      </c>
      <c r="C1074" s="2">
        <f t="shared" si="1500"/>
        <v>2.7633584991854782E-2</v>
      </c>
      <c r="E1074" s="7" t="s">
        <v>714</v>
      </c>
      <c r="F1074" s="6">
        <f t="shared" ref="F1074" si="1502">-B1075*SIN(B$6)+B$1*SIN(C1073)+B$2*SIN(C1074)-B$3*SIN(C$4)</f>
        <v>0</v>
      </c>
      <c r="H1074" s="8" t="s">
        <v>16</v>
      </c>
      <c r="I1074" s="8" t="s">
        <v>15</v>
      </c>
      <c r="J1074" s="9" t="s">
        <v>8</v>
      </c>
      <c r="L1074" s="8" t="s">
        <v>16</v>
      </c>
      <c r="M1074" s="8" t="s">
        <v>15</v>
      </c>
      <c r="N1074" s="9" t="s">
        <v>8</v>
      </c>
      <c r="O1074" s="15"/>
      <c r="Q1074" s="17"/>
    </row>
    <row r="1075" spans="1:17" x14ac:dyDescent="0.35">
      <c r="A1075" s="1" t="s">
        <v>8</v>
      </c>
      <c r="B1075" s="4">
        <f t="shared" ref="B1075" si="1503">B1066+Q1068</f>
        <v>4.1131884325465364</v>
      </c>
      <c r="C1075" s="2"/>
      <c r="E1075" s="7" t="s">
        <v>715</v>
      </c>
      <c r="F1075" s="6">
        <f>C1073-F$3*B1071-0.5*(F$4)*B1071^2</f>
        <v>-0.1525000000000003</v>
      </c>
      <c r="H1075" s="2">
        <f t="shared" ref="H1075" si="1504">-B$1*SIN(C1073)</f>
        <v>-2.3342195906637602</v>
      </c>
      <c r="I1075" s="2">
        <f t="shared" ref="I1075" si="1505">-B$2*SIN(C1074)</f>
        <v>-0.16578040933623966</v>
      </c>
      <c r="J1075" s="2">
        <f t="shared" ref="J1075" si="1506">-COS(B$6)</f>
        <v>-1</v>
      </c>
      <c r="L1075" s="2" cm="1">
        <f t="array" ref="L1075:N1077">MINVERSE(H1075:J1077)</f>
        <v>0</v>
      </c>
      <c r="M1075" s="2">
        <v>-1.4863412876108371E-18</v>
      </c>
      <c r="N1075" s="2">
        <v>0.99999999999999978</v>
      </c>
      <c r="O1075" s="10">
        <f t="shared" ref="O1075:O1077" si="1507">-F1073</f>
        <v>1.531435568635775E-16</v>
      </c>
      <c r="Q1075" s="2" cm="1">
        <f t="array" ref="Q1075:Q1077">MMULT(L1075:N1077,O1075:O1077)</f>
        <v>0.15250000000000027</v>
      </c>
    </row>
    <row r="1076" spans="1:17" x14ac:dyDescent="0.35">
      <c r="H1076" s="2">
        <f t="shared" ref="H1076" si="1508">B$1*COS(C1073)</f>
        <v>-1.8845208681682215</v>
      </c>
      <c r="I1076" s="2">
        <f t="shared" ref="I1076" si="1509">B$2*COS(C1074)</f>
        <v>5.9977093007147584</v>
      </c>
      <c r="J1076" s="2">
        <f t="shared" ref="J1076" si="1510">-SIN(B$6)</f>
        <v>0</v>
      </c>
      <c r="L1076" s="2">
        <v>0</v>
      </c>
      <c r="M1076" s="2">
        <v>0.16673032150471651</v>
      </c>
      <c r="N1076" s="2">
        <v>0.31420677023203497</v>
      </c>
      <c r="O1076" s="10">
        <f t="shared" si="1507"/>
        <v>0</v>
      </c>
      <c r="Q1076" s="2">
        <v>4.7916532460385429E-2</v>
      </c>
    </row>
    <row r="1077" spans="1:17" x14ac:dyDescent="0.35">
      <c r="H1077" s="2">
        <v>1</v>
      </c>
      <c r="I1077" s="2">
        <v>0</v>
      </c>
      <c r="J1077" s="2">
        <v>0</v>
      </c>
      <c r="L1077" s="2">
        <v>-1</v>
      </c>
      <c r="M1077" s="2">
        <v>-2.7640620947814741E-2</v>
      </c>
      <c r="N1077" s="2">
        <v>-2.3863089176490444</v>
      </c>
      <c r="O1077" s="10">
        <f t="shared" si="1507"/>
        <v>0.1525000000000003</v>
      </c>
      <c r="Q1077" s="2">
        <v>-0.36391210994148016</v>
      </c>
    </row>
    <row r="1080" spans="1:17" x14ac:dyDescent="0.35">
      <c r="A1080" s="1" t="s">
        <v>9</v>
      </c>
      <c r="B1080" s="2">
        <f t="shared" ref="B1080" si="1511">IF(AND((B1071 = B1062), ABS(B1075-B1066) &lt; 0.001),B1071+0.1,B1071)</f>
        <v>3.1000000000000014</v>
      </c>
    </row>
    <row r="1081" spans="1:17" x14ac:dyDescent="0.35">
      <c r="C1081" s="1" t="s">
        <v>3</v>
      </c>
    </row>
    <row r="1082" spans="1:17" x14ac:dyDescent="0.35">
      <c r="A1082" s="1" t="s">
        <v>716</v>
      </c>
      <c r="B1082" s="4">
        <f t="shared" ref="B1082:B1083" si="1512">C1082*180/PI()</f>
        <v>137.65311028018041</v>
      </c>
      <c r="C1082" s="2">
        <f t="shared" ref="C1082:C1083" si="1513">C1073+Q1075</f>
        <v>2.4025000000000021</v>
      </c>
      <c r="E1082" s="7" t="s">
        <v>717</v>
      </c>
      <c r="F1082" s="6">
        <f t="shared" ref="F1082" si="1514">-B1084*COS(B$6)+B$1*COS(C1082)+B$2*COS(C1083)-B$3*COS(C$4)</f>
        <v>1.6368157768979888E-2</v>
      </c>
      <c r="H1082" s="11" t="s">
        <v>14</v>
      </c>
      <c r="I1082" s="12"/>
      <c r="J1082" s="13"/>
      <c r="L1082" s="11" t="s">
        <v>718</v>
      </c>
      <c r="M1082" s="12"/>
      <c r="N1082" s="13"/>
      <c r="O1082" s="14" t="s">
        <v>18</v>
      </c>
      <c r="Q1082" s="16" t="s">
        <v>19</v>
      </c>
    </row>
    <row r="1083" spans="1:17" x14ac:dyDescent="0.35">
      <c r="A1083" s="1" t="s">
        <v>719</v>
      </c>
      <c r="B1083" s="4">
        <f t="shared" si="1512"/>
        <v>4.3287028717310285</v>
      </c>
      <c r="C1083" s="2">
        <f t="shared" si="1513"/>
        <v>7.5550117452240217E-2</v>
      </c>
      <c r="E1083" s="7" t="s">
        <v>720</v>
      </c>
      <c r="F1083" s="6">
        <f t="shared" ref="F1083" si="1515">-B1084*SIN(B$6)+B$1*SIN(C1082)+B$2*SIN(C1083)-B$3*SIN(C$4)</f>
        <v>-2.6277636641422575E-2</v>
      </c>
      <c r="H1083" s="8" t="s">
        <v>16</v>
      </c>
      <c r="I1083" s="8" t="s">
        <v>15</v>
      </c>
      <c r="J1083" s="9" t="s">
        <v>8</v>
      </c>
      <c r="L1083" s="8" t="s">
        <v>16</v>
      </c>
      <c r="M1083" s="8" t="s">
        <v>15</v>
      </c>
      <c r="N1083" s="9" t="s">
        <v>8</v>
      </c>
      <c r="O1083" s="15"/>
      <c r="Q1083" s="17"/>
    </row>
    <row r="1084" spans="1:17" x14ac:dyDescent="0.35">
      <c r="A1084" s="1" t="s">
        <v>8</v>
      </c>
      <c r="B1084" s="4">
        <f t="shared" ref="B1084" si="1516">B1075+Q1077</f>
        <v>3.7492763226050565</v>
      </c>
      <c r="C1084" s="2"/>
      <c r="E1084" s="7" t="s">
        <v>721</v>
      </c>
      <c r="F1084" s="6">
        <f>C1082-F$3*B1080-0.5*(F$4)*B1080^2</f>
        <v>0</v>
      </c>
      <c r="H1084" s="2">
        <f t="shared" ref="H1084" si="1517">-B$1*SIN(C1082)</f>
        <v>-2.0208527620837557</v>
      </c>
      <c r="I1084" s="2">
        <f t="shared" ref="I1084" si="1518">-B$2*SIN(C1083)</f>
        <v>-0.45286960127482145</v>
      </c>
      <c r="J1084" s="2">
        <f t="shared" ref="J1084" si="1519">-COS(B$6)</f>
        <v>-1</v>
      </c>
      <c r="L1084" s="2" cm="1">
        <f t="array" ref="L1084:N1086">MINVERSE(H1084:J1086)</f>
        <v>0</v>
      </c>
      <c r="M1084" s="2">
        <v>0</v>
      </c>
      <c r="N1084" s="2">
        <v>0.99999999999999978</v>
      </c>
      <c r="O1084" s="10">
        <f t="shared" ref="O1084:O1086" si="1520">-F1082</f>
        <v>-1.6368157768979888E-2</v>
      </c>
      <c r="Q1084" s="2" cm="1">
        <f t="array" ref="Q1084:Q1086">MMULT(L1084:N1086,O1084:O1086)</f>
        <v>0</v>
      </c>
    </row>
    <row r="1085" spans="1:17" x14ac:dyDescent="0.35">
      <c r="H1085" s="2">
        <f t="shared" ref="H1085" si="1521">B$1*COS(C1082)</f>
        <v>-2.2172402021383375</v>
      </c>
      <c r="I1085" s="2">
        <f t="shared" ref="I1085" si="1522">B$2*COS(C1083)</f>
        <v>5.982884682512374</v>
      </c>
      <c r="J1085" s="2">
        <f t="shared" ref="J1085" si="1523">-SIN(B$6)</f>
        <v>0</v>
      </c>
      <c r="L1085" s="2">
        <v>0</v>
      </c>
      <c r="M1085" s="2">
        <v>0.16714345220842083</v>
      </c>
      <c r="N1085" s="2">
        <v>0.3705971817606985</v>
      </c>
      <c r="O1085" s="10">
        <f t="shared" si="1520"/>
        <v>2.6277636641422575E-2</v>
      </c>
      <c r="Q1085" s="2">
        <v>4.3921349041258625E-3</v>
      </c>
    </row>
    <row r="1086" spans="1:17" x14ac:dyDescent="0.35">
      <c r="H1086" s="2">
        <v>1</v>
      </c>
      <c r="I1086" s="2">
        <v>0</v>
      </c>
      <c r="J1086" s="2">
        <v>0</v>
      </c>
      <c r="L1086" s="2">
        <v>-1</v>
      </c>
      <c r="M1086" s="2">
        <v>-7.569418855732464E-2</v>
      </c>
      <c r="N1086" s="2">
        <v>-2.1886849600212956</v>
      </c>
      <c r="O1086" s="10">
        <f t="shared" si="1520"/>
        <v>0</v>
      </c>
      <c r="Q1086" s="2">
        <v>1.4379093386203185E-2</v>
      </c>
    </row>
    <row r="1089" spans="1:17" x14ac:dyDescent="0.35">
      <c r="A1089" s="1" t="s">
        <v>9</v>
      </c>
      <c r="B1089" s="2">
        <f t="shared" ref="B1089" si="1524">IF(AND((B1080 = B1071), ABS(B1084-B1075) &lt; 0.001),B1080+0.1,B1080)</f>
        <v>3.1000000000000014</v>
      </c>
    </row>
    <row r="1090" spans="1:17" x14ac:dyDescent="0.35">
      <c r="C1090" s="1" t="s">
        <v>3</v>
      </c>
    </row>
    <row r="1091" spans="1:17" x14ac:dyDescent="0.35">
      <c r="A1091" s="1" t="s">
        <v>722</v>
      </c>
      <c r="B1091" s="4">
        <f t="shared" ref="B1091:B1092" si="1525">C1091*180/PI()</f>
        <v>137.65311028018041</v>
      </c>
      <c r="C1091" s="2">
        <f t="shared" ref="C1091:C1092" si="1526">C1082+Q1084</f>
        <v>2.4025000000000021</v>
      </c>
      <c r="E1091" s="7" t="s">
        <v>723</v>
      </c>
      <c r="F1091" s="6">
        <f t="shared" ref="F1091" si="1527">-B1093*COS(B$6)+B$1*COS(C1091)+B$2*COS(C1092)-B$3*COS(C$4)</f>
        <v>-5.7700974660665971E-5</v>
      </c>
      <c r="H1091" s="11" t="s">
        <v>14</v>
      </c>
      <c r="I1091" s="12"/>
      <c r="J1091" s="13"/>
      <c r="L1091" s="11" t="s">
        <v>724</v>
      </c>
      <c r="M1091" s="12"/>
      <c r="N1091" s="13"/>
      <c r="O1091" s="14" t="s">
        <v>18</v>
      </c>
      <c r="Q1091" s="16" t="s">
        <v>19</v>
      </c>
    </row>
    <row r="1092" spans="1:17" x14ac:dyDescent="0.35">
      <c r="A1092" s="1" t="s">
        <v>725</v>
      </c>
      <c r="B1092" s="4">
        <f t="shared" si="1525"/>
        <v>4.5803536647895369</v>
      </c>
      <c r="C1092" s="2">
        <f t="shared" si="1526"/>
        <v>7.9942252356366081E-2</v>
      </c>
      <c r="E1092" s="7" t="s">
        <v>726</v>
      </c>
      <c r="F1092" s="6">
        <f t="shared" ref="F1092" si="1528">-B1093*SIN(B$6)+B$1*SIN(C1091)+B$2*SIN(C1092)-B$3*SIN(C$4)</f>
        <v>-4.4525987679122636E-6</v>
      </c>
      <c r="H1092" s="8" t="s">
        <v>16</v>
      </c>
      <c r="I1092" s="8" t="s">
        <v>15</v>
      </c>
      <c r="J1092" s="9" t="s">
        <v>8</v>
      </c>
      <c r="L1092" s="8" t="s">
        <v>16</v>
      </c>
      <c r="M1092" s="8" t="s">
        <v>15</v>
      </c>
      <c r="N1092" s="9" t="s">
        <v>8</v>
      </c>
      <c r="O1092" s="15"/>
      <c r="Q1092" s="17"/>
    </row>
    <row r="1093" spans="1:17" x14ac:dyDescent="0.35">
      <c r="A1093" s="1" t="s">
        <v>8</v>
      </c>
      <c r="B1093" s="4">
        <f t="shared" ref="B1093" si="1529">B1084+Q1086</f>
        <v>3.7636554159912596</v>
      </c>
      <c r="C1093" s="2"/>
      <c r="E1093" s="7" t="s">
        <v>727</v>
      </c>
      <c r="F1093" s="6">
        <f>C1091-F$3*B1089-0.5*(F$4)*B1089^2</f>
        <v>0</v>
      </c>
      <c r="H1093" s="2">
        <f t="shared" ref="H1093" si="1530">-B$1*SIN(C1091)</f>
        <v>-2.0208527620837557</v>
      </c>
      <c r="I1093" s="2">
        <f t="shared" ref="I1093" si="1531">-B$2*SIN(C1092)</f>
        <v>-0.47914278531747634</v>
      </c>
      <c r="J1093" s="2">
        <f t="shared" ref="J1093" si="1532">-COS(B$6)</f>
        <v>-1</v>
      </c>
      <c r="L1093" s="2" cm="1">
        <f t="array" ref="L1093:N1095">MINVERSE(H1093:J1095)</f>
        <v>0</v>
      </c>
      <c r="M1093" s="2">
        <v>0</v>
      </c>
      <c r="N1093" s="2">
        <v>1</v>
      </c>
      <c r="O1093" s="10">
        <f t="shared" ref="O1093:O1095" si="1533">-F1091</f>
        <v>5.7700974660665971E-5</v>
      </c>
      <c r="Q1093" s="2" cm="1">
        <f t="array" ref="Q1093:Q1095">MMULT(L1093:N1095,O1093:O1095)</f>
        <v>0</v>
      </c>
    </row>
    <row r="1094" spans="1:17" x14ac:dyDescent="0.35">
      <c r="H1094" s="2">
        <f t="shared" ref="H1094" si="1534">B$1*COS(C1091)</f>
        <v>-2.2172402021383375</v>
      </c>
      <c r="I1094" s="2">
        <f t="shared" ref="I1094" si="1535">B$2*COS(C1092)</f>
        <v>5.9808379171549371</v>
      </c>
      <c r="J1094" s="2">
        <f t="shared" ref="J1094" si="1536">-SIN(B$6)</f>
        <v>0</v>
      </c>
      <c r="L1094" s="2">
        <v>0</v>
      </c>
      <c r="M1094" s="2">
        <v>0.16720065212462679</v>
      </c>
      <c r="N1094" s="2">
        <v>0.37072400771446934</v>
      </c>
      <c r="O1094" s="10">
        <f t="shared" si="1533"/>
        <v>4.4525987679122636E-6</v>
      </c>
      <c r="Q1094" s="2">
        <v>7.4447741764424019E-7</v>
      </c>
    </row>
    <row r="1095" spans="1:17" x14ac:dyDescent="0.35">
      <c r="H1095" s="2">
        <v>1</v>
      </c>
      <c r="I1095" s="2">
        <v>0</v>
      </c>
      <c r="J1095" s="2">
        <v>0</v>
      </c>
      <c r="L1095" s="2">
        <v>-1</v>
      </c>
      <c r="M1095" s="2">
        <v>-8.0112986165892131E-2</v>
      </c>
      <c r="N1095" s="2">
        <v>-2.1984824957241242</v>
      </c>
      <c r="O1095" s="10">
        <f t="shared" si="1533"/>
        <v>0</v>
      </c>
      <c r="Q1095" s="2">
        <v>-5.8057685644161994E-5</v>
      </c>
    </row>
    <row r="1098" spans="1:17" x14ac:dyDescent="0.35">
      <c r="A1098" s="1" t="s">
        <v>9</v>
      </c>
      <c r="B1098" s="2">
        <f t="shared" ref="B1098" si="1537">IF(AND((B1089 = B1080), ABS(B1093-B1084) &lt; 0.001),B1089+0.1,B1089)</f>
        <v>3.1000000000000014</v>
      </c>
    </row>
    <row r="1099" spans="1:17" x14ac:dyDescent="0.35">
      <c r="C1099" s="1" t="s">
        <v>3</v>
      </c>
    </row>
    <row r="1100" spans="1:17" x14ac:dyDescent="0.35">
      <c r="A1100" s="1" t="s">
        <v>728</v>
      </c>
      <c r="B1100" s="4">
        <f t="shared" ref="B1100:B1101" si="1538">C1100*180/PI()</f>
        <v>137.65311028018041</v>
      </c>
      <c r="C1100" s="2">
        <f t="shared" ref="C1100:C1101" si="1539">C1091+Q1093</f>
        <v>2.4025000000000021</v>
      </c>
      <c r="E1100" s="7" t="s">
        <v>729</v>
      </c>
      <c r="F1100" s="6">
        <f t="shared" ref="F1100" si="1540">-B1102*COS(B$6)+B$1*COS(C1100)+B$2*COS(C1101)-B$3*COS(C$4)</f>
        <v>-1.6566058962975971E-12</v>
      </c>
      <c r="H1100" s="11" t="s">
        <v>14</v>
      </c>
      <c r="I1100" s="12"/>
      <c r="J1100" s="13"/>
      <c r="L1100" s="11" t="s">
        <v>730</v>
      </c>
      <c r="M1100" s="12"/>
      <c r="N1100" s="13"/>
      <c r="O1100" s="14" t="s">
        <v>18</v>
      </c>
      <c r="Q1100" s="16" t="s">
        <v>19</v>
      </c>
    </row>
    <row r="1101" spans="1:17" x14ac:dyDescent="0.35">
      <c r="A1101" s="1" t="s">
        <v>731</v>
      </c>
      <c r="B1101" s="4">
        <f t="shared" si="1538"/>
        <v>4.5803963202035103</v>
      </c>
      <c r="C1101" s="2">
        <f t="shared" si="1539"/>
        <v>7.9942996833783725E-2</v>
      </c>
      <c r="E1101" s="7" t="s">
        <v>732</v>
      </c>
      <c r="F1101" s="6">
        <f t="shared" ref="F1101" si="1541">-B1102*SIN(B$6)+B$1*SIN(C1100)+B$2*SIN(C1101)-B$3*SIN(C$4)</f>
        <v>-1.3278267374516872E-13</v>
      </c>
      <c r="H1101" s="8" t="s">
        <v>16</v>
      </c>
      <c r="I1101" s="8" t="s">
        <v>15</v>
      </c>
      <c r="J1101" s="9" t="s">
        <v>8</v>
      </c>
      <c r="L1101" s="8" t="s">
        <v>16</v>
      </c>
      <c r="M1101" s="8" t="s">
        <v>15</v>
      </c>
      <c r="N1101" s="9" t="s">
        <v>8</v>
      </c>
      <c r="O1101" s="15"/>
      <c r="Q1101" s="17"/>
    </row>
    <row r="1102" spans="1:17" x14ac:dyDescent="0.35">
      <c r="A1102" s="1" t="s">
        <v>8</v>
      </c>
      <c r="B1102" s="4">
        <f t="shared" ref="B1102" si="1542">B1093+Q1095</f>
        <v>3.7635973583056153</v>
      </c>
      <c r="C1102" s="2"/>
      <c r="E1102" s="7" t="s">
        <v>733</v>
      </c>
      <c r="F1102" s="6">
        <f>C1100-F$3*B1098-0.5*(F$4)*B1098^2</f>
        <v>0</v>
      </c>
      <c r="H1102" s="2">
        <f t="shared" ref="H1102" si="1543">-B$1*SIN(C1100)</f>
        <v>-2.0208527620837557</v>
      </c>
      <c r="I1102" s="2">
        <f t="shared" ref="I1102" si="1544">-B$2*SIN(C1101)</f>
        <v>-0.47914723791611147</v>
      </c>
      <c r="J1102" s="2">
        <f t="shared" ref="J1102" si="1545">-COS(B$6)</f>
        <v>-1</v>
      </c>
      <c r="L1102" s="2" cm="1">
        <f t="array" ref="L1102:N1104">MINVERSE(H1102:J1104)</f>
        <v>0</v>
      </c>
      <c r="M1102" s="2">
        <v>-5.0072293635774863E-17</v>
      </c>
      <c r="N1102" s="2">
        <v>1.0000000000000002</v>
      </c>
      <c r="O1102" s="10">
        <f t="shared" ref="O1102:O1104" si="1546">-F1100</f>
        <v>1.6566058962975971E-12</v>
      </c>
      <c r="Q1102" s="2" cm="1">
        <f t="array" ref="Q1102:Q1104">MMULT(L1102:N1104,O1102:O1104)</f>
        <v>-6.6487330295113816E-30</v>
      </c>
    </row>
    <row r="1103" spans="1:17" x14ac:dyDescent="0.35">
      <c r="H1103" s="2">
        <f t="shared" ref="H1103" si="1547">B$1*COS(C1100)</f>
        <v>-2.2172402021383375</v>
      </c>
      <c r="I1103" s="2">
        <f t="shared" ref="I1103" si="1548">B$2*COS(C1101)</f>
        <v>5.9808375604422963</v>
      </c>
      <c r="J1103" s="2">
        <f t="shared" ref="J1103" si="1549">-SIN(B$6)</f>
        <v>0</v>
      </c>
      <c r="L1103" s="2">
        <v>0</v>
      </c>
      <c r="M1103" s="2">
        <v>0.16720066209690665</v>
      </c>
      <c r="N1103" s="2">
        <v>0.37072402982540925</v>
      </c>
      <c r="O1103" s="10">
        <f t="shared" si="1546"/>
        <v>1.3278267374516872E-13</v>
      </c>
      <c r="Q1103" s="2">
        <v>2.2201350965189754E-14</v>
      </c>
    </row>
    <row r="1104" spans="1:17" x14ac:dyDescent="0.35">
      <c r="H1104" s="2">
        <v>1</v>
      </c>
      <c r="I1104" s="2">
        <v>0</v>
      </c>
      <c r="J1104" s="2">
        <v>0</v>
      </c>
      <c r="L1104" s="2">
        <v>-1</v>
      </c>
      <c r="M1104" s="2">
        <v>-8.0113735421477719E-2</v>
      </c>
      <c r="N1104" s="2">
        <v>-2.1984841570037306</v>
      </c>
      <c r="O1104" s="10">
        <f t="shared" si="1546"/>
        <v>0</v>
      </c>
      <c r="Q1104" s="2">
        <v>-1.667243612290574E-12</v>
      </c>
    </row>
    <row r="1107" spans="1:17" x14ac:dyDescent="0.35">
      <c r="A1107" s="1" t="s">
        <v>9</v>
      </c>
      <c r="B1107" s="2">
        <f t="shared" ref="B1107" si="1550">IF(AND((B1098 = B1089), ABS(B1102-B1093) &lt; 0.001),B1098+0.1,B1098)</f>
        <v>3.2000000000000015</v>
      </c>
    </row>
    <row r="1108" spans="1:17" x14ac:dyDescent="0.35">
      <c r="C1108" s="1" t="s">
        <v>3</v>
      </c>
    </row>
    <row r="1109" spans="1:17" x14ac:dyDescent="0.35">
      <c r="A1109" s="1" t="s">
        <v>734</v>
      </c>
      <c r="B1109" s="4">
        <f t="shared" ref="B1109:B1110" si="1551">C1109*180/PI()</f>
        <v>137.65311028018041</v>
      </c>
      <c r="C1109" s="2">
        <f t="shared" ref="C1109:C1110" si="1552">C1100+Q1102</f>
        <v>2.4025000000000021</v>
      </c>
      <c r="E1109" s="7" t="s">
        <v>735</v>
      </c>
      <c r="F1109" s="6">
        <f t="shared" ref="F1109" si="1553">-B1111*COS(B$6)+B$1*COS(C1109)+B$2*COS(C1110)-B$3*COS(C$4)</f>
        <v>-1.531435568635775E-16</v>
      </c>
      <c r="H1109" s="11" t="s">
        <v>14</v>
      </c>
      <c r="I1109" s="12"/>
      <c r="J1109" s="13"/>
      <c r="L1109" s="11" t="s">
        <v>736</v>
      </c>
      <c r="M1109" s="12"/>
      <c r="N1109" s="13"/>
      <c r="O1109" s="14" t="s">
        <v>18</v>
      </c>
      <c r="Q1109" s="16" t="s">
        <v>19</v>
      </c>
    </row>
    <row r="1110" spans="1:17" x14ac:dyDescent="0.35">
      <c r="A1110" s="1" t="s">
        <v>737</v>
      </c>
      <c r="B1110" s="4">
        <f t="shared" si="1551"/>
        <v>4.580396320204783</v>
      </c>
      <c r="C1110" s="2">
        <f t="shared" si="1552"/>
        <v>7.9942996833805929E-2</v>
      </c>
      <c r="E1110" s="7" t="s">
        <v>738</v>
      </c>
      <c r="F1110" s="6">
        <f t="shared" ref="F1110" si="1554">-B1111*SIN(B$6)+B$1*SIN(C1109)+B$2*SIN(C1110)-B$3*SIN(C$4)</f>
        <v>0</v>
      </c>
      <c r="H1110" s="8" t="s">
        <v>16</v>
      </c>
      <c r="I1110" s="8" t="s">
        <v>15</v>
      </c>
      <c r="J1110" s="9" t="s">
        <v>8</v>
      </c>
      <c r="L1110" s="8" t="s">
        <v>16</v>
      </c>
      <c r="M1110" s="8" t="s">
        <v>15</v>
      </c>
      <c r="N1110" s="9" t="s">
        <v>8</v>
      </c>
      <c r="O1110" s="15"/>
      <c r="Q1110" s="17"/>
    </row>
    <row r="1111" spans="1:17" x14ac:dyDescent="0.35">
      <c r="A1111" s="1" t="s">
        <v>8</v>
      </c>
      <c r="B1111" s="4">
        <f t="shared" ref="B1111" si="1555">B1102+Q1104</f>
        <v>3.7635973583039481</v>
      </c>
      <c r="C1111" s="2"/>
      <c r="E1111" s="7" t="s">
        <v>739</v>
      </c>
      <c r="F1111" s="6">
        <f>C1109-F$3*B1107-0.5*(F$4)*B1107^2</f>
        <v>-0.1575000000000002</v>
      </c>
      <c r="H1111" s="2">
        <f t="shared" ref="H1111" si="1556">-B$1*SIN(C1109)</f>
        <v>-2.0208527620837557</v>
      </c>
      <c r="I1111" s="2">
        <f t="shared" ref="I1111" si="1557">-B$2*SIN(C1110)</f>
        <v>-0.47914723791624431</v>
      </c>
      <c r="J1111" s="2">
        <f t="shared" ref="J1111" si="1558">-COS(B$6)</f>
        <v>-1</v>
      </c>
      <c r="L1111" s="2" cm="1">
        <f t="array" ref="L1111:N1113">MINVERSE(H1111:J1113)</f>
        <v>0</v>
      </c>
      <c r="M1111" s="2">
        <v>0</v>
      </c>
      <c r="N1111" s="2">
        <v>1.0000000000000002</v>
      </c>
      <c r="O1111" s="10">
        <f t="shared" ref="O1111:O1113" si="1559">-F1109</f>
        <v>1.531435568635775E-16</v>
      </c>
      <c r="Q1111" s="2" cm="1">
        <f t="array" ref="Q1111:Q1113">MMULT(L1111:N1113,O1111:O1113)</f>
        <v>0.15750000000000022</v>
      </c>
    </row>
    <row r="1112" spans="1:17" x14ac:dyDescent="0.35">
      <c r="H1112" s="2">
        <f t="shared" ref="H1112" si="1560">B$1*COS(C1109)</f>
        <v>-2.2172402021383375</v>
      </c>
      <c r="I1112" s="2">
        <f t="shared" ref="I1112" si="1561">B$2*COS(C1110)</f>
        <v>5.9808375604422856</v>
      </c>
      <c r="J1112" s="2">
        <f t="shared" ref="J1112" si="1562">-SIN(B$6)</f>
        <v>0</v>
      </c>
      <c r="L1112" s="2">
        <v>0</v>
      </c>
      <c r="M1112" s="2">
        <v>0.16720066209690698</v>
      </c>
      <c r="N1112" s="2">
        <v>0.37072402982540992</v>
      </c>
      <c r="O1112" s="10">
        <f t="shared" si="1559"/>
        <v>0</v>
      </c>
      <c r="Q1112" s="2">
        <v>5.8389034697502132E-2</v>
      </c>
    </row>
    <row r="1113" spans="1:17" x14ac:dyDescent="0.35">
      <c r="H1113" s="2">
        <v>1</v>
      </c>
      <c r="I1113" s="2">
        <v>0</v>
      </c>
      <c r="J1113" s="2">
        <v>0</v>
      </c>
      <c r="L1113" s="2">
        <v>-1</v>
      </c>
      <c r="M1113" s="2">
        <v>-8.0113735421500298E-2</v>
      </c>
      <c r="N1113" s="2">
        <v>-2.1984841570037807</v>
      </c>
      <c r="O1113" s="10">
        <f t="shared" si="1559"/>
        <v>0.1575000000000002</v>
      </c>
      <c r="Q1113" s="2">
        <v>-0.34626125472809605</v>
      </c>
    </row>
    <row r="1116" spans="1:17" x14ac:dyDescent="0.35">
      <c r="A1116" s="1" t="s">
        <v>9</v>
      </c>
      <c r="B1116" s="2">
        <f t="shared" ref="B1116" si="1563">IF(AND((B1107 = B1098), ABS(B1111-B1102) &lt; 0.001),B1107+0.1,B1107)</f>
        <v>3.2000000000000015</v>
      </c>
    </row>
    <row r="1117" spans="1:17" x14ac:dyDescent="0.35">
      <c r="C1117" s="1" t="s">
        <v>3</v>
      </c>
    </row>
    <row r="1118" spans="1:17" x14ac:dyDescent="0.35">
      <c r="A1118" s="1" t="s">
        <v>740</v>
      </c>
      <c r="B1118" s="4">
        <f t="shared" ref="B1118:B1119" si="1564">C1118*180/PI()</f>
        <v>146.67719555349089</v>
      </c>
      <c r="C1118" s="2">
        <f t="shared" ref="C1118:C1119" si="1565">C1109+Q1111</f>
        <v>2.5600000000000023</v>
      </c>
      <c r="E1118" s="7" t="s">
        <v>741</v>
      </c>
      <c r="F1118" s="6">
        <f t="shared" ref="F1118" si="1566">-B1120*COS(B$6)+B$1*COS(C1118)+B$2*COS(C1119)-B$3*COS(C$4)</f>
        <v>1.858179805595557E-2</v>
      </c>
      <c r="H1118" s="11" t="s">
        <v>14</v>
      </c>
      <c r="I1118" s="12"/>
      <c r="J1118" s="13"/>
      <c r="L1118" s="11" t="s">
        <v>742</v>
      </c>
      <c r="M1118" s="12"/>
      <c r="N1118" s="13"/>
      <c r="O1118" s="14" t="s">
        <v>18</v>
      </c>
      <c r="Q1118" s="16" t="s">
        <v>19</v>
      </c>
    </row>
    <row r="1119" spans="1:17" x14ac:dyDescent="0.35">
      <c r="A1119" s="1" t="s">
        <v>743</v>
      </c>
      <c r="B1119" s="4">
        <f t="shared" si="1564"/>
        <v>7.9258415782145795</v>
      </c>
      <c r="C1119" s="2">
        <f t="shared" si="1565"/>
        <v>0.13833203153130808</v>
      </c>
      <c r="E1119" s="7" t="s">
        <v>744</v>
      </c>
      <c r="F1119" s="6">
        <f t="shared" ref="F1119" si="1567">-B1120*SIN(B$6)+B$1*SIN(C1118)+B$2*SIN(C1119)-B$3*SIN(C$4)</f>
        <v>-2.4586057287689034E-2</v>
      </c>
      <c r="H1119" s="8" t="s">
        <v>16</v>
      </c>
      <c r="I1119" s="8" t="s">
        <v>15</v>
      </c>
      <c r="J1119" s="9" t="s">
        <v>8</v>
      </c>
      <c r="L1119" s="8" t="s">
        <v>16</v>
      </c>
      <c r="M1119" s="8" t="s">
        <v>15</v>
      </c>
      <c r="N1119" s="9" t="s">
        <v>8</v>
      </c>
      <c r="O1119" s="15"/>
      <c r="Q1119" s="17"/>
    </row>
    <row r="1120" spans="1:17" x14ac:dyDescent="0.35">
      <c r="A1120" s="1" t="s">
        <v>8</v>
      </c>
      <c r="B1120" s="4">
        <f t="shared" ref="B1120" si="1568">B1111+Q1113</f>
        <v>3.417336103575852</v>
      </c>
      <c r="C1120" s="2"/>
      <c r="E1120" s="7" t="s">
        <v>745</v>
      </c>
      <c r="F1120" s="6">
        <f>C1118-F$3*B1116-0.5*(F$4)*B1116^2</f>
        <v>0</v>
      </c>
      <c r="H1120" s="2">
        <f t="shared" ref="H1120" si="1569">-B$1*SIN(C1118)</f>
        <v>-1.6480663092813743</v>
      </c>
      <c r="I1120" s="2">
        <f t="shared" ref="I1120" si="1570">-B$2*SIN(C1119)</f>
        <v>-0.82734763343093676</v>
      </c>
      <c r="J1120" s="2">
        <f t="shared" ref="J1120" si="1571">-COS(B$6)</f>
        <v>-1</v>
      </c>
      <c r="L1120" s="2" cm="1">
        <f t="array" ref="L1120:N1122">MINVERSE(H1120:J1122)</f>
        <v>0</v>
      </c>
      <c r="M1120" s="2">
        <v>0</v>
      </c>
      <c r="N1120" s="2">
        <v>1.0000000000000002</v>
      </c>
      <c r="O1120" s="10">
        <f t="shared" ref="O1120:O1122" si="1572">-F1118</f>
        <v>-1.858179805595557E-2</v>
      </c>
      <c r="Q1120" s="2" cm="1">
        <f t="array" ref="Q1120:Q1122">MMULT(L1120:N1122,O1120:O1122)</f>
        <v>0</v>
      </c>
    </row>
    <row r="1121" spans="1:17" x14ac:dyDescent="0.35">
      <c r="H1121" s="2">
        <f t="shared" ref="H1121" si="1573">B$1*COS(C1118)</f>
        <v>-2.5067663313942266</v>
      </c>
      <c r="I1121" s="2">
        <f t="shared" ref="I1121" si="1574">B$2*COS(C1119)</f>
        <v>5.9426842330260348</v>
      </c>
      <c r="J1121" s="2">
        <f t="shared" ref="J1121" si="1575">-SIN(B$6)</f>
        <v>0</v>
      </c>
      <c r="L1121" s="2">
        <v>0</v>
      </c>
      <c r="M1121" s="2">
        <v>0.16827412677297793</v>
      </c>
      <c r="N1121" s="2">
        <v>0.4218239154392649</v>
      </c>
      <c r="O1121" s="10">
        <f t="shared" si="1572"/>
        <v>2.4586057287689034E-2</v>
      </c>
      <c r="Q1121" s="2">
        <v>4.1371973208762826E-3</v>
      </c>
    </row>
    <row r="1122" spans="1:17" x14ac:dyDescent="0.35">
      <c r="H1122" s="2">
        <v>1</v>
      </c>
      <c r="I1122" s="2">
        <v>0</v>
      </c>
      <c r="J1122" s="2">
        <v>0</v>
      </c>
      <c r="L1122" s="2">
        <v>-1</v>
      </c>
      <c r="M1122" s="2">
        <v>-0.1392212005532808</v>
      </c>
      <c r="N1122" s="2">
        <v>-1.9970613274446221</v>
      </c>
      <c r="O1122" s="10">
        <f t="shared" si="1572"/>
        <v>0</v>
      </c>
      <c r="Q1122" s="2">
        <v>1.5158897643491764E-2</v>
      </c>
    </row>
    <row r="1125" spans="1:17" x14ac:dyDescent="0.35">
      <c r="A1125" s="1" t="s">
        <v>9</v>
      </c>
      <c r="B1125" s="2">
        <f t="shared" ref="B1125" si="1576">IF(AND((B1116 = B1107), ABS(B1120-B1111) &lt; 0.001),B1116+0.1,B1116)</f>
        <v>3.2000000000000015</v>
      </c>
    </row>
    <row r="1126" spans="1:17" x14ac:dyDescent="0.35">
      <c r="C1126" s="1" t="s">
        <v>3</v>
      </c>
    </row>
    <row r="1127" spans="1:17" x14ac:dyDescent="0.35">
      <c r="A1127" s="1" t="s">
        <v>746</v>
      </c>
      <c r="B1127" s="4">
        <f t="shared" ref="B1127:B1128" si="1577">C1127*180/PI()</f>
        <v>146.67719555349089</v>
      </c>
      <c r="C1127" s="2">
        <f t="shared" ref="C1127:C1128" si="1578">C1118+Q1120</f>
        <v>2.5600000000000023</v>
      </c>
      <c r="E1127" s="7" t="s">
        <v>747</v>
      </c>
      <c r="F1127" s="6">
        <f t="shared" ref="F1127" si="1579">-B1129*COS(B$6)+B$1*COS(C1127)+B$2*COS(C1128)-B$3*COS(C$4)</f>
        <v>-5.0848848013249558E-5</v>
      </c>
      <c r="H1127" s="11" t="s">
        <v>14</v>
      </c>
      <c r="I1127" s="12"/>
      <c r="J1127" s="13"/>
      <c r="L1127" s="11" t="s">
        <v>748</v>
      </c>
      <c r="M1127" s="12"/>
      <c r="N1127" s="13"/>
      <c r="O1127" s="14" t="s">
        <v>18</v>
      </c>
      <c r="Q1127" s="16" t="s">
        <v>19</v>
      </c>
    </row>
    <row r="1128" spans="1:17" x14ac:dyDescent="0.35">
      <c r="A1128" s="1" t="s">
        <v>749</v>
      </c>
      <c r="B1128" s="4">
        <f t="shared" si="1577"/>
        <v>8.1628855237136211</v>
      </c>
      <c r="C1128" s="2">
        <f t="shared" si="1578"/>
        <v>0.14246922885218435</v>
      </c>
      <c r="E1128" s="7" t="s">
        <v>750</v>
      </c>
      <c r="F1128" s="6">
        <f t="shared" ref="F1128" si="1580">-B1129*SIN(B$6)+B$1*SIN(C1127)+B$2*SIN(C1128)-B$3*SIN(C$4)</f>
        <v>-7.1507345205112927E-6</v>
      </c>
      <c r="H1128" s="8" t="s">
        <v>16</v>
      </c>
      <c r="I1128" s="8" t="s">
        <v>15</v>
      </c>
      <c r="J1128" s="9" t="s">
        <v>8</v>
      </c>
      <c r="L1128" s="8" t="s">
        <v>16</v>
      </c>
      <c r="M1128" s="8" t="s">
        <v>15</v>
      </c>
      <c r="N1128" s="9" t="s">
        <v>8</v>
      </c>
      <c r="O1128" s="15"/>
      <c r="Q1128" s="17"/>
    </row>
    <row r="1129" spans="1:17" x14ac:dyDescent="0.35">
      <c r="A1129" s="1" t="s">
        <v>8</v>
      </c>
      <c r="B1129" s="4">
        <f t="shared" ref="B1129" si="1581">B1120+Q1122</f>
        <v>3.432495001219344</v>
      </c>
      <c r="C1129" s="2"/>
      <c r="E1129" s="7" t="s">
        <v>751</v>
      </c>
      <c r="F1129" s="6">
        <f>C1127-F$3*B1125-0.5*(F$4)*B1125^2</f>
        <v>0</v>
      </c>
      <c r="H1129" s="2">
        <f t="shared" ref="H1129" si="1582">-B$1*SIN(C1127)</f>
        <v>-1.6480663092813743</v>
      </c>
      <c r="I1129" s="2">
        <f t="shared" ref="I1129" si="1583">-B$2*SIN(C1128)</f>
        <v>-0.85192653998410517</v>
      </c>
      <c r="J1129" s="2">
        <f t="shared" ref="J1129" si="1584">-COS(B$6)</f>
        <v>-1</v>
      </c>
      <c r="L1129" s="2" cm="1">
        <f t="array" ref="L1129:N1131">MINVERSE(H1129:J1131)</f>
        <v>0</v>
      </c>
      <c r="M1129" s="2">
        <v>-8.8578102451828195E-17</v>
      </c>
      <c r="N1129" s="2">
        <v>0.99999999999999978</v>
      </c>
      <c r="O1129" s="10">
        <f t="shared" ref="O1129:O1131" si="1585">-F1127</f>
        <v>5.0848848013249558E-5</v>
      </c>
      <c r="Q1129" s="2" cm="1">
        <f t="array" ref="Q1129:Q1131">MMULT(L1129:N1131,O1129:O1131)</f>
        <v>-6.333984949636738E-22</v>
      </c>
    </row>
    <row r="1130" spans="1:17" x14ac:dyDescent="0.35">
      <c r="H1130" s="2">
        <f t="shared" ref="H1130" si="1586">B$1*COS(C1127)</f>
        <v>-2.5067663313942266</v>
      </c>
      <c r="I1130" s="2">
        <f t="shared" ref="I1130" si="1587">B$2*COS(C1128)</f>
        <v>5.9392104837655575</v>
      </c>
      <c r="J1130" s="2">
        <f t="shared" ref="J1130" si="1588">-SIN(B$6)</f>
        <v>0</v>
      </c>
      <c r="L1130" s="2">
        <v>0</v>
      </c>
      <c r="M1130" s="2">
        <v>0.16837254761949155</v>
      </c>
      <c r="N1130" s="2">
        <v>0.42207063350361257</v>
      </c>
      <c r="O1130" s="10">
        <f t="shared" si="1585"/>
        <v>7.1507345205112927E-6</v>
      </c>
      <c r="Q1130" s="2">
        <v>1.2039873885691297E-6</v>
      </c>
    </row>
    <row r="1131" spans="1:17" x14ac:dyDescent="0.35">
      <c r="H1131" s="2">
        <v>1</v>
      </c>
      <c r="I1131" s="2">
        <v>0</v>
      </c>
      <c r="J1131" s="2">
        <v>0</v>
      </c>
      <c r="L1131" s="2">
        <v>-1</v>
      </c>
      <c r="M1131" s="2">
        <v>-0.14344104192178234</v>
      </c>
      <c r="N1131" s="2">
        <v>-2.0076394837110061</v>
      </c>
      <c r="O1131" s="10">
        <f t="shared" si="1585"/>
        <v>0</v>
      </c>
      <c r="Q1131" s="2">
        <v>-5.1874556823377756E-5</v>
      </c>
    </row>
    <row r="1134" spans="1:17" x14ac:dyDescent="0.35">
      <c r="A1134" s="1" t="s">
        <v>9</v>
      </c>
      <c r="B1134" s="2">
        <f t="shared" ref="B1134" si="1589">IF(AND((B1125 = B1116), ABS(B1129-B1120) &lt; 0.001),B1125+0.1,B1125)</f>
        <v>3.2000000000000015</v>
      </c>
    </row>
    <row r="1135" spans="1:17" x14ac:dyDescent="0.35">
      <c r="C1135" s="1" t="s">
        <v>3</v>
      </c>
    </row>
    <row r="1136" spans="1:17" x14ac:dyDescent="0.35">
      <c r="A1136" s="1" t="s">
        <v>752</v>
      </c>
      <c r="B1136" s="4">
        <f t="shared" ref="B1136:B1137" si="1590">C1136*180/PI()</f>
        <v>146.67719555349089</v>
      </c>
      <c r="C1136" s="2">
        <f t="shared" ref="C1136:C1137" si="1591">C1127+Q1129</f>
        <v>2.5600000000000023</v>
      </c>
      <c r="E1136" s="7" t="s">
        <v>753</v>
      </c>
      <c r="F1136" s="6">
        <f t="shared" ref="F1136" si="1592">-B1138*COS(B$6)+B$1*COS(C1136)+B$2*COS(C1137)-B$3*COS(C$4)</f>
        <v>-4.3042657654236705E-12</v>
      </c>
      <c r="H1136" s="11" t="s">
        <v>14</v>
      </c>
      <c r="I1136" s="12"/>
      <c r="J1136" s="13"/>
      <c r="L1136" s="11" t="s">
        <v>754</v>
      </c>
      <c r="M1136" s="12"/>
      <c r="N1136" s="13"/>
      <c r="O1136" s="14" t="s">
        <v>18</v>
      </c>
      <c r="Q1136" s="16" t="s">
        <v>19</v>
      </c>
    </row>
    <row r="1137" spans="1:17" x14ac:dyDescent="0.35">
      <c r="A1137" s="1" t="s">
        <v>755</v>
      </c>
      <c r="B1137" s="4">
        <f t="shared" si="1590"/>
        <v>8.162954507109573</v>
      </c>
      <c r="C1137" s="2">
        <f t="shared" si="1591"/>
        <v>0.14247043283957292</v>
      </c>
      <c r="E1137" s="7" t="s">
        <v>756</v>
      </c>
      <c r="F1137" s="6">
        <f t="shared" ref="F1137" si="1593">-B1138*SIN(B$6)+B$1*SIN(C1136)+B$2*SIN(C1137)-B$3*SIN(C$4)</f>
        <v>-6.1728400169158704E-13</v>
      </c>
      <c r="H1137" s="8" t="s">
        <v>16</v>
      </c>
      <c r="I1137" s="8" t="s">
        <v>15</v>
      </c>
      <c r="J1137" s="9" t="s">
        <v>8</v>
      </c>
      <c r="L1137" s="8" t="s">
        <v>16</v>
      </c>
      <c r="M1137" s="8" t="s">
        <v>15</v>
      </c>
      <c r="N1137" s="9" t="s">
        <v>8</v>
      </c>
      <c r="O1137" s="15"/>
      <c r="Q1137" s="17"/>
    </row>
    <row r="1138" spans="1:17" x14ac:dyDescent="0.35">
      <c r="A1138" s="1" t="s">
        <v>8</v>
      </c>
      <c r="B1138" s="4">
        <f t="shared" ref="B1138" si="1594">B1129+Q1131</f>
        <v>3.4324431266625206</v>
      </c>
      <c r="C1138" s="2"/>
      <c r="E1138" s="7" t="s">
        <v>757</v>
      </c>
      <c r="F1138" s="6">
        <f>C1136-F$3*B1134-0.5*(F$4)*B1134^2</f>
        <v>0</v>
      </c>
      <c r="H1138" s="2">
        <f t="shared" ref="H1138" si="1595">-B$1*SIN(C1136)</f>
        <v>-1.6480663092813743</v>
      </c>
      <c r="I1138" s="2">
        <f t="shared" ref="I1138" si="1596">-B$2*SIN(C1137)</f>
        <v>-0.85193369071800817</v>
      </c>
      <c r="J1138" s="2">
        <f t="shared" ref="J1138" si="1597">-COS(B$6)</f>
        <v>-1</v>
      </c>
      <c r="L1138" s="2" cm="1">
        <f t="array" ref="L1138:N1140">MINVERSE(H1138:J1140)</f>
        <v>0</v>
      </c>
      <c r="M1138" s="2">
        <v>-4.4289051225914097E-17</v>
      </c>
      <c r="N1138" s="2">
        <v>1</v>
      </c>
      <c r="O1138" s="10">
        <f t="shared" ref="O1138:O1140" si="1598">-F1136</f>
        <v>4.3042657654236705E-12</v>
      </c>
      <c r="Q1138" s="2" cm="1">
        <f t="array" ref="Q1138:Q1140">MMULT(L1138:N1140,O1138:O1140)</f>
        <v>-2.733892277185594E-29</v>
      </c>
    </row>
    <row r="1139" spans="1:17" x14ac:dyDescent="0.35">
      <c r="H1139" s="2">
        <f t="shared" ref="H1139" si="1599">B$1*COS(C1136)</f>
        <v>-2.5067663313942266</v>
      </c>
      <c r="I1139" s="2">
        <f t="shared" ref="I1139" si="1600">B$2*COS(C1137)</f>
        <v>5.939209458052443</v>
      </c>
      <c r="J1139" s="2">
        <f t="shared" ref="J1139" si="1601">-SIN(B$6)</f>
        <v>0</v>
      </c>
      <c r="L1139" s="2">
        <v>0</v>
      </c>
      <c r="M1139" s="2">
        <v>0.16837257669776057</v>
      </c>
      <c r="N1139" s="2">
        <v>0.42207070639603833</v>
      </c>
      <c r="O1139" s="10">
        <f t="shared" si="1598"/>
        <v>6.1728400169158704E-13</v>
      </c>
      <c r="Q1139" s="2">
        <v>1.039336979191173E-13</v>
      </c>
    </row>
    <row r="1140" spans="1:17" x14ac:dyDescent="0.35">
      <c r="H1140" s="2">
        <v>1</v>
      </c>
      <c r="I1140" s="2">
        <v>0</v>
      </c>
      <c r="J1140" s="2">
        <v>0</v>
      </c>
      <c r="L1140" s="2">
        <v>-1</v>
      </c>
      <c r="M1140" s="2">
        <v>-0.14344227068182414</v>
      </c>
      <c r="N1140" s="2">
        <v>-2.0076425639253084</v>
      </c>
      <c r="O1140" s="10">
        <f t="shared" si="1598"/>
        <v>0</v>
      </c>
      <c r="Q1140" s="2">
        <v>-4.3928103842818744E-12</v>
      </c>
    </row>
    <row r="1143" spans="1:17" x14ac:dyDescent="0.35">
      <c r="A1143" s="1" t="s">
        <v>9</v>
      </c>
      <c r="B1143" s="2">
        <f t="shared" ref="B1143" si="1602">IF(AND((B1134 = B1125), ABS(B1138-B1129) &lt; 0.001),B1134+0.1,B1134)</f>
        <v>3.3000000000000016</v>
      </c>
    </row>
    <row r="1144" spans="1:17" x14ac:dyDescent="0.35">
      <c r="C1144" s="1" t="s">
        <v>3</v>
      </c>
    </row>
    <row r="1145" spans="1:17" x14ac:dyDescent="0.35">
      <c r="A1145" s="1" t="s">
        <v>758</v>
      </c>
      <c r="B1145" s="4">
        <f t="shared" ref="B1145:B1146" si="1603">C1145*180/PI()</f>
        <v>146.67719555349089</v>
      </c>
      <c r="C1145" s="2">
        <f t="shared" ref="C1145:C1146" si="1604">C1136+Q1138</f>
        <v>2.5600000000000023</v>
      </c>
      <c r="E1145" s="7" t="s">
        <v>759</v>
      </c>
      <c r="F1145" s="6">
        <f t="shared" ref="F1145" si="1605">-B1147*COS(B$6)+B$1*COS(C1145)+B$2*COS(C1146)-B$3*COS(C$4)</f>
        <v>7.3503486283654773E-16</v>
      </c>
      <c r="H1145" s="11" t="s">
        <v>14</v>
      </c>
      <c r="I1145" s="12"/>
      <c r="J1145" s="13"/>
      <c r="L1145" s="11" t="s">
        <v>760</v>
      </c>
      <c r="M1145" s="12"/>
      <c r="N1145" s="13"/>
      <c r="O1145" s="14" t="s">
        <v>18</v>
      </c>
      <c r="Q1145" s="16" t="s">
        <v>19</v>
      </c>
    </row>
    <row r="1146" spans="1:17" x14ac:dyDescent="0.35">
      <c r="A1146" s="1" t="s">
        <v>761</v>
      </c>
      <c r="B1146" s="4">
        <f t="shared" si="1603"/>
        <v>8.1629545071155274</v>
      </c>
      <c r="C1146" s="2">
        <f t="shared" si="1604"/>
        <v>0.14247043283967686</v>
      </c>
      <c r="E1146" s="7" t="s">
        <v>762</v>
      </c>
      <c r="F1146" s="6">
        <f t="shared" ref="F1146" si="1606">-B1147*SIN(B$6)+B$1*SIN(C1145)+B$2*SIN(C1146)-B$3*SIN(C$4)</f>
        <v>0</v>
      </c>
      <c r="H1146" s="8" t="s">
        <v>16</v>
      </c>
      <c r="I1146" s="8" t="s">
        <v>15</v>
      </c>
      <c r="J1146" s="9" t="s">
        <v>8</v>
      </c>
      <c r="L1146" s="8" t="s">
        <v>16</v>
      </c>
      <c r="M1146" s="8" t="s">
        <v>15</v>
      </c>
      <c r="N1146" s="9" t="s">
        <v>8</v>
      </c>
      <c r="O1146" s="15"/>
      <c r="Q1146" s="17"/>
    </row>
    <row r="1147" spans="1:17" x14ac:dyDescent="0.35">
      <c r="A1147" s="1" t="s">
        <v>8</v>
      </c>
      <c r="B1147" s="4">
        <f t="shared" ref="B1147" si="1607">B1138+Q1140</f>
        <v>3.4324431266581277</v>
      </c>
      <c r="C1147" s="2"/>
      <c r="E1147" s="7" t="s">
        <v>763</v>
      </c>
      <c r="F1147" s="6">
        <f>C1145-F$3*B1143-0.5*(F$4)*B1143^2</f>
        <v>-0.16250000000000053</v>
      </c>
      <c r="H1147" s="2">
        <f t="shared" ref="H1147" si="1608">-B$1*SIN(C1145)</f>
        <v>-1.6480663092813743</v>
      </c>
      <c r="I1147" s="2">
        <f t="shared" ref="I1147" si="1609">-B$2*SIN(C1146)</f>
        <v>-0.85193369071862568</v>
      </c>
      <c r="J1147" s="2">
        <f t="shared" ref="J1147" si="1610">-COS(B$6)</f>
        <v>-1</v>
      </c>
      <c r="L1147" s="2" cm="1">
        <f t="array" ref="L1147:N1149">MINVERSE(H1147:J1149)</f>
        <v>0</v>
      </c>
      <c r="M1147" s="2">
        <v>0</v>
      </c>
      <c r="N1147" s="2">
        <v>1</v>
      </c>
      <c r="O1147" s="10">
        <f t="shared" ref="O1147:O1149" si="1611">-F1145</f>
        <v>-7.3503486283654773E-16</v>
      </c>
      <c r="Q1147" s="2" cm="1">
        <f t="array" ref="Q1147:Q1149">MMULT(L1147:N1149,O1147:O1149)</f>
        <v>0.16250000000000053</v>
      </c>
    </row>
    <row r="1148" spans="1:17" x14ac:dyDescent="0.35">
      <c r="H1148" s="2">
        <f t="shared" ref="H1148" si="1612">B$1*COS(C1145)</f>
        <v>-2.5067663313942266</v>
      </c>
      <c r="I1148" s="2">
        <f t="shared" ref="I1148" si="1613">B$2*COS(C1146)</f>
        <v>5.9392094580523551</v>
      </c>
      <c r="J1148" s="2">
        <f t="shared" ref="J1148" si="1614">-SIN(B$6)</f>
        <v>0</v>
      </c>
      <c r="L1148" s="2">
        <v>0</v>
      </c>
      <c r="M1148" s="2">
        <v>0.16837257669776307</v>
      </c>
      <c r="N1148" s="2">
        <v>0.4220707063960446</v>
      </c>
      <c r="O1148" s="10">
        <f t="shared" si="1611"/>
        <v>0</v>
      </c>
      <c r="Q1148" s="2">
        <v>6.8586489789357469E-2</v>
      </c>
    </row>
    <row r="1149" spans="1:17" x14ac:dyDescent="0.35">
      <c r="H1149" s="2">
        <v>1</v>
      </c>
      <c r="I1149" s="2">
        <v>0</v>
      </c>
      <c r="J1149" s="2">
        <v>0</v>
      </c>
      <c r="L1149" s="2">
        <v>-1</v>
      </c>
      <c r="M1149" s="2">
        <v>-0.14344227068193019</v>
      </c>
      <c r="N1149" s="2">
        <v>-2.0076425639255744</v>
      </c>
      <c r="O1149" s="10">
        <f t="shared" si="1611"/>
        <v>0.16250000000000053</v>
      </c>
      <c r="Q1149" s="2">
        <v>-0.32624191663790619</v>
      </c>
    </row>
    <row r="1152" spans="1:17" x14ac:dyDescent="0.35">
      <c r="A1152" s="1" t="s">
        <v>9</v>
      </c>
      <c r="B1152" s="2">
        <f t="shared" ref="B1152" si="1615">IF(AND((B1143 = B1134), ABS(B1147-B1138) &lt; 0.001),B1143+0.1,B1143)</f>
        <v>3.3000000000000016</v>
      </c>
    </row>
    <row r="1153" spans="1:17" x14ac:dyDescent="0.35">
      <c r="C1153" s="1" t="s">
        <v>3</v>
      </c>
    </row>
    <row r="1154" spans="1:17" x14ac:dyDescent="0.35">
      <c r="A1154" s="1" t="s">
        <v>764</v>
      </c>
      <c r="B1154" s="4">
        <f t="shared" ref="B1154:B1155" si="1616">C1154*180/PI()</f>
        <v>155.98775972436678</v>
      </c>
      <c r="C1154" s="2">
        <f t="shared" ref="C1154:C1155" si="1617">C1145+Q1147</f>
        <v>2.7225000000000028</v>
      </c>
      <c r="E1154" s="7" t="s">
        <v>765</v>
      </c>
      <c r="F1154" s="6">
        <f t="shared" ref="F1154" si="1618">-B1156*COS(B$6)+B$1*COS(C1154)+B$2*COS(C1155)-B$3*COS(C$4)</f>
        <v>2.0283411880189409E-2</v>
      </c>
      <c r="H1154" s="11" t="s">
        <v>14</v>
      </c>
      <c r="I1154" s="12"/>
      <c r="J1154" s="13"/>
      <c r="L1154" s="11" t="s">
        <v>766</v>
      </c>
      <c r="M1154" s="12"/>
      <c r="N1154" s="13"/>
      <c r="O1154" s="14" t="s">
        <v>18</v>
      </c>
      <c r="Q1154" s="16" t="s">
        <v>19</v>
      </c>
    </row>
    <row r="1155" spans="1:17" x14ac:dyDescent="0.35">
      <c r="A1155" s="1" t="s">
        <v>767</v>
      </c>
      <c r="B1155" s="4">
        <f t="shared" si="1616"/>
        <v>12.092670903662826</v>
      </c>
      <c r="C1155" s="2">
        <f t="shared" si="1617"/>
        <v>0.21105692262903433</v>
      </c>
      <c r="E1155" s="7" t="s">
        <v>768</v>
      </c>
      <c r="F1155" s="6">
        <f t="shared" ref="F1155" si="1619">-B1156*SIN(B$6)+B$1*SIN(C1154)+B$2*SIN(C1155)-B$3*SIN(C$4)</f>
        <v>-2.2243690593443777E-2</v>
      </c>
      <c r="H1155" s="8" t="s">
        <v>16</v>
      </c>
      <c r="I1155" s="8" t="s">
        <v>15</v>
      </c>
      <c r="J1155" s="9" t="s">
        <v>8</v>
      </c>
      <c r="L1155" s="8" t="s">
        <v>16</v>
      </c>
      <c r="M1155" s="8" t="s">
        <v>15</v>
      </c>
      <c r="N1155" s="9" t="s">
        <v>8</v>
      </c>
      <c r="O1155" s="15"/>
      <c r="Q1155" s="17"/>
    </row>
    <row r="1156" spans="1:17" x14ac:dyDescent="0.35">
      <c r="A1156" s="1" t="s">
        <v>8</v>
      </c>
      <c r="B1156" s="4">
        <f t="shared" ref="B1156" si="1620">B1147+Q1149</f>
        <v>3.1062012100202216</v>
      </c>
      <c r="C1156" s="2"/>
      <c r="E1156" s="7" t="s">
        <v>769</v>
      </c>
      <c r="F1156" s="6">
        <f>C1154-F$3*B1152-0.5*(F$4)*B1152^2</f>
        <v>0</v>
      </c>
      <c r="H1156" s="2">
        <f t="shared" ref="H1156" si="1621">-B$1*SIN(C1154)</f>
        <v>-1.2207953920531849</v>
      </c>
      <c r="I1156" s="2">
        <f t="shared" ref="I1156" si="1622">-B$2*SIN(C1155)</f>
        <v>-1.2569609173533713</v>
      </c>
      <c r="J1156" s="2">
        <f t="shared" ref="J1156" si="1623">-COS(B$6)</f>
        <v>-1</v>
      </c>
      <c r="L1156" s="2" cm="1">
        <f t="array" ref="L1156:N1158">MINVERSE(H1156:J1158)</f>
        <v>0</v>
      </c>
      <c r="M1156" s="2">
        <v>0</v>
      </c>
      <c r="N1156" s="2">
        <v>1</v>
      </c>
      <c r="O1156" s="10">
        <f t="shared" ref="O1156:O1158" si="1624">-F1154</f>
        <v>-2.0283411880189409E-2</v>
      </c>
      <c r="Q1156" s="2" cm="1">
        <f t="array" ref="Q1156:Q1158">MMULT(L1156:N1158,O1156:O1158)</f>
        <v>0</v>
      </c>
    </row>
    <row r="1157" spans="1:17" x14ac:dyDescent="0.35">
      <c r="H1157" s="2">
        <f t="shared" ref="H1157" si="1625">B$1*COS(C1154)</f>
        <v>-2.7403756331462499</v>
      </c>
      <c r="I1157" s="2">
        <f t="shared" ref="I1157" si="1626">B$2*COS(C1155)</f>
        <v>5.8668602550466611</v>
      </c>
      <c r="J1157" s="2">
        <f t="shared" ref="J1157" si="1627">-SIN(B$6)</f>
        <v>0</v>
      </c>
      <c r="L1157" s="2">
        <v>0</v>
      </c>
      <c r="M1157" s="2">
        <v>0.17044892097775843</v>
      </c>
      <c r="N1157" s="2">
        <v>0.46709406974351986</v>
      </c>
      <c r="O1157" s="10">
        <f t="shared" si="1624"/>
        <v>2.2243690593443777E-2</v>
      </c>
      <c r="Q1157" s="2">
        <v>3.7914130602156068E-3</v>
      </c>
    </row>
    <row r="1158" spans="1:17" x14ac:dyDescent="0.35">
      <c r="H1158" s="2">
        <v>1</v>
      </c>
      <c r="I1158" s="2">
        <v>0</v>
      </c>
      <c r="J1158" s="2">
        <v>0</v>
      </c>
      <c r="L1158" s="2">
        <v>-1</v>
      </c>
      <c r="M1158" s="2">
        <v>-0.21424763207409547</v>
      </c>
      <c r="N1158" s="2">
        <v>-1.807914382448319</v>
      </c>
      <c r="O1158" s="10">
        <f t="shared" si="1624"/>
        <v>0</v>
      </c>
      <c r="Q1158" s="2">
        <v>1.5517753841955247E-2</v>
      </c>
    </row>
    <row r="1161" spans="1:17" x14ac:dyDescent="0.35">
      <c r="A1161" s="1" t="s">
        <v>9</v>
      </c>
      <c r="B1161" s="2">
        <f t="shared" ref="B1161" si="1628">IF(AND((B1152 = B1143), ABS(B1156-B1147) &lt; 0.001),B1152+0.1,B1152)</f>
        <v>3.3000000000000016</v>
      </c>
    </row>
    <row r="1162" spans="1:17" x14ac:dyDescent="0.35">
      <c r="C1162" s="1" t="s">
        <v>3</v>
      </c>
    </row>
    <row r="1163" spans="1:17" x14ac:dyDescent="0.35">
      <c r="A1163" s="1" t="s">
        <v>770</v>
      </c>
      <c r="B1163" s="4">
        <f t="shared" ref="B1163:B1164" si="1629">C1163*180/PI()</f>
        <v>155.98775972436678</v>
      </c>
      <c r="C1163" s="2">
        <f t="shared" ref="C1163:C1164" si="1630">C1154+Q1156</f>
        <v>2.7225000000000028</v>
      </c>
      <c r="E1163" s="7" t="s">
        <v>771</v>
      </c>
      <c r="F1163" s="6">
        <f t="shared" ref="F1163" si="1631">-B1165*COS(B$6)+B$1*COS(C1163)+B$2*COS(C1164)-B$3*COS(C$4)</f>
        <v>-4.2156041433802848E-5</v>
      </c>
      <c r="H1163" s="11" t="s">
        <v>14</v>
      </c>
      <c r="I1163" s="12"/>
      <c r="J1163" s="13"/>
      <c r="L1163" s="11" t="s">
        <v>772</v>
      </c>
      <c r="M1163" s="12"/>
      <c r="N1163" s="13"/>
      <c r="O1163" s="14" t="s">
        <v>18</v>
      </c>
      <c r="Q1163" s="16" t="s">
        <v>19</v>
      </c>
    </row>
    <row r="1164" spans="1:17" x14ac:dyDescent="0.35">
      <c r="A1164" s="1" t="s">
        <v>773</v>
      </c>
      <c r="B1164" s="4">
        <f t="shared" si="1629"/>
        <v>12.309902870403961</v>
      </c>
      <c r="C1164" s="2">
        <f t="shared" si="1630"/>
        <v>0.21484833568924994</v>
      </c>
      <c r="E1164" s="7" t="s">
        <v>774</v>
      </c>
      <c r="F1164" s="6">
        <f t="shared" ref="F1164" si="1632">-B1165*SIN(B$6)+B$1*SIN(C1163)+B$2*SIN(C1164)-B$3*SIN(C$4)</f>
        <v>-9.0875696852066312E-6</v>
      </c>
      <c r="H1164" s="8" t="s">
        <v>16</v>
      </c>
      <c r="I1164" s="8" t="s">
        <v>15</v>
      </c>
      <c r="J1164" s="9" t="s">
        <v>8</v>
      </c>
      <c r="L1164" s="8" t="s">
        <v>16</v>
      </c>
      <c r="M1164" s="8" t="s">
        <v>15</v>
      </c>
      <c r="N1164" s="9" t="s">
        <v>8</v>
      </c>
      <c r="O1164" s="15"/>
      <c r="Q1164" s="17"/>
    </row>
    <row r="1165" spans="1:17" x14ac:dyDescent="0.35">
      <c r="A1165" s="1" t="s">
        <v>8</v>
      </c>
      <c r="B1165" s="4">
        <f t="shared" ref="B1165" si="1633">B1156+Q1158</f>
        <v>3.1217189638621767</v>
      </c>
      <c r="C1165" s="2"/>
      <c r="E1165" s="7" t="s">
        <v>775</v>
      </c>
      <c r="F1165" s="6">
        <f>C1163-F$3*B1161-0.5*(F$4)*B1161^2</f>
        <v>0</v>
      </c>
      <c r="H1165" s="2">
        <f t="shared" ref="H1165" si="1634">-B$1*SIN(C1163)</f>
        <v>-1.2207953920531849</v>
      </c>
      <c r="I1165" s="2">
        <f t="shared" ref="I1165" si="1635">-B$2*SIN(C1164)</f>
        <v>-1.2791955203771301</v>
      </c>
      <c r="J1165" s="2">
        <f t="shared" ref="J1165" si="1636">-COS(B$6)</f>
        <v>-1</v>
      </c>
      <c r="L1165" s="2" cm="1">
        <f t="array" ref="L1165:N1167">MINVERSE(H1165:J1167)</f>
        <v>0</v>
      </c>
      <c r="M1165" s="2">
        <v>0</v>
      </c>
      <c r="N1165" s="2">
        <v>1.0000000000000002</v>
      </c>
      <c r="O1165" s="10">
        <f t="shared" ref="O1165:O1167" si="1637">-F1163</f>
        <v>4.2156041433802848E-5</v>
      </c>
      <c r="Q1165" s="2" cm="1">
        <f t="array" ref="Q1165:Q1167">MMULT(L1165:N1167,O1165:O1167)</f>
        <v>0</v>
      </c>
    </row>
    <row r="1166" spans="1:17" x14ac:dyDescent="0.35">
      <c r="H1166" s="2">
        <f t="shared" ref="H1166" si="1638">B$1*COS(C1163)</f>
        <v>-2.7403756331462499</v>
      </c>
      <c r="I1166" s="2">
        <f t="shared" ref="I1166" si="1639">B$2*COS(C1164)</f>
        <v>5.862052440966993</v>
      </c>
      <c r="J1166" s="2">
        <f t="shared" ref="J1166" si="1640">-SIN(B$6)</f>
        <v>0</v>
      </c>
      <c r="L1166" s="2">
        <v>0</v>
      </c>
      <c r="M1166" s="2">
        <v>0.17058871616560325</v>
      </c>
      <c r="N1166" s="2">
        <v>0.46747716106992093</v>
      </c>
      <c r="O1166" s="10">
        <f t="shared" si="1637"/>
        <v>9.0875696852066312E-6</v>
      </c>
      <c r="Q1166" s="2">
        <v>1.5502368456648545E-6</v>
      </c>
    </row>
    <row r="1167" spans="1:17" x14ac:dyDescent="0.35">
      <c r="H1167" s="2">
        <v>1</v>
      </c>
      <c r="I1167" s="2">
        <v>0</v>
      </c>
      <c r="J1167" s="2">
        <v>0</v>
      </c>
      <c r="L1167" s="2">
        <v>-1</v>
      </c>
      <c r="M1167" s="2">
        <v>-0.21821632154592543</v>
      </c>
      <c r="N1167" s="2">
        <v>-1.8187900823724459</v>
      </c>
      <c r="O1167" s="10">
        <f t="shared" si="1637"/>
        <v>0</v>
      </c>
      <c r="Q1167" s="2">
        <v>-4.4139097462300903E-5</v>
      </c>
    </row>
    <row r="1170" spans="1:17" x14ac:dyDescent="0.35">
      <c r="A1170" s="1" t="s">
        <v>9</v>
      </c>
      <c r="B1170" s="2">
        <f t="shared" ref="B1170" si="1641">IF(AND((B1161 = B1152), ABS(B1165-B1156) &lt; 0.001),B1161+0.1,B1161)</f>
        <v>3.3000000000000016</v>
      </c>
    </row>
    <row r="1171" spans="1:17" x14ac:dyDescent="0.35">
      <c r="C1171" s="1" t="s">
        <v>3</v>
      </c>
    </row>
    <row r="1172" spans="1:17" x14ac:dyDescent="0.35">
      <c r="A1172" s="1" t="s">
        <v>776</v>
      </c>
      <c r="B1172" s="4">
        <f t="shared" ref="B1172:B1173" si="1642">C1172*180/PI()</f>
        <v>155.98775972436678</v>
      </c>
      <c r="C1172" s="2">
        <f t="shared" ref="C1172:C1173" si="1643">C1163+Q1165</f>
        <v>2.7225000000000028</v>
      </c>
      <c r="E1172" s="7" t="s">
        <v>777</v>
      </c>
      <c r="F1172" s="6">
        <f t="shared" ref="F1172" si="1644">-B1174*COS(B$6)+B$1*COS(C1172)+B$2*COS(C1173)-B$3*COS(C$4)</f>
        <v>-7.0434080117788567E-12</v>
      </c>
      <c r="H1172" s="11" t="s">
        <v>14</v>
      </c>
      <c r="I1172" s="12"/>
      <c r="J1172" s="13"/>
      <c r="L1172" s="11" t="s">
        <v>778</v>
      </c>
      <c r="M1172" s="12"/>
      <c r="N1172" s="13"/>
      <c r="O1172" s="14" t="s">
        <v>18</v>
      </c>
      <c r="Q1172" s="16" t="s">
        <v>19</v>
      </c>
    </row>
    <row r="1173" spans="1:17" x14ac:dyDescent="0.35">
      <c r="A1173" s="1" t="s">
        <v>779</v>
      </c>
      <c r="B1173" s="4">
        <f t="shared" si="1642"/>
        <v>12.309991692432462</v>
      </c>
      <c r="C1173" s="2">
        <f t="shared" si="1643"/>
        <v>0.21484988592609561</v>
      </c>
      <c r="E1173" s="7" t="s">
        <v>780</v>
      </c>
      <c r="F1173" s="6">
        <f t="shared" ref="F1173" si="1645">-B1174*SIN(B$6)+B$1*SIN(C1172)+B$2*SIN(C1173)-B$3*SIN(C$4)</f>
        <v>-1.5365486660812167E-12</v>
      </c>
      <c r="H1173" s="8" t="s">
        <v>16</v>
      </c>
      <c r="I1173" s="8" t="s">
        <v>15</v>
      </c>
      <c r="J1173" s="9" t="s">
        <v>8</v>
      </c>
      <c r="L1173" s="8" t="s">
        <v>16</v>
      </c>
      <c r="M1173" s="8" t="s">
        <v>15</v>
      </c>
      <c r="N1173" s="9" t="s">
        <v>8</v>
      </c>
      <c r="O1173" s="15"/>
      <c r="Q1173" s="17"/>
    </row>
    <row r="1174" spans="1:17" x14ac:dyDescent="0.35">
      <c r="A1174" s="1" t="s">
        <v>8</v>
      </c>
      <c r="B1174" s="4">
        <f t="shared" ref="B1174" si="1646">B1165+Q1167</f>
        <v>3.1216748247647144</v>
      </c>
      <c r="C1174" s="2"/>
      <c r="E1174" s="7" t="s">
        <v>781</v>
      </c>
      <c r="F1174" s="6">
        <f>C1172-F$3*B1170-0.5*(F$4)*B1170^2</f>
        <v>0</v>
      </c>
      <c r="H1174" s="2">
        <f t="shared" ref="H1174" si="1647">-B$1*SIN(C1172)</f>
        <v>-1.2207953920531849</v>
      </c>
      <c r="I1174" s="2">
        <f t="shared" ref="I1174" si="1648">-B$2*SIN(C1173)</f>
        <v>-1.2792046079452783</v>
      </c>
      <c r="J1174" s="2">
        <f t="shared" ref="J1174" si="1649">-COS(B$6)</f>
        <v>-1</v>
      </c>
      <c r="L1174" s="2" cm="1">
        <f t="array" ref="L1174:N1176">MINVERSE(H1174:J1176)</f>
        <v>0</v>
      </c>
      <c r="M1174" s="2">
        <v>0</v>
      </c>
      <c r="N1174" s="2">
        <v>1</v>
      </c>
      <c r="O1174" s="10">
        <f t="shared" ref="O1174:O1176" si="1650">-F1172</f>
        <v>7.0434080117788567E-12</v>
      </c>
      <c r="Q1174" s="2" cm="1">
        <f t="array" ref="Q1174:Q1176">MMULT(L1174:N1176,O1174:O1176)</f>
        <v>0</v>
      </c>
    </row>
    <row r="1175" spans="1:17" x14ac:dyDescent="0.35">
      <c r="H1175" s="2">
        <f t="shared" ref="H1175" si="1651">B$1*COS(C1172)</f>
        <v>-2.7403756331462499</v>
      </c>
      <c r="I1175" s="2">
        <f t="shared" ref="I1175" si="1652">B$2*COS(C1173)</f>
        <v>5.862050457903921</v>
      </c>
      <c r="J1175" s="2">
        <f t="shared" ref="J1175" si="1653">-SIN(B$6)</f>
        <v>0</v>
      </c>
      <c r="L1175" s="2">
        <v>0</v>
      </c>
      <c r="M1175" s="2">
        <v>0.17058877387376969</v>
      </c>
      <c r="N1175" s="2">
        <v>0.46747731921197405</v>
      </c>
      <c r="O1175" s="10">
        <f t="shared" si="1650"/>
        <v>1.5365486660812167E-12</v>
      </c>
      <c r="Q1175" s="2">
        <v>2.6211795294417115E-13</v>
      </c>
    </row>
    <row r="1176" spans="1:17" x14ac:dyDescent="0.35">
      <c r="H1176" s="2">
        <v>1</v>
      </c>
      <c r="I1176" s="2">
        <v>0</v>
      </c>
      <c r="J1176" s="2">
        <v>0</v>
      </c>
      <c r="L1176" s="2">
        <v>-1</v>
      </c>
      <c r="M1176" s="2">
        <v>-0.21821794560306129</v>
      </c>
      <c r="N1176" s="2">
        <v>-1.8187945328990478</v>
      </c>
      <c r="O1176" s="10">
        <f t="shared" si="1650"/>
        <v>0</v>
      </c>
      <c r="Q1176" s="2">
        <v>-7.3787105050102233E-12</v>
      </c>
    </row>
    <row r="1179" spans="1:17" x14ac:dyDescent="0.35">
      <c r="A1179" s="1" t="s">
        <v>9</v>
      </c>
      <c r="B1179" s="2">
        <f t="shared" ref="B1179" si="1654">IF(AND((B1170 = B1161), ABS(B1174-B1165) &lt; 0.001),B1170+0.1,B1170)</f>
        <v>3.4000000000000017</v>
      </c>
    </row>
    <row r="1180" spans="1:17" x14ac:dyDescent="0.35">
      <c r="C1180" s="1" t="s">
        <v>3</v>
      </c>
    </row>
    <row r="1181" spans="1:17" x14ac:dyDescent="0.35">
      <c r="A1181" s="1" t="s">
        <v>782</v>
      </c>
      <c r="B1181" s="4">
        <f t="shared" ref="B1181:B1182" si="1655">C1181*180/PI()</f>
        <v>155.98775972436678</v>
      </c>
      <c r="C1181" s="2">
        <f t="shared" ref="C1181:C1182" si="1656">C1172+Q1174</f>
        <v>2.7225000000000028</v>
      </c>
      <c r="E1181" s="7" t="s">
        <v>783</v>
      </c>
      <c r="F1181" s="6">
        <f t="shared" ref="F1181" si="1657">-B1183*COS(B$6)+B$1*COS(C1181)+B$2*COS(C1182)-B$3*COS(C$4)</f>
        <v>-1.531435568635775E-16</v>
      </c>
      <c r="H1181" s="11" t="s">
        <v>14</v>
      </c>
      <c r="I1181" s="12"/>
      <c r="J1181" s="13"/>
      <c r="L1181" s="11" t="s">
        <v>784</v>
      </c>
      <c r="M1181" s="12"/>
      <c r="N1181" s="13"/>
      <c r="O1181" s="14" t="s">
        <v>18</v>
      </c>
      <c r="Q1181" s="16" t="s">
        <v>19</v>
      </c>
    </row>
    <row r="1182" spans="1:17" x14ac:dyDescent="0.35">
      <c r="A1182" s="1" t="s">
        <v>785</v>
      </c>
      <c r="B1182" s="4">
        <f t="shared" si="1655"/>
        <v>12.309991692447483</v>
      </c>
      <c r="C1182" s="2">
        <f t="shared" si="1656"/>
        <v>0.21484988592635773</v>
      </c>
      <c r="E1182" s="7" t="s">
        <v>786</v>
      </c>
      <c r="F1182" s="6">
        <f t="shared" ref="F1182" si="1658">-B1183*SIN(B$6)+B$1*SIN(C1181)+B$2*SIN(C1182)-B$3*SIN(C$4)</f>
        <v>0</v>
      </c>
      <c r="H1182" s="8" t="s">
        <v>16</v>
      </c>
      <c r="I1182" s="8" t="s">
        <v>15</v>
      </c>
      <c r="J1182" s="9" t="s">
        <v>8</v>
      </c>
      <c r="L1182" s="8" t="s">
        <v>16</v>
      </c>
      <c r="M1182" s="8" t="s">
        <v>15</v>
      </c>
      <c r="N1182" s="9" t="s">
        <v>8</v>
      </c>
      <c r="O1182" s="15"/>
      <c r="Q1182" s="17"/>
    </row>
    <row r="1183" spans="1:17" x14ac:dyDescent="0.35">
      <c r="A1183" s="1" t="s">
        <v>8</v>
      </c>
      <c r="B1183" s="4">
        <f t="shared" ref="B1183" si="1659">B1174+Q1176</f>
        <v>3.1216748247573358</v>
      </c>
      <c r="C1183" s="2"/>
      <c r="E1183" s="7" t="s">
        <v>787</v>
      </c>
      <c r="F1183" s="6">
        <f>C1181-F$3*B1179-0.5*(F$4)*B1179^2</f>
        <v>-0.16749999999999998</v>
      </c>
      <c r="H1183" s="2">
        <f t="shared" ref="H1183" si="1660">-B$1*SIN(C1181)</f>
        <v>-1.2207953920531849</v>
      </c>
      <c r="I1183" s="2">
        <f t="shared" ref="I1183" si="1661">-B$2*SIN(C1182)</f>
        <v>-1.2792046079468149</v>
      </c>
      <c r="J1183" s="2">
        <f t="shared" ref="J1183" si="1662">-COS(B$6)</f>
        <v>-1</v>
      </c>
      <c r="L1183" s="2" cm="1">
        <f t="array" ref="L1183:N1185">MINVERSE(H1183:J1185)</f>
        <v>0</v>
      </c>
      <c r="M1183" s="2">
        <v>0</v>
      </c>
      <c r="N1183" s="2">
        <v>0.99999999999999989</v>
      </c>
      <c r="O1183" s="10">
        <f t="shared" ref="O1183:O1185" si="1663">-F1181</f>
        <v>1.531435568635775E-16</v>
      </c>
      <c r="Q1183" s="2" cm="1">
        <f t="array" ref="Q1183:Q1185">MMULT(L1183:N1185,O1183:O1185)</f>
        <v>0.16749999999999995</v>
      </c>
    </row>
    <row r="1184" spans="1:17" x14ac:dyDescent="0.35">
      <c r="H1184" s="2">
        <f t="shared" ref="H1184" si="1664">B$1*COS(C1181)</f>
        <v>-2.7403756331462499</v>
      </c>
      <c r="I1184" s="2">
        <f t="shared" ref="I1184" si="1665">B$2*COS(C1182)</f>
        <v>5.8620504579035853</v>
      </c>
      <c r="J1184" s="2">
        <f t="shared" ref="J1184" si="1666">-SIN(B$6)</f>
        <v>0</v>
      </c>
      <c r="L1184" s="2">
        <v>0</v>
      </c>
      <c r="M1184" s="2">
        <v>0.17058877387377946</v>
      </c>
      <c r="N1184" s="2">
        <v>0.46747731921200075</v>
      </c>
      <c r="O1184" s="10">
        <f t="shared" si="1663"/>
        <v>0</v>
      </c>
      <c r="Q1184" s="2">
        <v>7.8302450968010112E-2</v>
      </c>
    </row>
    <row r="1185" spans="1:17" x14ac:dyDescent="0.35">
      <c r="H1185" s="2">
        <v>1</v>
      </c>
      <c r="I1185" s="2">
        <v>0</v>
      </c>
      <c r="J1185" s="2">
        <v>0</v>
      </c>
      <c r="L1185" s="2">
        <v>-1</v>
      </c>
      <c r="M1185" s="2">
        <v>-0.21821794560333593</v>
      </c>
      <c r="N1185" s="2">
        <v>-1.8187945328998003</v>
      </c>
      <c r="O1185" s="10">
        <f t="shared" si="1663"/>
        <v>0.16749999999999998</v>
      </c>
      <c r="Q1185" s="2">
        <v>-0.30464808426071671</v>
      </c>
    </row>
    <row r="1188" spans="1:17" x14ac:dyDescent="0.35">
      <c r="A1188" s="1" t="s">
        <v>9</v>
      </c>
      <c r="B1188" s="2">
        <f t="shared" ref="B1188" si="1667">IF(AND((B1179 = B1170), ABS(B1183-B1174) &lt; 0.001),B1179+0.1,B1179)</f>
        <v>3.4000000000000017</v>
      </c>
    </row>
    <row r="1189" spans="1:17" x14ac:dyDescent="0.35">
      <c r="C1189" s="1" t="s">
        <v>3</v>
      </c>
    </row>
    <row r="1190" spans="1:17" x14ac:dyDescent="0.35">
      <c r="A1190" s="1" t="s">
        <v>788</v>
      </c>
      <c r="B1190" s="4">
        <f t="shared" ref="B1190:B1191" si="1668">C1190*180/PI()</f>
        <v>165.58480279280806</v>
      </c>
      <c r="C1190" s="2">
        <f t="shared" ref="C1190:C1191" si="1669">C1181+Q1183</f>
        <v>2.8900000000000028</v>
      </c>
      <c r="E1190" s="7" t="s">
        <v>789</v>
      </c>
      <c r="F1190" s="6">
        <f t="shared" ref="F1190" si="1670">-B1192*COS(B$6)+B$1*COS(C1190)+B$2*COS(C1191)-B$3*COS(C$4)</f>
        <v>2.144795551680885E-2</v>
      </c>
      <c r="H1190" s="11" t="s">
        <v>14</v>
      </c>
      <c r="I1190" s="12"/>
      <c r="J1190" s="13"/>
      <c r="L1190" s="11" t="s">
        <v>790</v>
      </c>
      <c r="M1190" s="12"/>
      <c r="N1190" s="13"/>
      <c r="O1190" s="14" t="s">
        <v>18</v>
      </c>
      <c r="Q1190" s="16" t="s">
        <v>19</v>
      </c>
    </row>
    <row r="1191" spans="1:17" x14ac:dyDescent="0.35">
      <c r="A1191" s="1" t="s">
        <v>791</v>
      </c>
      <c r="B1191" s="4">
        <f t="shared" si="1668"/>
        <v>16.796391658444527</v>
      </c>
      <c r="C1191" s="2">
        <f t="shared" si="1669"/>
        <v>0.29315233689436782</v>
      </c>
      <c r="E1191" s="7" t="s">
        <v>792</v>
      </c>
      <c r="F1191" s="6">
        <f t="shared" ref="F1191" si="1671">-B1192*SIN(B$6)+B$1*SIN(C1190)+B$2*SIN(C1191)-B$3*SIN(C$4)</f>
        <v>-1.93305989437218E-2</v>
      </c>
      <c r="H1191" s="8" t="s">
        <v>16</v>
      </c>
      <c r="I1191" s="8" t="s">
        <v>15</v>
      </c>
      <c r="J1191" s="9" t="s">
        <v>8</v>
      </c>
      <c r="L1191" s="8" t="s">
        <v>16</v>
      </c>
      <c r="M1191" s="8" t="s">
        <v>15</v>
      </c>
      <c r="N1191" s="9" t="s">
        <v>8</v>
      </c>
      <c r="O1191" s="15"/>
      <c r="Q1191" s="17"/>
    </row>
    <row r="1192" spans="1:17" x14ac:dyDescent="0.35">
      <c r="A1192" s="1" t="s">
        <v>8</v>
      </c>
      <c r="B1192" s="4">
        <f t="shared" ref="B1192" si="1672">B1183+Q1185</f>
        <v>2.8170267404966189</v>
      </c>
      <c r="C1192" s="2"/>
      <c r="E1192" s="7" t="s">
        <v>793</v>
      </c>
      <c r="F1192" s="6">
        <f>C1190-F$3*B1188-0.5*(F$4)*B1188^2</f>
        <v>0</v>
      </c>
      <c r="H1192" s="2">
        <f t="shared" ref="H1192" si="1673">-B$1*SIN(C1190)</f>
        <v>-0.74684036001944998</v>
      </c>
      <c r="I1192" s="2">
        <f t="shared" ref="I1192" si="1674">-B$2*SIN(C1191)</f>
        <v>-1.7338290410368282</v>
      </c>
      <c r="J1192" s="2">
        <f t="shared" ref="J1192" si="1675">-COS(B$6)</f>
        <v>-1</v>
      </c>
      <c r="L1192" s="2" cm="1">
        <f t="array" ref="L1192:N1194">MINVERSE(H1192:J1194)</f>
        <v>0</v>
      </c>
      <c r="M1192" s="2">
        <v>-3.8210406093993416E-17</v>
      </c>
      <c r="N1192" s="2">
        <v>1</v>
      </c>
      <c r="O1192" s="10">
        <f t="shared" ref="O1192:O1194" si="1676">-F1190</f>
        <v>-2.144795551680885E-2</v>
      </c>
      <c r="Q1192" s="2" cm="1">
        <f t="array" ref="Q1192:Q1194">MMULT(L1192:N1194,O1192:O1194)</f>
        <v>-7.3863003567973015E-19</v>
      </c>
    </row>
    <row r="1193" spans="1:17" x14ac:dyDescent="0.35">
      <c r="H1193" s="2">
        <f t="shared" ref="H1193" si="1677">B$1*COS(C1190)</f>
        <v>-2.9055514926853419</v>
      </c>
      <c r="I1193" s="2">
        <f t="shared" ref="I1193" si="1678">B$2*COS(C1191)</f>
        <v>5.7440261886987702</v>
      </c>
      <c r="J1193" s="2">
        <f t="shared" ref="J1193" si="1679">-SIN(B$6)</f>
        <v>0</v>
      </c>
      <c r="L1193" s="2">
        <v>0</v>
      </c>
      <c r="M1193" s="2">
        <v>0.1740939137720986</v>
      </c>
      <c r="N1193" s="2">
        <v>0.50583883102795435</v>
      </c>
      <c r="O1193" s="10">
        <f t="shared" si="1676"/>
        <v>1.93305989437218E-2</v>
      </c>
      <c r="Q1193" s="2">
        <v>3.3653396256713231E-3</v>
      </c>
    </row>
    <row r="1194" spans="1:17" x14ac:dyDescent="0.35">
      <c r="H1194" s="2">
        <v>1</v>
      </c>
      <c r="I1194" s="2">
        <v>0</v>
      </c>
      <c r="J1194" s="2">
        <v>0</v>
      </c>
      <c r="L1194" s="2">
        <v>-1</v>
      </c>
      <c r="M1194" s="2">
        <v>-0.30184908356582602</v>
      </c>
      <c r="N1194" s="2">
        <v>-1.6238784153398382</v>
      </c>
      <c r="O1194" s="10">
        <f t="shared" si="1676"/>
        <v>0</v>
      </c>
      <c r="Q1194" s="2">
        <v>1.56130319408679E-2</v>
      </c>
    </row>
    <row r="1197" spans="1:17" x14ac:dyDescent="0.35">
      <c r="A1197" s="1" t="s">
        <v>9</v>
      </c>
      <c r="B1197" s="2">
        <f t="shared" ref="B1197" si="1680">IF(AND((B1188 = B1179), ABS(B1192-B1183) &lt; 0.001),B1188+0.1,B1188)</f>
        <v>3.4000000000000017</v>
      </c>
    </row>
    <row r="1198" spans="1:17" x14ac:dyDescent="0.35">
      <c r="C1198" s="1" t="s">
        <v>3</v>
      </c>
    </row>
    <row r="1199" spans="1:17" x14ac:dyDescent="0.35">
      <c r="A1199" s="1" t="s">
        <v>794</v>
      </c>
      <c r="B1199" s="4">
        <f t="shared" ref="B1199:B1200" si="1681">C1199*180/PI()</f>
        <v>165.58480279280806</v>
      </c>
      <c r="C1199" s="2">
        <f t="shared" ref="C1199:C1200" si="1682">C1190+Q1192</f>
        <v>2.8900000000000028</v>
      </c>
      <c r="E1199" s="7" t="s">
        <v>795</v>
      </c>
      <c r="F1199" s="6">
        <f t="shared" ref="F1199" si="1683">-B1201*COS(B$6)+B$1*COS(C1199)+B$2*COS(C1200)-B$3*COS(C$4)</f>
        <v>-3.2515970700128726E-5</v>
      </c>
      <c r="H1199" s="11" t="s">
        <v>14</v>
      </c>
      <c r="I1199" s="12"/>
      <c r="J1199" s="13"/>
      <c r="L1199" s="11" t="s">
        <v>796</v>
      </c>
      <c r="M1199" s="12"/>
      <c r="N1199" s="13"/>
      <c r="O1199" s="14" t="s">
        <v>18</v>
      </c>
      <c r="Q1199" s="16" t="s">
        <v>19</v>
      </c>
    </row>
    <row r="1200" spans="1:17" x14ac:dyDescent="0.35">
      <c r="A1200" s="1" t="s">
        <v>797</v>
      </c>
      <c r="B1200" s="4">
        <f t="shared" si="1681"/>
        <v>16.989211415623629</v>
      </c>
      <c r="C1200" s="2">
        <f t="shared" si="1682"/>
        <v>0.29651767652003913</v>
      </c>
      <c r="E1200" s="7" t="s">
        <v>798</v>
      </c>
      <c r="F1200" s="6">
        <f t="shared" ref="F1200" si="1684">-B1201*SIN(B$6)+B$1*SIN(C1199)+B$2*SIN(C1200)-B$3*SIN(C$4)</f>
        <v>-9.8547286260242117E-6</v>
      </c>
      <c r="H1200" s="8" t="s">
        <v>16</v>
      </c>
      <c r="I1200" s="8" t="s">
        <v>15</v>
      </c>
      <c r="J1200" s="9" t="s">
        <v>8</v>
      </c>
      <c r="L1200" s="8" t="s">
        <v>16</v>
      </c>
      <c r="M1200" s="8" t="s">
        <v>15</v>
      </c>
      <c r="N1200" s="9" t="s">
        <v>8</v>
      </c>
      <c r="O1200" s="15"/>
      <c r="Q1200" s="17"/>
    </row>
    <row r="1201" spans="1:17" x14ac:dyDescent="0.35">
      <c r="A1201" s="1" t="s">
        <v>8</v>
      </c>
      <c r="B1201" s="4">
        <f t="shared" ref="B1201" si="1685">B1192+Q1194</f>
        <v>2.8326397724374868</v>
      </c>
      <c r="C1201" s="2"/>
      <c r="E1201" s="7" t="s">
        <v>799</v>
      </c>
      <c r="F1201" s="6">
        <f>C1199-F$3*B1197-0.5*(F$4)*B1197^2</f>
        <v>0</v>
      </c>
      <c r="H1201" s="2">
        <f t="shared" ref="H1201" si="1686">-B$1*SIN(C1199)</f>
        <v>-0.74684036001944998</v>
      </c>
      <c r="I1201" s="2">
        <f t="shared" ref="I1201" si="1687">-B$2*SIN(C1200)</f>
        <v>-1.753149785251924</v>
      </c>
      <c r="J1201" s="2">
        <f t="shared" ref="J1201" si="1688">-COS(B$6)</f>
        <v>-1</v>
      </c>
      <c r="L1201" s="2" cm="1">
        <f t="array" ref="L1201:N1203">MINVERSE(H1201:J1203)</f>
        <v>0</v>
      </c>
      <c r="M1201" s="2">
        <v>-3.8210406093993416E-17</v>
      </c>
      <c r="N1201" s="2">
        <v>1.0000000000000002</v>
      </c>
      <c r="O1201" s="10">
        <f t="shared" ref="O1201:O1203" si="1689">-F1199</f>
        <v>3.2515970700128726E-5</v>
      </c>
      <c r="Q1201" s="2" cm="1">
        <f t="array" ref="Q1201:Q1203">MMULT(L1201:N1203,O1201:O1203)</f>
        <v>-3.7655318274648689E-22</v>
      </c>
    </row>
    <row r="1202" spans="1:17" x14ac:dyDescent="0.35">
      <c r="H1202" s="2">
        <f t="shared" ref="H1202" si="1690">B$1*COS(C1199)</f>
        <v>-2.9055514926853419</v>
      </c>
      <c r="I1202" s="2">
        <f t="shared" ref="I1202" si="1691">B$2*COS(C1200)</f>
        <v>5.7381587491521291</v>
      </c>
      <c r="J1202" s="2">
        <f t="shared" ref="J1202" si="1692">-SIN(B$6)</f>
        <v>0</v>
      </c>
      <c r="L1202" s="2">
        <v>0</v>
      </c>
      <c r="M1202" s="2">
        <v>0.17427193002420158</v>
      </c>
      <c r="N1202" s="2">
        <v>0.50635606641497444</v>
      </c>
      <c r="O1202" s="10">
        <f t="shared" si="1689"/>
        <v>9.8547286260242117E-6</v>
      </c>
      <c r="Q1202" s="2">
        <v>1.7174025775219876E-6</v>
      </c>
    </row>
    <row r="1203" spans="1:17" x14ac:dyDescent="0.35">
      <c r="H1203" s="2">
        <v>1</v>
      </c>
      <c r="I1203" s="2">
        <v>0</v>
      </c>
      <c r="J1203" s="2">
        <v>0</v>
      </c>
      <c r="L1203" s="2">
        <v>-1</v>
      </c>
      <c r="M1203" s="2">
        <v>-0.30552479669736732</v>
      </c>
      <c r="N1203" s="2">
        <v>-1.6345583891158713</v>
      </c>
      <c r="O1203" s="10">
        <f t="shared" si="1689"/>
        <v>0</v>
      </c>
      <c r="Q1203" s="2">
        <v>-3.5526834660102499E-5</v>
      </c>
    </row>
    <row r="1206" spans="1:17" x14ac:dyDescent="0.35">
      <c r="A1206" s="1" t="s">
        <v>9</v>
      </c>
      <c r="B1206" s="2">
        <f t="shared" ref="B1206" si="1693">IF(AND((B1197 = B1188), ABS(B1201-B1192) &lt; 0.001),B1197+0.1,B1197)</f>
        <v>3.4000000000000017</v>
      </c>
    </row>
    <row r="1207" spans="1:17" x14ac:dyDescent="0.35">
      <c r="C1207" s="1" t="s">
        <v>3</v>
      </c>
    </row>
    <row r="1208" spans="1:17" x14ac:dyDescent="0.35">
      <c r="A1208" s="1" t="s">
        <v>800</v>
      </c>
      <c r="B1208" s="4">
        <f t="shared" ref="B1208:B1209" si="1694">C1208*180/PI()</f>
        <v>165.58480279280806</v>
      </c>
      <c r="C1208" s="2">
        <f t="shared" ref="C1208:C1209" si="1695">C1199+Q1201</f>
        <v>2.8900000000000028</v>
      </c>
      <c r="E1208" s="7" t="s">
        <v>801</v>
      </c>
      <c r="F1208" s="6">
        <f t="shared" ref="F1208" si="1696">-B1210*COS(B$6)+B$1*COS(C1208)+B$2*COS(C1209)-B$3*COS(C$4)</f>
        <v>-8.4618289480399567E-12</v>
      </c>
      <c r="H1208" s="11" t="s">
        <v>14</v>
      </c>
      <c r="I1208" s="12"/>
      <c r="J1208" s="13"/>
      <c r="L1208" s="11" t="s">
        <v>802</v>
      </c>
      <c r="M1208" s="12"/>
      <c r="N1208" s="13"/>
      <c r="O1208" s="14" t="s">
        <v>18</v>
      </c>
      <c r="Q1208" s="16" t="s">
        <v>19</v>
      </c>
    </row>
    <row r="1209" spans="1:17" x14ac:dyDescent="0.35">
      <c r="A1209" s="1" t="s">
        <v>803</v>
      </c>
      <c r="B1209" s="4">
        <f t="shared" si="1694"/>
        <v>16.989309815543045</v>
      </c>
      <c r="C1209" s="2">
        <f t="shared" si="1695"/>
        <v>0.29651939392261667</v>
      </c>
      <c r="E1209" s="7" t="s">
        <v>804</v>
      </c>
      <c r="F1209" s="6">
        <f t="shared" ref="F1209" si="1697">-B1210*SIN(B$6)+B$1*SIN(C1208)+B$2*SIN(C1209)-B$3*SIN(C$4)</f>
        <v>-2.5850432905372145E-12</v>
      </c>
      <c r="H1209" s="8" t="s">
        <v>16</v>
      </c>
      <c r="I1209" s="8" t="s">
        <v>15</v>
      </c>
      <c r="J1209" s="9" t="s">
        <v>8</v>
      </c>
      <c r="L1209" s="8" t="s">
        <v>16</v>
      </c>
      <c r="M1209" s="8" t="s">
        <v>15</v>
      </c>
      <c r="N1209" s="9" t="s">
        <v>8</v>
      </c>
      <c r="O1209" s="15"/>
      <c r="Q1209" s="17"/>
    </row>
    <row r="1210" spans="1:17" x14ac:dyDescent="0.35">
      <c r="A1210" s="1" t="s">
        <v>8</v>
      </c>
      <c r="B1210" s="4">
        <f t="shared" ref="B1210" si="1698">B1201+Q1203</f>
        <v>2.8326042456028269</v>
      </c>
      <c r="C1210" s="2"/>
      <c r="E1210" s="7" t="s">
        <v>805</v>
      </c>
      <c r="F1210" s="6">
        <f>C1208-F$3*B1206-0.5*(F$4)*B1206^2</f>
        <v>0</v>
      </c>
      <c r="H1210" s="2">
        <f t="shared" ref="H1210" si="1699">-B$1*SIN(C1208)</f>
        <v>-0.74684036001944998</v>
      </c>
      <c r="I1210" s="2">
        <f t="shared" ref="I1210" si="1700">-B$2*SIN(C1209)</f>
        <v>-1.753159639977965</v>
      </c>
      <c r="J1210" s="2">
        <f t="shared" ref="J1210" si="1701">-COS(B$6)</f>
        <v>-1</v>
      </c>
      <c r="L1210" s="2" cm="1">
        <f t="array" ref="L1210:N1212">MINVERSE(H1210:J1212)</f>
        <v>0</v>
      </c>
      <c r="M1210" s="2">
        <v>-3.8210406093993416E-17</v>
      </c>
      <c r="N1210" s="2">
        <v>0.99999999999999989</v>
      </c>
      <c r="O1210" s="10">
        <f t="shared" ref="O1210:O1212" si="1702">-F1208</f>
        <v>8.4618289480399567E-12</v>
      </c>
      <c r="Q1210" s="2" cm="1">
        <f t="array" ref="Q1210:Q1212">MMULT(L1210:N1212,O1210:O1212)</f>
        <v>-9.8775553901979978E-29</v>
      </c>
    </row>
    <row r="1211" spans="1:17" x14ac:dyDescent="0.35">
      <c r="H1211" s="2">
        <f t="shared" ref="H1211" si="1703">B$1*COS(C1208)</f>
        <v>-2.9055514926853419</v>
      </c>
      <c r="I1211" s="2">
        <f t="shared" ref="I1211" si="1704">B$2*COS(C1209)</f>
        <v>5.7381557382797075</v>
      </c>
      <c r="J1211" s="2">
        <f t="shared" ref="J1211" si="1705">-SIN(B$6)</f>
        <v>0</v>
      </c>
      <c r="L1211" s="2">
        <v>0</v>
      </c>
      <c r="M1211" s="2">
        <v>0.17427202146656945</v>
      </c>
      <c r="N1211" s="2">
        <v>0.50635633210548281</v>
      </c>
      <c r="O1211" s="10">
        <f t="shared" si="1702"/>
        <v>2.5850432905372145E-12</v>
      </c>
      <c r="Q1211" s="2">
        <v>4.5050071982051278E-13</v>
      </c>
    </row>
    <row r="1212" spans="1:17" x14ac:dyDescent="0.35">
      <c r="H1212" s="2">
        <v>1</v>
      </c>
      <c r="I1212" s="2">
        <v>0</v>
      </c>
      <c r="J1212" s="2">
        <v>0</v>
      </c>
      <c r="L1212" s="2">
        <v>-1</v>
      </c>
      <c r="M1212" s="2">
        <v>-0.30552667441256309</v>
      </c>
      <c r="N1212" s="2">
        <v>-1.6345638449140611</v>
      </c>
      <c r="O1212" s="10">
        <f t="shared" si="1702"/>
        <v>0</v>
      </c>
      <c r="Q1212" s="2">
        <v>-9.2516286278103003E-12</v>
      </c>
    </row>
    <row r="1215" spans="1:17" x14ac:dyDescent="0.35">
      <c r="A1215" s="1" t="s">
        <v>9</v>
      </c>
      <c r="B1215" s="2">
        <f t="shared" ref="B1215" si="1706">IF(AND((B1206 = B1197), ABS(B1210-B1201) &lt; 0.001),B1206+0.1,B1206)</f>
        <v>3.5000000000000018</v>
      </c>
    </row>
    <row r="1216" spans="1:17" x14ac:dyDescent="0.35">
      <c r="C1216" s="1" t="s">
        <v>3</v>
      </c>
    </row>
    <row r="1217" spans="1:17" x14ac:dyDescent="0.35">
      <c r="A1217" s="1" t="s">
        <v>806</v>
      </c>
      <c r="B1217" s="4">
        <f t="shared" ref="B1217:B1218" si="1707">C1217*180/PI()</f>
        <v>165.58480279280806</v>
      </c>
      <c r="C1217" s="2">
        <f t="shared" ref="C1217:C1218" si="1708">C1208+Q1210</f>
        <v>2.8900000000000028</v>
      </c>
      <c r="E1217" s="7" t="s">
        <v>807</v>
      </c>
      <c r="F1217" s="6">
        <f t="shared" ref="F1217" si="1709">-B1219*COS(B$6)+B$1*COS(C1217)+B$2*COS(C1218)-B$3*COS(C$4)</f>
        <v>-1.531435568635775E-16</v>
      </c>
      <c r="H1217" s="11" t="s">
        <v>14</v>
      </c>
      <c r="I1217" s="12"/>
      <c r="J1217" s="13"/>
      <c r="L1217" s="11" t="s">
        <v>808</v>
      </c>
      <c r="M1217" s="12"/>
      <c r="N1217" s="13"/>
      <c r="O1217" s="14" t="s">
        <v>18</v>
      </c>
      <c r="Q1217" s="16" t="s">
        <v>19</v>
      </c>
    </row>
    <row r="1218" spans="1:17" x14ac:dyDescent="0.35">
      <c r="A1218" s="1" t="s">
        <v>809</v>
      </c>
      <c r="B1218" s="4">
        <f t="shared" si="1707"/>
        <v>16.989309815568859</v>
      </c>
      <c r="C1218" s="2">
        <f t="shared" si="1708"/>
        <v>0.29651939392306714</v>
      </c>
      <c r="E1218" s="7" t="s">
        <v>810</v>
      </c>
      <c r="F1218" s="6">
        <f t="shared" ref="F1218" si="1710">-B1219*SIN(B$6)+B$1*SIN(C1217)+B$2*SIN(C1218)-B$3*SIN(C$4)</f>
        <v>0</v>
      </c>
      <c r="H1218" s="8" t="s">
        <v>16</v>
      </c>
      <c r="I1218" s="8" t="s">
        <v>15</v>
      </c>
      <c r="J1218" s="9" t="s">
        <v>8</v>
      </c>
      <c r="L1218" s="8" t="s">
        <v>16</v>
      </c>
      <c r="M1218" s="8" t="s">
        <v>15</v>
      </c>
      <c r="N1218" s="9" t="s">
        <v>8</v>
      </c>
      <c r="O1218" s="15"/>
      <c r="Q1218" s="17"/>
    </row>
    <row r="1219" spans="1:17" x14ac:dyDescent="0.35">
      <c r="A1219" s="1" t="s">
        <v>8</v>
      </c>
      <c r="B1219" s="4">
        <f t="shared" ref="B1219" si="1711">B1210+Q1212</f>
        <v>2.8326042455935752</v>
      </c>
      <c r="C1219" s="2"/>
      <c r="E1219" s="7" t="s">
        <v>811</v>
      </c>
      <c r="F1219" s="6">
        <f>C1217-F$3*B1215-0.5*(F$4)*B1215^2</f>
        <v>-0.17250000000000032</v>
      </c>
      <c r="H1219" s="2">
        <f t="shared" ref="H1219" si="1712">-B$1*SIN(C1217)</f>
        <v>-0.74684036001944998</v>
      </c>
      <c r="I1219" s="2">
        <f t="shared" ref="I1219" si="1713">-B$2*SIN(C1218)</f>
        <v>-1.75315963998055</v>
      </c>
      <c r="J1219" s="2">
        <f t="shared" ref="J1219" si="1714">-COS(B$6)</f>
        <v>-1</v>
      </c>
      <c r="L1219" s="2" cm="1">
        <f t="array" ref="L1219:N1221">MINVERSE(H1219:J1221)</f>
        <v>0</v>
      </c>
      <c r="M1219" s="2">
        <v>0</v>
      </c>
      <c r="N1219" s="2">
        <v>1</v>
      </c>
      <c r="O1219" s="10">
        <f t="shared" ref="O1219:O1221" si="1715">-F1217</f>
        <v>1.531435568635775E-16</v>
      </c>
      <c r="Q1219" s="2" cm="1">
        <f t="array" ref="Q1219:Q1221">MMULT(L1219:N1221,O1219:O1221)</f>
        <v>0.17250000000000032</v>
      </c>
    </row>
    <row r="1220" spans="1:17" x14ac:dyDescent="0.35">
      <c r="H1220" s="2">
        <f t="shared" ref="H1220" si="1716">B$1*COS(C1217)</f>
        <v>-2.9055514926853419</v>
      </c>
      <c r="I1220" s="2">
        <f t="shared" ref="I1220" si="1717">B$2*COS(C1218)</f>
        <v>5.738155738278917</v>
      </c>
      <c r="J1220" s="2">
        <f t="shared" ref="J1220" si="1718">-SIN(B$6)</f>
        <v>0</v>
      </c>
      <c r="L1220" s="2">
        <v>0</v>
      </c>
      <c r="M1220" s="2">
        <v>0.17427202146659349</v>
      </c>
      <c r="N1220" s="2">
        <v>0.50635633210555264</v>
      </c>
      <c r="O1220" s="10">
        <f t="shared" si="1715"/>
        <v>0</v>
      </c>
      <c r="Q1220" s="2">
        <v>8.7346467288207996E-2</v>
      </c>
    </row>
    <row r="1221" spans="1:17" x14ac:dyDescent="0.35">
      <c r="H1221" s="2">
        <v>1</v>
      </c>
      <c r="I1221" s="2">
        <v>0</v>
      </c>
      <c r="J1221" s="2">
        <v>0</v>
      </c>
      <c r="L1221" s="2">
        <v>-1</v>
      </c>
      <c r="M1221" s="2">
        <v>-0.30552667441305575</v>
      </c>
      <c r="N1221" s="2">
        <v>-1.6345638449154927</v>
      </c>
      <c r="O1221" s="10">
        <f t="shared" si="1715"/>
        <v>0.17250000000000032</v>
      </c>
      <c r="Q1221" s="2">
        <v>-0.28196226324792317</v>
      </c>
    </row>
    <row r="1224" spans="1:17" x14ac:dyDescent="0.35">
      <c r="A1224" s="1" t="s">
        <v>9</v>
      </c>
      <c r="B1224" s="2">
        <f t="shared" ref="B1224" si="1719">IF(AND((B1215 = B1206), ABS(B1219-B1210) &lt; 0.001),B1215+0.1,B1215)</f>
        <v>3.5000000000000018</v>
      </c>
    </row>
    <row r="1225" spans="1:17" x14ac:dyDescent="0.35">
      <c r="C1225" s="1" t="s">
        <v>3</v>
      </c>
    </row>
    <row r="1226" spans="1:17" x14ac:dyDescent="0.35">
      <c r="A1226" s="1" t="s">
        <v>812</v>
      </c>
      <c r="B1226" s="4">
        <f t="shared" ref="B1226:B1227" si="1720">C1226*180/PI()</f>
        <v>175.46832475881479</v>
      </c>
      <c r="C1226" s="2">
        <f t="shared" ref="C1226:C1227" si="1721">C1217+Q1219</f>
        <v>3.0625000000000031</v>
      </c>
      <c r="E1226" s="7" t="s">
        <v>813</v>
      </c>
      <c r="F1226" s="6">
        <f t="shared" ref="F1226" si="1722">-B1228*COS(B$6)+B$1*COS(C1226)+B$2*COS(C1227)-B$3*COS(C$4)</f>
        <v>2.2079235067835004E-2</v>
      </c>
      <c r="H1226" s="11" t="s">
        <v>14</v>
      </c>
      <c r="I1226" s="12"/>
      <c r="J1226" s="13"/>
      <c r="L1226" s="11" t="s">
        <v>814</v>
      </c>
      <c r="M1226" s="12"/>
      <c r="N1226" s="13"/>
      <c r="O1226" s="14" t="s">
        <v>18</v>
      </c>
      <c r="Q1226" s="16" t="s">
        <v>19</v>
      </c>
    </row>
    <row r="1227" spans="1:17" x14ac:dyDescent="0.35">
      <c r="A1227" s="1" t="s">
        <v>815</v>
      </c>
      <c r="B1227" s="4">
        <f t="shared" si="1720"/>
        <v>21.99389374656068</v>
      </c>
      <c r="C1227" s="2">
        <f t="shared" si="1721"/>
        <v>0.38386586121127514</v>
      </c>
      <c r="E1227" s="7" t="s">
        <v>816</v>
      </c>
      <c r="F1227" s="6">
        <f t="shared" ref="F1227" si="1723">-B1228*SIN(B$6)+B$1*SIN(C1226)+B$2*SIN(C1227)-B$3*SIN(C$4)</f>
        <v>-1.5922685443844564E-2</v>
      </c>
      <c r="H1227" s="8" t="s">
        <v>16</v>
      </c>
      <c r="I1227" s="8" t="s">
        <v>15</v>
      </c>
      <c r="J1227" s="9" t="s">
        <v>8</v>
      </c>
      <c r="L1227" s="8" t="s">
        <v>16</v>
      </c>
      <c r="M1227" s="8" t="s">
        <v>15</v>
      </c>
      <c r="N1227" s="9" t="s">
        <v>8</v>
      </c>
      <c r="O1227" s="15"/>
      <c r="Q1227" s="17"/>
    </row>
    <row r="1228" spans="1:17" x14ac:dyDescent="0.35">
      <c r="A1228" s="1" t="s">
        <v>8</v>
      </c>
      <c r="B1228" s="4">
        <f t="shared" ref="B1228" si="1724">B1219+Q1221</f>
        <v>2.5506419823456521</v>
      </c>
      <c r="C1228" s="2"/>
      <c r="E1228" s="7" t="s">
        <v>817</v>
      </c>
      <c r="F1228" s="6">
        <f>C1226-F$3*B1224-0.5*(F$4)*B1224^2</f>
        <v>0</v>
      </c>
      <c r="H1228" s="2">
        <f t="shared" ref="H1228" si="1725">-B$1*SIN(C1226)</f>
        <v>-0.23703065024215977</v>
      </c>
      <c r="I1228" s="2">
        <f t="shared" ref="I1228" si="1726">-B$2*SIN(C1227)</f>
        <v>-2.2470466643139955</v>
      </c>
      <c r="J1228" s="2">
        <f t="shared" ref="J1228" si="1727">-COS(B$6)</f>
        <v>-1</v>
      </c>
      <c r="L1228" s="2" cm="1">
        <f t="array" ref="L1228:N1230">MINVERSE(H1228:J1230)</f>
        <v>0</v>
      </c>
      <c r="M1228" s="2">
        <v>0</v>
      </c>
      <c r="N1228" s="2">
        <v>1.0000000000000002</v>
      </c>
      <c r="O1228" s="10">
        <f t="shared" ref="O1228:O1230" si="1728">-F1226</f>
        <v>-2.2079235067835004E-2</v>
      </c>
      <c r="Q1228" s="2" cm="1">
        <f t="array" ref="Q1228:Q1230">MMULT(L1228:N1230,O1228:O1230)</f>
        <v>0</v>
      </c>
    </row>
    <row r="1229" spans="1:17" x14ac:dyDescent="0.35">
      <c r="H1229" s="2">
        <f t="shared" ref="H1229" si="1729">B$1*COS(C1226)</f>
        <v>-2.9906214188435452</v>
      </c>
      <c r="I1229" s="2">
        <f t="shared" ref="I1229" si="1730">B$2*COS(C1227)</f>
        <v>5.5633426362570324</v>
      </c>
      <c r="J1229" s="2">
        <f t="shared" ref="J1229" si="1731">-SIN(B$6)</f>
        <v>0</v>
      </c>
      <c r="L1229" s="2">
        <v>0</v>
      </c>
      <c r="M1229" s="2">
        <v>0.17974805173473751</v>
      </c>
      <c r="N1229" s="2">
        <v>0.53755837351330371</v>
      </c>
      <c r="O1229" s="10">
        <f t="shared" si="1728"/>
        <v>1.5922685443844564E-2</v>
      </c>
      <c r="Q1229" s="2">
        <v>2.8620716869161246E-3</v>
      </c>
    </row>
    <row r="1230" spans="1:17" x14ac:dyDescent="0.35">
      <c r="H1230" s="2">
        <v>1</v>
      </c>
      <c r="I1230" s="2">
        <v>0</v>
      </c>
      <c r="J1230" s="2">
        <v>0</v>
      </c>
      <c r="L1230" s="2">
        <v>-1</v>
      </c>
      <c r="M1230" s="2">
        <v>-0.40390226006748137</v>
      </c>
      <c r="N1230" s="2">
        <v>-1.4449494003192855</v>
      </c>
      <c r="O1230" s="10">
        <f t="shared" si="1728"/>
        <v>0</v>
      </c>
      <c r="Q1230" s="2">
        <v>1.5648026430722599E-2</v>
      </c>
    </row>
    <row r="1233" spans="1:17" x14ac:dyDescent="0.35">
      <c r="A1233" s="1" t="s">
        <v>9</v>
      </c>
      <c r="B1233" s="2">
        <f t="shared" ref="B1233" si="1732">IF(AND((B1224 = B1215), ABS(B1228-B1219) &lt; 0.001),B1224+0.1,B1224)</f>
        <v>3.5000000000000018</v>
      </c>
    </row>
    <row r="1234" spans="1:17" x14ac:dyDescent="0.35">
      <c r="C1234" s="1" t="s">
        <v>3</v>
      </c>
    </row>
    <row r="1235" spans="1:17" x14ac:dyDescent="0.35">
      <c r="A1235" s="1" t="s">
        <v>818</v>
      </c>
      <c r="B1235" s="4">
        <f t="shared" ref="B1235:B1236" si="1733">C1235*180/PI()</f>
        <v>175.46832475881479</v>
      </c>
      <c r="C1235" s="2">
        <f t="shared" ref="C1235:C1236" si="1734">C1226+Q1228</f>
        <v>3.0625000000000031</v>
      </c>
      <c r="E1235" s="7" t="s">
        <v>819</v>
      </c>
      <c r="F1235" s="6">
        <f t="shared" ref="F1235" si="1735">-B1237*COS(B$6)+B$1*COS(C1235)+B$2*COS(C1236)-B$3*COS(C$4)</f>
        <v>-2.2777137884386555E-5</v>
      </c>
      <c r="H1235" s="11" t="s">
        <v>14</v>
      </c>
      <c r="I1235" s="12"/>
      <c r="J1235" s="13"/>
      <c r="L1235" s="11" t="s">
        <v>820</v>
      </c>
      <c r="M1235" s="12"/>
      <c r="N1235" s="13"/>
      <c r="O1235" s="14" t="s">
        <v>18</v>
      </c>
      <c r="Q1235" s="16" t="s">
        <v>19</v>
      </c>
    </row>
    <row r="1236" spans="1:17" x14ac:dyDescent="0.35">
      <c r="A1236" s="1" t="s">
        <v>821</v>
      </c>
      <c r="B1236" s="4">
        <f t="shared" si="1733"/>
        <v>22.157878374884859</v>
      </c>
      <c r="C1236" s="2">
        <f t="shared" si="1734"/>
        <v>0.38672793289819124</v>
      </c>
      <c r="E1236" s="7" t="s">
        <v>822</v>
      </c>
      <c r="F1236" s="6">
        <f t="shared" ref="F1236" si="1736">-B1237*SIN(B$6)+B$1*SIN(C1235)+B$2*SIN(C1236)-B$3*SIN(C$4)</f>
        <v>-9.2250221102041507E-6</v>
      </c>
      <c r="H1236" s="8" t="s">
        <v>16</v>
      </c>
      <c r="I1236" s="8" t="s">
        <v>15</v>
      </c>
      <c r="J1236" s="9" t="s">
        <v>8</v>
      </c>
      <c r="L1236" s="8" t="s">
        <v>16</v>
      </c>
      <c r="M1236" s="8" t="s">
        <v>15</v>
      </c>
      <c r="N1236" s="9" t="s">
        <v>8</v>
      </c>
      <c r="O1236" s="15"/>
      <c r="Q1236" s="17"/>
    </row>
    <row r="1237" spans="1:17" x14ac:dyDescent="0.35">
      <c r="A1237" s="1" t="s">
        <v>8</v>
      </c>
      <c r="B1237" s="4">
        <f t="shared" ref="B1237" si="1737">B1228+Q1230</f>
        <v>2.5662900087763747</v>
      </c>
      <c r="C1237" s="2"/>
      <c r="E1237" s="7" t="s">
        <v>823</v>
      </c>
      <c r="F1237" s="6">
        <f>C1235-F$3*B1233-0.5*(F$4)*B1233^2</f>
        <v>0</v>
      </c>
      <c r="H1237" s="2">
        <f t="shared" ref="H1237" si="1738">-B$1*SIN(C1235)</f>
        <v>-0.23703065024215977</v>
      </c>
      <c r="I1237" s="2">
        <f t="shared" ref="I1237" si="1739">-B$2*SIN(C1236)</f>
        <v>-2.2629601247357298</v>
      </c>
      <c r="J1237" s="2">
        <f t="shared" ref="J1237" si="1740">-COS(B$6)</f>
        <v>-1</v>
      </c>
      <c r="L1237" s="2" cm="1">
        <f t="array" ref="L1237:N1239">MINVERSE(H1237:J1239)</f>
        <v>0</v>
      </c>
      <c r="M1237" s="2">
        <v>-7.4246978746943694E-17</v>
      </c>
      <c r="N1237" s="2">
        <v>1</v>
      </c>
      <c r="O1237" s="10">
        <f t="shared" ref="O1237:O1239" si="1741">-F1235</f>
        <v>2.2777137884386555E-5</v>
      </c>
      <c r="Q1237" s="2" cm="1">
        <f t="array" ref="Q1237:Q1239">MMULT(L1237:N1239,O1237:O1239)</f>
        <v>-6.8493002055641322E-22</v>
      </c>
    </row>
    <row r="1238" spans="1:17" x14ac:dyDescent="0.35">
      <c r="H1238" s="2">
        <f t="shared" ref="H1238" si="1742">B$1*COS(C1235)</f>
        <v>-2.9906214188435452</v>
      </c>
      <c r="I1238" s="2">
        <f t="shared" ref="I1238" si="1743">B$2*COS(C1236)</f>
        <v>5.5568886504820352</v>
      </c>
      <c r="J1238" s="2">
        <f t="shared" ref="J1238" si="1744">-SIN(B$6)</f>
        <v>0</v>
      </c>
      <c r="L1238" s="2">
        <v>0</v>
      </c>
      <c r="M1238" s="2">
        <v>0.17995681808618827</v>
      </c>
      <c r="N1238" s="2">
        <v>0.53818271463548617</v>
      </c>
      <c r="O1238" s="10">
        <f t="shared" si="1741"/>
        <v>9.2250221102041507E-6</v>
      </c>
      <c r="Q1238" s="2">
        <v>1.6601056257270729E-6</v>
      </c>
    </row>
    <row r="1239" spans="1:17" x14ac:dyDescent="0.35">
      <c r="H1239" s="2">
        <v>1</v>
      </c>
      <c r="I1239" s="2">
        <v>0</v>
      </c>
      <c r="J1239" s="2">
        <v>0</v>
      </c>
      <c r="L1239" s="2">
        <v>-1</v>
      </c>
      <c r="M1239" s="2">
        <v>-0.40723510350336561</v>
      </c>
      <c r="N1239" s="2">
        <v>-1.4549166732842933</v>
      </c>
      <c r="O1239" s="10">
        <f t="shared" si="1741"/>
        <v>0</v>
      </c>
      <c r="Q1239" s="2">
        <v>-2.653389071825638E-5</v>
      </c>
    </row>
    <row r="1242" spans="1:17" x14ac:dyDescent="0.35">
      <c r="A1242" s="1" t="s">
        <v>9</v>
      </c>
      <c r="B1242" s="2">
        <f t="shared" ref="B1242" si="1745">IF(AND((B1233 = B1224), ABS(B1237-B1228) &lt; 0.001),B1233+0.1,B1233)</f>
        <v>3.5000000000000018</v>
      </c>
    </row>
    <row r="1243" spans="1:17" x14ac:dyDescent="0.35">
      <c r="C1243" s="1" t="s">
        <v>3</v>
      </c>
    </row>
    <row r="1244" spans="1:17" x14ac:dyDescent="0.35">
      <c r="A1244" s="1" t="s">
        <v>824</v>
      </c>
      <c r="B1244" s="4">
        <f t="shared" ref="B1244:B1245" si="1746">C1244*180/PI()</f>
        <v>175.46832475881479</v>
      </c>
      <c r="C1244" s="2">
        <f t="shared" ref="C1244:C1245" si="1747">C1235+Q1237</f>
        <v>3.0625000000000031</v>
      </c>
      <c r="E1244" s="7" t="s">
        <v>825</v>
      </c>
      <c r="F1244" s="6">
        <f t="shared" ref="F1244" si="1748">-B1246*COS(B$6)+B$1*COS(C1244)+B$2*COS(C1245)-B$3*COS(C$4)</f>
        <v>-7.6580274782113433E-12</v>
      </c>
      <c r="H1244" s="11" t="s">
        <v>14</v>
      </c>
      <c r="I1244" s="12"/>
      <c r="J1244" s="13"/>
      <c r="L1244" s="11" t="s">
        <v>826</v>
      </c>
      <c r="M1244" s="12"/>
      <c r="N1244" s="13"/>
      <c r="O1244" s="14" t="s">
        <v>18</v>
      </c>
      <c r="Q1244" s="16" t="s">
        <v>19</v>
      </c>
    </row>
    <row r="1245" spans="1:17" x14ac:dyDescent="0.35">
      <c r="A1245" s="1" t="s">
        <v>827</v>
      </c>
      <c r="B1245" s="4">
        <f t="shared" si="1746"/>
        <v>22.157973491930765</v>
      </c>
      <c r="C1245" s="2">
        <f t="shared" si="1747"/>
        <v>0.38672959300381698</v>
      </c>
      <c r="E1245" s="7" t="s">
        <v>828</v>
      </c>
      <c r="F1245" s="6">
        <f t="shared" ref="F1245" si="1749">-B1246*SIN(B$6)+B$1*SIN(C1244)+B$2*SIN(C1245)-B$3*SIN(C$4)</f>
        <v>-3.1183944315671397E-12</v>
      </c>
      <c r="H1245" s="8" t="s">
        <v>16</v>
      </c>
      <c r="I1245" s="8" t="s">
        <v>15</v>
      </c>
      <c r="J1245" s="9" t="s">
        <v>8</v>
      </c>
      <c r="L1245" s="8" t="s">
        <v>16</v>
      </c>
      <c r="M1245" s="8" t="s">
        <v>15</v>
      </c>
      <c r="N1245" s="9" t="s">
        <v>8</v>
      </c>
      <c r="O1245" s="15"/>
      <c r="Q1245" s="17"/>
    </row>
    <row r="1246" spans="1:17" x14ac:dyDescent="0.35">
      <c r="A1246" s="1" t="s">
        <v>8</v>
      </c>
      <c r="B1246" s="4">
        <f t="shared" ref="B1246" si="1750">B1237+Q1239</f>
        <v>2.5662634748856563</v>
      </c>
      <c r="C1246" s="2"/>
      <c r="E1246" s="7" t="s">
        <v>829</v>
      </c>
      <c r="F1246" s="6">
        <f>C1244-F$3*B1242-0.5*(F$4)*B1242^2</f>
        <v>0</v>
      </c>
      <c r="H1246" s="2">
        <f t="shared" ref="H1246" si="1751">-B$1*SIN(C1244)</f>
        <v>-0.23703065024215977</v>
      </c>
      <c r="I1246" s="2">
        <f t="shared" ref="I1246" si="1752">-B$2*SIN(C1245)</f>
        <v>-2.2629693497547216</v>
      </c>
      <c r="J1246" s="2">
        <f t="shared" ref="J1246" si="1753">-COS(B$6)</f>
        <v>-1</v>
      </c>
      <c r="L1246" s="2" cm="1">
        <f t="array" ref="L1246:N1248">MINVERSE(H1246:J1248)</f>
        <v>0</v>
      </c>
      <c r="M1246" s="2">
        <v>0</v>
      </c>
      <c r="N1246" s="2">
        <v>1.0000000000000002</v>
      </c>
      <c r="O1246" s="10">
        <f t="shared" ref="O1246:O1248" si="1754">-F1244</f>
        <v>7.6580274782113433E-12</v>
      </c>
      <c r="Q1246" s="2" cm="1">
        <f t="array" ref="Q1246:Q1248">MMULT(L1246:N1248,O1246:O1248)</f>
        <v>0</v>
      </c>
    </row>
    <row r="1247" spans="1:17" x14ac:dyDescent="0.35">
      <c r="H1247" s="2">
        <f t="shared" ref="H1247" si="1755">B$1*COS(C1244)</f>
        <v>-2.9906214188435452</v>
      </c>
      <c r="I1247" s="2">
        <f t="shared" ref="I1247" si="1756">B$2*COS(C1245)</f>
        <v>5.5568848937215432</v>
      </c>
      <c r="J1247" s="2">
        <f t="shared" ref="J1247" si="1757">-SIN(B$6)</f>
        <v>0</v>
      </c>
      <c r="L1247" s="2">
        <v>0</v>
      </c>
      <c r="M1247" s="2">
        <v>0.17995693974691682</v>
      </c>
      <c r="N1247" s="2">
        <v>0.5381830784766668</v>
      </c>
      <c r="O1247" s="10">
        <f t="shared" si="1754"/>
        <v>3.1183944315671397E-12</v>
      </c>
      <c r="Q1247" s="2">
        <v>5.6117671882864866E-13</v>
      </c>
    </row>
    <row r="1248" spans="1:17" x14ac:dyDescent="0.35">
      <c r="H1248" s="2">
        <v>1</v>
      </c>
      <c r="I1248" s="2">
        <v>0</v>
      </c>
      <c r="J1248" s="2">
        <v>0</v>
      </c>
      <c r="L1248" s="2">
        <v>-1</v>
      </c>
      <c r="M1248" s="2">
        <v>-0.40723703892293001</v>
      </c>
      <c r="N1248" s="2">
        <v>-1.4549224613914968</v>
      </c>
      <c r="O1248" s="10">
        <f t="shared" si="1754"/>
        <v>0</v>
      </c>
      <c r="Q1248" s="2">
        <v>-8.9279531927164982E-12</v>
      </c>
    </row>
    <row r="1251" spans="1:17" x14ac:dyDescent="0.35">
      <c r="A1251" s="1" t="s">
        <v>9</v>
      </c>
      <c r="B1251" s="2">
        <f t="shared" ref="B1251" si="1758">IF(AND((B1242 = B1233), ABS(B1246-B1237) &lt; 0.001),B1242+0.1,B1242)</f>
        <v>3.6000000000000019</v>
      </c>
    </row>
    <row r="1252" spans="1:17" x14ac:dyDescent="0.35">
      <c r="C1252" s="1" t="s">
        <v>3</v>
      </c>
    </row>
    <row r="1253" spans="1:17" x14ac:dyDescent="0.35">
      <c r="A1253" s="1" t="s">
        <v>830</v>
      </c>
      <c r="B1253" s="4">
        <f t="shared" ref="B1253:B1254" si="1759">C1253*180/PI()</f>
        <v>175.46832475881479</v>
      </c>
      <c r="C1253" s="2">
        <f t="shared" ref="C1253:C1254" si="1760">C1244+Q1246</f>
        <v>3.0625000000000031</v>
      </c>
      <c r="E1253" s="7" t="s">
        <v>831</v>
      </c>
      <c r="F1253" s="6">
        <f t="shared" ref="F1253" si="1761">-B1255*COS(B$6)+B$1*COS(C1253)+B$2*COS(C1254)-B$3*COS(C$4)</f>
        <v>7.3503486283654773E-16</v>
      </c>
      <c r="H1253" s="11" t="s">
        <v>14</v>
      </c>
      <c r="I1253" s="12"/>
      <c r="J1253" s="13"/>
      <c r="L1253" s="11" t="s">
        <v>832</v>
      </c>
      <c r="M1253" s="12"/>
      <c r="N1253" s="13"/>
      <c r="O1253" s="14" t="s">
        <v>18</v>
      </c>
      <c r="Q1253" s="16" t="s">
        <v>19</v>
      </c>
    </row>
    <row r="1254" spans="1:17" x14ac:dyDescent="0.35">
      <c r="A1254" s="1" t="s">
        <v>833</v>
      </c>
      <c r="B1254" s="4">
        <f t="shared" si="1759"/>
        <v>22.157973491962917</v>
      </c>
      <c r="C1254" s="2">
        <f t="shared" si="1760"/>
        <v>0.38672959300437815</v>
      </c>
      <c r="E1254" s="7" t="s">
        <v>834</v>
      </c>
      <c r="F1254" s="6">
        <f t="shared" ref="F1254" si="1762">-B1255*SIN(B$6)+B$1*SIN(C1253)+B$2*SIN(C1254)-B$3*SIN(C$4)</f>
        <v>0</v>
      </c>
      <c r="H1254" s="8" t="s">
        <v>16</v>
      </c>
      <c r="I1254" s="8" t="s">
        <v>15</v>
      </c>
      <c r="J1254" s="9" t="s">
        <v>8</v>
      </c>
      <c r="L1254" s="8" t="s">
        <v>16</v>
      </c>
      <c r="M1254" s="8" t="s">
        <v>15</v>
      </c>
      <c r="N1254" s="9" t="s">
        <v>8</v>
      </c>
      <c r="O1254" s="15"/>
      <c r="Q1254" s="17"/>
    </row>
    <row r="1255" spans="1:17" x14ac:dyDescent="0.35">
      <c r="A1255" s="1" t="s">
        <v>8</v>
      </c>
      <c r="B1255" s="4">
        <f t="shared" ref="B1255" si="1763">B1246+Q1248</f>
        <v>2.5662634748767283</v>
      </c>
      <c r="C1255" s="2"/>
      <c r="E1255" s="7" t="s">
        <v>835</v>
      </c>
      <c r="F1255" s="6">
        <f>C1253-F$3*B1251-0.5*(F$4)*B1251^2</f>
        <v>-0.17750000000000021</v>
      </c>
      <c r="H1255" s="2">
        <f t="shared" ref="H1255" si="1764">-B$1*SIN(C1253)</f>
        <v>-0.23703065024215977</v>
      </c>
      <c r="I1255" s="2">
        <f t="shared" ref="I1255" si="1765">-B$2*SIN(C1254)</f>
        <v>-2.2629693497578405</v>
      </c>
      <c r="J1255" s="2">
        <f t="shared" ref="J1255" si="1766">-COS(B$6)</f>
        <v>-1</v>
      </c>
      <c r="L1255" s="2" cm="1">
        <f t="array" ref="L1255:N1257">MINVERSE(H1255:J1257)</f>
        <v>0</v>
      </c>
      <c r="M1255" s="2">
        <v>7.4246978746943694E-17</v>
      </c>
      <c r="N1255" s="2">
        <v>1.0000000000000002</v>
      </c>
      <c r="O1255" s="10">
        <f t="shared" ref="O1255:O1257" si="1767">-F1253</f>
        <v>-7.3503486283654773E-16</v>
      </c>
      <c r="Q1255" s="2" cm="1">
        <f t="array" ref="Q1255:Q1257">MMULT(L1255:N1257,O1255:O1257)</f>
        <v>0.17750000000000024</v>
      </c>
    </row>
    <row r="1256" spans="1:17" x14ac:dyDescent="0.35">
      <c r="H1256" s="2">
        <f t="shared" ref="H1256" si="1768">B$1*COS(C1253)</f>
        <v>-2.9906214188435452</v>
      </c>
      <c r="I1256" s="2">
        <f t="shared" ref="I1256" si="1769">B$2*COS(C1254)</f>
        <v>5.5568848937202739</v>
      </c>
      <c r="J1256" s="2">
        <f t="shared" ref="J1256" si="1770">-SIN(B$6)</f>
        <v>0</v>
      </c>
      <c r="L1256" s="2">
        <v>0</v>
      </c>
      <c r="M1256" s="2">
        <v>0.17995693974695795</v>
      </c>
      <c r="N1256" s="2">
        <v>0.5381830784767897</v>
      </c>
      <c r="O1256" s="10">
        <f t="shared" si="1767"/>
        <v>0</v>
      </c>
      <c r="Q1256" s="2">
        <v>9.5527496429630293E-2</v>
      </c>
    </row>
    <row r="1257" spans="1:17" x14ac:dyDescent="0.35">
      <c r="H1257" s="2">
        <v>1</v>
      </c>
      <c r="I1257" s="2">
        <v>0</v>
      </c>
      <c r="J1257" s="2">
        <v>0</v>
      </c>
      <c r="L1257" s="2">
        <v>-1</v>
      </c>
      <c r="M1257" s="2">
        <v>-0.40723703892358432</v>
      </c>
      <c r="N1257" s="2">
        <v>-1.4549224613934535</v>
      </c>
      <c r="O1257" s="10">
        <f t="shared" si="1767"/>
        <v>0.17750000000000021</v>
      </c>
      <c r="Q1257" s="2">
        <v>-0.25824873689733757</v>
      </c>
    </row>
    <row r="1260" spans="1:17" x14ac:dyDescent="0.35">
      <c r="A1260" s="1" t="s">
        <v>9</v>
      </c>
      <c r="B1260" s="2">
        <f t="shared" ref="B1260" si="1771">IF(AND((B1251 = B1242), ABS(B1255-B1246) &lt; 0.001),B1251+0.1,B1251)</f>
        <v>3.6000000000000019</v>
      </c>
    </row>
    <row r="1261" spans="1:17" x14ac:dyDescent="0.35">
      <c r="C1261" s="1" t="s">
        <v>3</v>
      </c>
    </row>
    <row r="1262" spans="1:17" x14ac:dyDescent="0.35">
      <c r="A1262" s="1" t="s">
        <v>836</v>
      </c>
      <c r="B1262" s="4">
        <f t="shared" ref="B1262:B1263" si="1772">C1262*180/PI()</f>
        <v>185.63832562238693</v>
      </c>
      <c r="C1262" s="2">
        <f t="shared" ref="C1262:C1263" si="1773">C1253+Q1255</f>
        <v>3.2400000000000033</v>
      </c>
      <c r="E1262" s="7" t="s">
        <v>837</v>
      </c>
      <c r="F1262" s="6">
        <f t="shared" ref="F1262" si="1774">-B1264*COS(B$6)+B$1*COS(C1262)+B$2*COS(C1263)-B$3*COS(C$4)</f>
        <v>2.2201876391575961E-2</v>
      </c>
      <c r="H1262" s="11" t="s">
        <v>14</v>
      </c>
      <c r="I1262" s="12"/>
      <c r="J1262" s="13"/>
      <c r="L1262" s="11" t="s">
        <v>838</v>
      </c>
      <c r="M1262" s="12"/>
      <c r="N1262" s="13"/>
      <c r="O1262" s="14" t="s">
        <v>18</v>
      </c>
      <c r="Q1262" s="16" t="s">
        <v>19</v>
      </c>
    </row>
    <row r="1263" spans="1:17" x14ac:dyDescent="0.35">
      <c r="A1263" s="1" t="s">
        <v>839</v>
      </c>
      <c r="B1263" s="4">
        <f t="shared" si="1772"/>
        <v>27.631295864831774</v>
      </c>
      <c r="C1263" s="2">
        <f t="shared" si="1773"/>
        <v>0.48225708943400847</v>
      </c>
      <c r="E1263" s="7" t="s">
        <v>840</v>
      </c>
      <c r="F1263" s="6">
        <f t="shared" ref="F1263" si="1775">-B1264*SIN(B$6)+B$1*SIN(C1262)+B$2*SIN(C1263)-B$3*SIN(C$4)</f>
        <v>-1.2065634509845768E-2</v>
      </c>
      <c r="H1263" s="8" t="s">
        <v>16</v>
      </c>
      <c r="I1263" s="8" t="s">
        <v>15</v>
      </c>
      <c r="J1263" s="9" t="s">
        <v>8</v>
      </c>
      <c r="L1263" s="8" t="s">
        <v>16</v>
      </c>
      <c r="M1263" s="8" t="s">
        <v>15</v>
      </c>
      <c r="N1263" s="9" t="s">
        <v>8</v>
      </c>
      <c r="O1263" s="15"/>
      <c r="Q1263" s="17"/>
    </row>
    <row r="1264" spans="1:17" x14ac:dyDescent="0.35">
      <c r="A1264" s="1" t="s">
        <v>8</v>
      </c>
      <c r="B1264" s="4">
        <f t="shared" ref="B1264" si="1776">B1255+Q1257</f>
        <v>2.3080147379793909</v>
      </c>
      <c r="C1264" s="2"/>
      <c r="E1264" s="7" t="s">
        <v>841</v>
      </c>
      <c r="F1264" s="6">
        <f>C1262-F$3*B1260-0.5*(F$4)*B1260^2</f>
        <v>0</v>
      </c>
      <c r="H1264" s="2">
        <f t="shared" ref="H1264" si="1777">-B$1*SIN(C1262)</f>
        <v>0.29474578123533535</v>
      </c>
      <c r="I1264" s="2">
        <f t="shared" ref="I1264" si="1778">-B$2*SIN(C1263)</f>
        <v>-2.7826801467254896</v>
      </c>
      <c r="J1264" s="2">
        <f t="shared" ref="J1264" si="1779">-COS(B$6)</f>
        <v>-1</v>
      </c>
      <c r="L1264" s="2" cm="1">
        <f t="array" ref="L1264:N1266">MINVERSE(H1264:J1266)</f>
        <v>0</v>
      </c>
      <c r="M1264" s="2">
        <v>0</v>
      </c>
      <c r="N1264" s="2">
        <v>1</v>
      </c>
      <c r="O1264" s="10">
        <f t="shared" ref="O1264:O1266" si="1780">-F1262</f>
        <v>-2.2201876391575961E-2</v>
      </c>
      <c r="Q1264" s="2" cm="1">
        <f t="array" ref="Q1264:Q1266">MMULT(L1264:N1266,O1264:O1266)</f>
        <v>0</v>
      </c>
    </row>
    <row r="1265" spans="1:17" x14ac:dyDescent="0.35">
      <c r="H1265" s="2">
        <f t="shared" ref="H1265" si="1781">B$1*COS(C1262)</f>
        <v>-2.9854857099714902</v>
      </c>
      <c r="I1265" s="2">
        <f t="shared" ref="I1265" si="1782">B$2*COS(C1263)</f>
        <v>5.3157023243424577</v>
      </c>
      <c r="J1265" s="2">
        <f t="shared" ref="J1265" si="1783">-SIN(B$6)</f>
        <v>0</v>
      </c>
      <c r="L1265" s="2">
        <v>0</v>
      </c>
      <c r="M1265" s="2">
        <v>0.18812189603256199</v>
      </c>
      <c r="N1265" s="2">
        <v>0.5616352323379562</v>
      </c>
      <c r="O1265" s="10">
        <f t="shared" si="1780"/>
        <v>1.2065634509845768E-2</v>
      </c>
      <c r="Q1265" s="2">
        <v>2.2698100408280976E-3</v>
      </c>
    </row>
    <row r="1266" spans="1:17" x14ac:dyDescent="0.35">
      <c r="H1266" s="2">
        <v>1</v>
      </c>
      <c r="I1266" s="2">
        <v>0</v>
      </c>
      <c r="J1266" s="2">
        <v>0</v>
      </c>
      <c r="L1266" s="2">
        <v>-1</v>
      </c>
      <c r="M1266" s="2">
        <v>-0.52348306525416688</v>
      </c>
      <c r="N1266" s="2">
        <v>-1.2681054294930529</v>
      </c>
      <c r="O1266" s="10">
        <f t="shared" si="1780"/>
        <v>0</v>
      </c>
      <c r="Q1266" s="2">
        <v>1.5885721054125442E-2</v>
      </c>
    </row>
    <row r="1269" spans="1:17" x14ac:dyDescent="0.35">
      <c r="A1269" s="1" t="s">
        <v>9</v>
      </c>
      <c r="B1269" s="2">
        <f t="shared" ref="B1269" si="1784">IF(AND((B1260 = B1251), ABS(B1264-B1255) &lt; 0.001),B1260+0.1,B1260)</f>
        <v>3.6000000000000019</v>
      </c>
    </row>
    <row r="1270" spans="1:17" x14ac:dyDescent="0.35">
      <c r="C1270" s="1" t="s">
        <v>3</v>
      </c>
    </row>
    <row r="1271" spans="1:17" x14ac:dyDescent="0.35">
      <c r="A1271" s="1" t="s">
        <v>842</v>
      </c>
      <c r="B1271" s="4">
        <f t="shared" ref="B1271:B1272" si="1785">C1271*180/PI()</f>
        <v>185.63832562238693</v>
      </c>
      <c r="C1271" s="2">
        <f t="shared" ref="C1271:C1272" si="1786">C1262+Q1264</f>
        <v>3.2400000000000033</v>
      </c>
      <c r="E1271" s="7" t="s">
        <v>843</v>
      </c>
      <c r="F1271" s="6">
        <f t="shared" ref="F1271" si="1787">-B1273*COS(B$6)+B$1*COS(C1271)+B$2*COS(C1272)-B$3*COS(C$4)</f>
        <v>-1.3687919789770952E-5</v>
      </c>
      <c r="H1271" s="11" t="s">
        <v>14</v>
      </c>
      <c r="I1271" s="12"/>
      <c r="J1271" s="13"/>
      <c r="L1271" s="11" t="s">
        <v>844</v>
      </c>
      <c r="M1271" s="12"/>
      <c r="N1271" s="13"/>
      <c r="O1271" s="14" t="s">
        <v>18</v>
      </c>
      <c r="Q1271" s="16" t="s">
        <v>19</v>
      </c>
    </row>
    <row r="1272" spans="1:17" x14ac:dyDescent="0.35">
      <c r="A1272" s="1" t="s">
        <v>845</v>
      </c>
      <c r="B1272" s="4">
        <f t="shared" si="1785"/>
        <v>27.761346400467637</v>
      </c>
      <c r="C1272" s="2">
        <f t="shared" si="1786"/>
        <v>0.48452689947483657</v>
      </c>
      <c r="E1272" s="7" t="s">
        <v>846</v>
      </c>
      <c r="F1272" s="6">
        <f t="shared" ref="F1272" si="1788">-B1273*SIN(B$6)+B$1*SIN(C1271)+B$2*SIN(C1272)-B$3*SIN(C$4)</f>
        <v>-7.178593755874374E-6</v>
      </c>
      <c r="H1272" s="8" t="s">
        <v>16</v>
      </c>
      <c r="I1272" s="8" t="s">
        <v>15</v>
      </c>
      <c r="J1272" s="9" t="s">
        <v>8</v>
      </c>
      <c r="L1272" s="8" t="s">
        <v>16</v>
      </c>
      <c r="M1272" s="8" t="s">
        <v>15</v>
      </c>
      <c r="N1272" s="9" t="s">
        <v>8</v>
      </c>
      <c r="O1272" s="15"/>
      <c r="Q1272" s="17"/>
    </row>
    <row r="1273" spans="1:17" x14ac:dyDescent="0.35">
      <c r="A1273" s="1" t="s">
        <v>8</v>
      </c>
      <c r="B1273" s="4">
        <f t="shared" ref="B1273" si="1789">B1264+Q1266</f>
        <v>2.3239004590335162</v>
      </c>
      <c r="C1273" s="2"/>
      <c r="E1273" s="7" t="s">
        <v>847</v>
      </c>
      <c r="F1273" s="6">
        <f>C1271-F$3*B1269-0.5*(F$4)*B1269^2</f>
        <v>0</v>
      </c>
      <c r="H1273" s="2">
        <f t="shared" ref="H1273" si="1790">-B$1*SIN(C1271)</f>
        <v>0.29474578123533535</v>
      </c>
      <c r="I1273" s="2">
        <f t="shared" ref="I1273" si="1791">-B$2*SIN(C1272)</f>
        <v>-2.7947386026415795</v>
      </c>
      <c r="J1273" s="2">
        <f t="shared" ref="J1273" si="1792">-COS(B$6)</f>
        <v>-1</v>
      </c>
      <c r="L1273" s="2" cm="1">
        <f t="array" ref="L1273:N1275">MINVERSE(H1273:J1275)</f>
        <v>0</v>
      </c>
      <c r="M1273" s="2">
        <v>-3.7187350149324901E-17</v>
      </c>
      <c r="N1273" s="2">
        <v>0.99999999999999989</v>
      </c>
      <c r="O1273" s="10">
        <f t="shared" ref="O1273:O1275" si="1793">-F1271</f>
        <v>1.3687919789770952E-5</v>
      </c>
      <c r="Q1273" s="2" cm="1">
        <f t="array" ref="Q1273:Q1275">MMULT(L1273:N1275,O1273:O1275)</f>
        <v>-2.6695287957945771E-22</v>
      </c>
    </row>
    <row r="1274" spans="1:17" x14ac:dyDescent="0.35">
      <c r="H1274" s="2">
        <f t="shared" ref="H1274" si="1794">B$1*COS(C1271)</f>
        <v>-2.9854857099714902</v>
      </c>
      <c r="I1274" s="2">
        <f t="shared" ref="I1274" si="1795">B$2*COS(C1272)</f>
        <v>5.3093724810852168</v>
      </c>
      <c r="J1274" s="2">
        <f t="shared" ref="J1274" si="1796">-SIN(B$6)</f>
        <v>0</v>
      </c>
      <c r="L1274" s="2">
        <v>0</v>
      </c>
      <c r="M1274" s="2">
        <v>0.188346175289552</v>
      </c>
      <c r="N1274" s="2">
        <v>0.56230481485474293</v>
      </c>
      <c r="O1274" s="10">
        <f t="shared" si="1793"/>
        <v>7.178593755874374E-6</v>
      </c>
      <c r="Q1274" s="2">
        <v>1.3520606778763982E-6</v>
      </c>
    </row>
    <row r="1275" spans="1:17" x14ac:dyDescent="0.35">
      <c r="H1275" s="2">
        <v>1</v>
      </c>
      <c r="I1275" s="2">
        <v>0</v>
      </c>
      <c r="J1275" s="2">
        <v>0</v>
      </c>
      <c r="L1275" s="2">
        <v>-1</v>
      </c>
      <c r="M1275" s="2">
        <v>-0.52637832674160856</v>
      </c>
      <c r="N1275" s="2">
        <v>-1.276749191290441</v>
      </c>
      <c r="O1275" s="10">
        <f t="shared" si="1793"/>
        <v>0</v>
      </c>
      <c r="Q1275" s="2">
        <v>-1.7466575959345865E-5</v>
      </c>
    </row>
    <row r="1278" spans="1:17" x14ac:dyDescent="0.35">
      <c r="A1278" s="1" t="s">
        <v>9</v>
      </c>
      <c r="B1278" s="2">
        <f t="shared" ref="B1278" si="1797">IF(AND((B1269 = B1260), ABS(B1273-B1264) &lt; 0.001),B1269+0.1,B1269)</f>
        <v>3.6000000000000019</v>
      </c>
    </row>
    <row r="1279" spans="1:17" x14ac:dyDescent="0.35">
      <c r="C1279" s="1" t="s">
        <v>3</v>
      </c>
    </row>
    <row r="1280" spans="1:17" x14ac:dyDescent="0.35">
      <c r="A1280" s="1" t="s">
        <v>848</v>
      </c>
      <c r="B1280" s="4">
        <f t="shared" ref="B1280:B1281" si="1798">C1280*180/PI()</f>
        <v>185.63832562238693</v>
      </c>
      <c r="C1280" s="2">
        <f t="shared" ref="C1280:C1281" si="1799">C1271+Q1273</f>
        <v>3.2400000000000033</v>
      </c>
      <c r="E1280" s="7" t="s">
        <v>849</v>
      </c>
      <c r="F1280" s="6">
        <f t="shared" ref="F1280" si="1800">-B1282*COS(B$6)+B$1*COS(C1280)+B$2*COS(C1281)-B$3*COS(C$4)</f>
        <v>-4.8531600287983478E-12</v>
      </c>
      <c r="H1280" s="11" t="s">
        <v>14</v>
      </c>
      <c r="I1280" s="12"/>
      <c r="J1280" s="13"/>
      <c r="L1280" s="11" t="s">
        <v>850</v>
      </c>
      <c r="M1280" s="12"/>
      <c r="N1280" s="13"/>
      <c r="O1280" s="14" t="s">
        <v>18</v>
      </c>
      <c r="Q1280" s="16" t="s">
        <v>19</v>
      </c>
    </row>
    <row r="1281" spans="1:17" x14ac:dyDescent="0.35">
      <c r="A1281" s="1" t="s">
        <v>851</v>
      </c>
      <c r="B1281" s="4">
        <f t="shared" si="1798"/>
        <v>27.761423867838126</v>
      </c>
      <c r="C1281" s="2">
        <f t="shared" si="1799"/>
        <v>0.48452825153551443</v>
      </c>
      <c r="E1281" s="7" t="s">
        <v>852</v>
      </c>
      <c r="F1281" s="6">
        <f t="shared" ref="F1281" si="1801">-B1282*SIN(B$6)+B$1*SIN(C1280)+B$2*SIN(C1281)-B$3*SIN(C$4)</f>
        <v>-2.5548452242674102E-12</v>
      </c>
      <c r="H1281" s="8" t="s">
        <v>16</v>
      </c>
      <c r="I1281" s="8" t="s">
        <v>15</v>
      </c>
      <c r="J1281" s="9" t="s">
        <v>8</v>
      </c>
      <c r="L1281" s="8" t="s">
        <v>16</v>
      </c>
      <c r="M1281" s="8" t="s">
        <v>15</v>
      </c>
      <c r="N1281" s="9" t="s">
        <v>8</v>
      </c>
      <c r="O1281" s="15"/>
      <c r="Q1281" s="17"/>
    </row>
    <row r="1282" spans="1:17" x14ac:dyDescent="0.35">
      <c r="A1282" s="1" t="s">
        <v>8</v>
      </c>
      <c r="B1282" s="4">
        <f t="shared" ref="B1282" si="1802">B1273+Q1275</f>
        <v>2.3238829924575568</v>
      </c>
      <c r="C1282" s="2"/>
      <c r="E1282" s="7" t="s">
        <v>853</v>
      </c>
      <c r="F1282" s="6">
        <f>C1280-F$3*B1278-0.5*(F$4)*B1278^2</f>
        <v>0</v>
      </c>
      <c r="H1282" s="2">
        <f t="shared" ref="H1282" si="1803">-B$1*SIN(C1280)</f>
        <v>0.29474578123533535</v>
      </c>
      <c r="I1282" s="2">
        <f t="shared" ref="I1282" si="1804">-B$2*SIN(C1281)</f>
        <v>-2.7947457812327805</v>
      </c>
      <c r="J1282" s="2">
        <f t="shared" ref="J1282" si="1805">-COS(B$6)</f>
        <v>-1</v>
      </c>
      <c r="L1282" s="2" cm="1">
        <f t="array" ref="L1282:N1284">MINVERSE(H1282:J1284)</f>
        <v>0</v>
      </c>
      <c r="M1282" s="2">
        <v>0</v>
      </c>
      <c r="N1282" s="2">
        <v>1</v>
      </c>
      <c r="O1282" s="10">
        <f t="shared" ref="O1282:O1284" si="1806">-F1280</f>
        <v>4.8531600287983478E-12</v>
      </c>
      <c r="Q1282" s="2" cm="1">
        <f t="array" ref="Q1282:Q1284">MMULT(L1282:N1284,O1282:O1284)</f>
        <v>0</v>
      </c>
    </row>
    <row r="1283" spans="1:17" x14ac:dyDescent="0.35">
      <c r="H1283" s="2">
        <f t="shared" ref="H1283" si="1807">B$1*COS(C1280)</f>
        <v>-2.9854857099714902</v>
      </c>
      <c r="I1283" s="2">
        <f t="shared" ref="I1283" si="1808">B$2*COS(C1281)</f>
        <v>5.3093687024241945</v>
      </c>
      <c r="J1283" s="2">
        <f t="shared" ref="J1283" si="1809">-SIN(B$6)</f>
        <v>0</v>
      </c>
      <c r="L1283" s="2">
        <v>0</v>
      </c>
      <c r="M1283" s="2">
        <v>0.18834630933493315</v>
      </c>
      <c r="N1283" s="2">
        <v>0.56230521504531283</v>
      </c>
      <c r="O1283" s="10">
        <f t="shared" si="1806"/>
        <v>2.5548452242674102E-12</v>
      </c>
      <c r="Q1283" s="2">
        <v>4.811956689127463E-13</v>
      </c>
    </row>
    <row r="1284" spans="1:17" x14ac:dyDescent="0.35">
      <c r="H1284" s="2">
        <v>1</v>
      </c>
      <c r="I1284" s="2">
        <v>0</v>
      </c>
      <c r="J1284" s="2">
        <v>0</v>
      </c>
      <c r="L1284" s="2">
        <v>-1</v>
      </c>
      <c r="M1284" s="2">
        <v>-0.52638005342456873</v>
      </c>
      <c r="N1284" s="2">
        <v>-1.2767543462777442</v>
      </c>
      <c r="O1284" s="10">
        <f t="shared" si="1806"/>
        <v>0</v>
      </c>
      <c r="Q1284" s="2">
        <v>-6.1979795944397311E-12</v>
      </c>
    </row>
    <row r="1287" spans="1:17" x14ac:dyDescent="0.35">
      <c r="A1287" s="1" t="s">
        <v>9</v>
      </c>
      <c r="B1287" s="2">
        <f t="shared" ref="B1287" si="1810">IF(AND((B1278 = B1269), ABS(B1282-B1273) &lt; 0.001),B1278+0.1,B1278)</f>
        <v>3.700000000000002</v>
      </c>
    </row>
    <row r="1288" spans="1:17" x14ac:dyDescent="0.35">
      <c r="C1288" s="1" t="s">
        <v>3</v>
      </c>
    </row>
    <row r="1289" spans="1:17" x14ac:dyDescent="0.35">
      <c r="A1289" s="1" t="s">
        <v>854</v>
      </c>
      <c r="B1289" s="4">
        <f t="shared" ref="B1289:B1290" si="1811">C1289*180/PI()</f>
        <v>185.63832562238693</v>
      </c>
      <c r="C1289" s="2">
        <f t="shared" ref="C1289:C1290" si="1812">C1280+Q1282</f>
        <v>3.2400000000000033</v>
      </c>
      <c r="E1289" s="7" t="s">
        <v>855</v>
      </c>
      <c r="F1289" s="6">
        <f t="shared" ref="F1289" si="1813">-B1291*COS(B$6)+B$1*COS(C1289)+B$2*COS(C1290)-B$3*COS(C$4)</f>
        <v>7.3503486283654773E-16</v>
      </c>
      <c r="H1289" s="11" t="s">
        <v>14</v>
      </c>
      <c r="I1289" s="12"/>
      <c r="J1289" s="13"/>
      <c r="L1289" s="11" t="s">
        <v>856</v>
      </c>
      <c r="M1289" s="12"/>
      <c r="N1289" s="13"/>
      <c r="O1289" s="14" t="s">
        <v>18</v>
      </c>
      <c r="Q1289" s="16" t="s">
        <v>19</v>
      </c>
    </row>
    <row r="1290" spans="1:17" x14ac:dyDescent="0.35">
      <c r="A1290" s="1" t="s">
        <v>857</v>
      </c>
      <c r="B1290" s="4">
        <f t="shared" si="1811"/>
        <v>27.761423867865698</v>
      </c>
      <c r="C1290" s="2">
        <f t="shared" si="1812"/>
        <v>0.4845282515359956</v>
      </c>
      <c r="E1290" s="7" t="s">
        <v>858</v>
      </c>
      <c r="F1290" s="6">
        <f t="shared" ref="F1290" si="1814">-B1291*SIN(B$6)+B$1*SIN(C1289)+B$2*SIN(C1290)-B$3*SIN(C$4)</f>
        <v>0</v>
      </c>
      <c r="H1290" s="8" t="s">
        <v>16</v>
      </c>
      <c r="I1290" s="8" t="s">
        <v>15</v>
      </c>
      <c r="J1290" s="9" t="s">
        <v>8</v>
      </c>
      <c r="L1290" s="8" t="s">
        <v>16</v>
      </c>
      <c r="M1290" s="8" t="s">
        <v>15</v>
      </c>
      <c r="N1290" s="9" t="s">
        <v>8</v>
      </c>
      <c r="O1290" s="15"/>
      <c r="Q1290" s="17"/>
    </row>
    <row r="1291" spans="1:17" x14ac:dyDescent="0.35">
      <c r="A1291" s="1" t="s">
        <v>8</v>
      </c>
      <c r="B1291" s="4">
        <f t="shared" ref="B1291" si="1815">B1282+Q1284</f>
        <v>2.3238829924513587</v>
      </c>
      <c r="C1291" s="2"/>
      <c r="E1291" s="7" t="s">
        <v>859</v>
      </c>
      <c r="F1291" s="6">
        <f>C1289-F$3*B1287-0.5*(F$4)*B1287^2</f>
        <v>-0.18250000000000011</v>
      </c>
      <c r="H1291" s="2">
        <f t="shared" ref="H1291" si="1816">-B$1*SIN(C1289)</f>
        <v>0.29474578123533535</v>
      </c>
      <c r="I1291" s="2">
        <f t="shared" ref="I1291" si="1817">-B$2*SIN(C1290)</f>
        <v>-2.7947457812353358</v>
      </c>
      <c r="J1291" s="2">
        <f t="shared" ref="J1291" si="1818">-COS(B$6)</f>
        <v>-1</v>
      </c>
      <c r="L1291" s="2" cm="1">
        <f t="array" ref="L1291:N1293">MINVERSE(H1291:J1293)</f>
        <v>0</v>
      </c>
      <c r="M1291" s="2">
        <v>0</v>
      </c>
      <c r="N1291" s="2">
        <v>0.99999999999999989</v>
      </c>
      <c r="O1291" s="10">
        <f t="shared" ref="O1291:O1293" si="1819">-F1289</f>
        <v>-7.3503486283654773E-16</v>
      </c>
      <c r="Q1291" s="2" cm="1">
        <f t="array" ref="Q1291:Q1293">MMULT(L1291:N1293,O1291:O1293)</f>
        <v>0.18250000000000008</v>
      </c>
    </row>
    <row r="1292" spans="1:17" x14ac:dyDescent="0.35">
      <c r="H1292" s="2">
        <f t="shared" ref="H1292" si="1820">B$1*COS(C1289)</f>
        <v>-2.9854857099714902</v>
      </c>
      <c r="I1292" s="2">
        <f t="shared" ref="I1292" si="1821">B$2*COS(C1290)</f>
        <v>5.3093687024228498</v>
      </c>
      <c r="J1292" s="2">
        <f t="shared" ref="J1292" si="1822">-SIN(B$6)</f>
        <v>0</v>
      </c>
      <c r="L1292" s="2">
        <v>0</v>
      </c>
      <c r="M1292" s="2">
        <v>0.18834630933498087</v>
      </c>
      <c r="N1292" s="2">
        <v>0.56230521504545516</v>
      </c>
      <c r="O1292" s="10">
        <f t="shared" si="1819"/>
        <v>0</v>
      </c>
      <c r="Q1292" s="2">
        <v>0.10262070174579563</v>
      </c>
    </row>
    <row r="1293" spans="1:17" x14ac:dyDescent="0.35">
      <c r="H1293" s="2">
        <v>1</v>
      </c>
      <c r="I1293" s="2">
        <v>0</v>
      </c>
      <c r="J1293" s="2">
        <v>0</v>
      </c>
      <c r="L1293" s="2">
        <v>-1</v>
      </c>
      <c r="M1293" s="2">
        <v>-0.52638005342518335</v>
      </c>
      <c r="N1293" s="2">
        <v>-1.276754346279579</v>
      </c>
      <c r="O1293" s="10">
        <f t="shared" si="1819"/>
        <v>0.18250000000000011</v>
      </c>
      <c r="Q1293" s="2">
        <v>-0.23300766819602256</v>
      </c>
    </row>
    <row r="1296" spans="1:17" x14ac:dyDescent="0.35">
      <c r="A1296" s="1" t="s">
        <v>9</v>
      </c>
      <c r="B1296" s="2">
        <f t="shared" ref="B1296" si="1823">IF(AND((B1287 = B1278), ABS(B1291-B1282) &lt; 0.001),B1287+0.1,B1287)</f>
        <v>3.700000000000002</v>
      </c>
    </row>
    <row r="1297" spans="1:17" x14ac:dyDescent="0.35">
      <c r="C1297" s="1" t="s">
        <v>3</v>
      </c>
    </row>
    <row r="1298" spans="1:17" x14ac:dyDescent="0.35">
      <c r="A1298" s="1" t="s">
        <v>860</v>
      </c>
      <c r="B1298" s="4">
        <f t="shared" ref="B1298:B1299" si="1824">C1298*180/PI()</f>
        <v>196.09480538352446</v>
      </c>
      <c r="C1298" s="2">
        <f t="shared" ref="C1298:C1299" si="1825">C1289+Q1291</f>
        <v>3.4225000000000034</v>
      </c>
      <c r="E1298" s="7" t="s">
        <v>861</v>
      </c>
      <c r="F1298" s="6">
        <f t="shared" ref="F1298" si="1826">-B1300*COS(B$6)+B$1*COS(C1298)+B$2*COS(C1299)-B$3*COS(C$4)</f>
        <v>2.1852864958734688E-2</v>
      </c>
      <c r="H1298" s="11" t="s">
        <v>14</v>
      </c>
      <c r="I1298" s="12"/>
      <c r="J1298" s="13"/>
      <c r="L1298" s="11" t="s">
        <v>862</v>
      </c>
      <c r="M1298" s="12"/>
      <c r="N1298" s="13"/>
      <c r="O1298" s="14" t="s">
        <v>18</v>
      </c>
      <c r="Q1298" s="16" t="s">
        <v>19</v>
      </c>
    </row>
    <row r="1299" spans="1:17" x14ac:dyDescent="0.35">
      <c r="A1299" s="1" t="s">
        <v>863</v>
      </c>
      <c r="B1299" s="4">
        <f t="shared" si="1824"/>
        <v>33.641156968570584</v>
      </c>
      <c r="C1299" s="2">
        <f t="shared" si="1825"/>
        <v>0.58714895328179129</v>
      </c>
      <c r="E1299" s="7" t="s">
        <v>864</v>
      </c>
      <c r="F1299" s="6">
        <f t="shared" ref="F1299" si="1827">-B1300*SIN(B$6)+B$1*SIN(C1298)+B$2*SIN(C1299)-B$3*SIN(C$4)</f>
        <v>-7.7443491849256141E-3</v>
      </c>
      <c r="H1299" s="8" t="s">
        <v>16</v>
      </c>
      <c r="I1299" s="8" t="s">
        <v>15</v>
      </c>
      <c r="J1299" s="9" t="s">
        <v>8</v>
      </c>
      <c r="L1299" s="8" t="s">
        <v>16</v>
      </c>
      <c r="M1299" s="8" t="s">
        <v>15</v>
      </c>
      <c r="N1299" s="9" t="s">
        <v>8</v>
      </c>
      <c r="O1299" s="15"/>
      <c r="Q1299" s="17"/>
    </row>
    <row r="1300" spans="1:17" x14ac:dyDescent="0.35">
      <c r="A1300" s="1" t="s">
        <v>8</v>
      </c>
      <c r="B1300" s="4">
        <f t="shared" ref="B1300" si="1828">B1291+Q1293</f>
        <v>2.090875324255336</v>
      </c>
      <c r="C1300" s="2"/>
      <c r="E1300" s="7" t="s">
        <v>865</v>
      </c>
      <c r="F1300" s="6">
        <f>C1298-F$3*B1296-0.5*(F$4)*B1296^2</f>
        <v>0</v>
      </c>
      <c r="H1300" s="2">
        <f t="shared" ref="H1300" si="1829">-B$1*SIN(C1298)</f>
        <v>0.83168263466321957</v>
      </c>
      <c r="I1300" s="2">
        <f t="shared" ref="I1300" si="1830">-B$2*SIN(C1299)</f>
        <v>-3.323938285478294</v>
      </c>
      <c r="J1300" s="2">
        <f t="shared" ref="J1300" si="1831">-COS(B$6)</f>
        <v>-1</v>
      </c>
      <c r="L1300" s="2" cm="1">
        <f t="array" ref="L1300:N1302">MINVERSE(H1300:J1302)</f>
        <v>0</v>
      </c>
      <c r="M1300" s="2">
        <v>0</v>
      </c>
      <c r="N1300" s="2">
        <v>0.99999999999999989</v>
      </c>
      <c r="O1300" s="10">
        <f t="shared" ref="O1300:O1302" si="1832">-F1298</f>
        <v>-2.1852864958734688E-2</v>
      </c>
      <c r="Q1300" s="2" cm="1">
        <f t="array" ref="Q1300:Q1302">MMULT(L1300:N1302,O1300:O1302)</f>
        <v>0</v>
      </c>
    </row>
    <row r="1301" spans="1:17" x14ac:dyDescent="0.35">
      <c r="H1301" s="2">
        <f t="shared" ref="H1301" si="1833">B$1*COS(C1298)</f>
        <v>-2.8824128772956255</v>
      </c>
      <c r="I1301" s="2">
        <f t="shared" ref="I1301" si="1834">B$2*COS(C1299)</f>
        <v>4.9951410665096958</v>
      </c>
      <c r="J1301" s="2">
        <f t="shared" ref="J1301" si="1835">-SIN(B$6)</f>
        <v>0</v>
      </c>
      <c r="L1301" s="2">
        <v>0</v>
      </c>
      <c r="M1301" s="2">
        <v>0.20019454639721315</v>
      </c>
      <c r="N1301" s="2">
        <v>0.57704333849968359</v>
      </c>
      <c r="O1301" s="10">
        <f t="shared" si="1832"/>
        <v>7.7443491849256141E-3</v>
      </c>
      <c r="Q1301" s="2">
        <v>1.5503764722178107E-3</v>
      </c>
    </row>
    <row r="1302" spans="1:17" x14ac:dyDescent="0.35">
      <c r="H1302" s="2">
        <v>1</v>
      </c>
      <c r="I1302" s="2">
        <v>0</v>
      </c>
      <c r="J1302" s="2">
        <v>0</v>
      </c>
      <c r="L1302" s="2">
        <v>-1</v>
      </c>
      <c r="M1302" s="2">
        <v>-0.66543431731365743</v>
      </c>
      <c r="N1302" s="2">
        <v>-1.0863738105560896</v>
      </c>
      <c r="O1302" s="10">
        <f t="shared" si="1832"/>
        <v>0</v>
      </c>
      <c r="Q1302" s="2">
        <v>1.6699509245825132E-2</v>
      </c>
    </row>
    <row r="1305" spans="1:17" x14ac:dyDescent="0.35">
      <c r="A1305" s="1" t="s">
        <v>9</v>
      </c>
      <c r="B1305" s="2">
        <f t="shared" ref="B1305" si="1836">IF(AND((B1296 = B1287), ABS(B1300-B1291) &lt; 0.001),B1296+0.1,B1296)</f>
        <v>3.700000000000002</v>
      </c>
    </row>
    <row r="1306" spans="1:17" x14ac:dyDescent="0.35">
      <c r="C1306" s="1" t="s">
        <v>3</v>
      </c>
    </row>
    <row r="1307" spans="1:17" x14ac:dyDescent="0.35">
      <c r="A1307" s="1" t="s">
        <v>866</v>
      </c>
      <c r="B1307" s="4">
        <f t="shared" ref="B1307:B1308" si="1837">C1307*180/PI()</f>
        <v>196.09480538352446</v>
      </c>
      <c r="C1307" s="2">
        <f t="shared" ref="C1307:C1308" si="1838">C1298+Q1300</f>
        <v>3.4225000000000034</v>
      </c>
      <c r="E1307" s="7" t="s">
        <v>867</v>
      </c>
      <c r="F1307" s="6">
        <f t="shared" ref="F1307" si="1839">-B1309*COS(B$6)+B$1*COS(C1307)+B$2*COS(C1308)-B$3*COS(C$4)</f>
        <v>-6.0012626905003191E-6</v>
      </c>
      <c r="H1307" s="11" t="s">
        <v>14</v>
      </c>
      <c r="I1307" s="12"/>
      <c r="J1307" s="13"/>
      <c r="L1307" s="11" t="s">
        <v>868</v>
      </c>
      <c r="M1307" s="12"/>
      <c r="N1307" s="13"/>
      <c r="O1307" s="14" t="s">
        <v>18</v>
      </c>
      <c r="Q1307" s="16" t="s">
        <v>19</v>
      </c>
    </row>
    <row r="1308" spans="1:17" x14ac:dyDescent="0.35">
      <c r="A1308" s="1" t="s">
        <v>869</v>
      </c>
      <c r="B1308" s="4">
        <f t="shared" si="1837"/>
        <v>33.729986997085042</v>
      </c>
      <c r="C1308" s="2">
        <f t="shared" si="1838"/>
        <v>0.58869932975400907</v>
      </c>
      <c r="E1308" s="7" t="s">
        <v>870</v>
      </c>
      <c r="F1308" s="6">
        <f t="shared" ref="F1308" si="1840">-B1309*SIN(B$6)+B$1*SIN(C1307)+B$2*SIN(C1308)-B$3*SIN(C$4)</f>
        <v>-3.9979223975805667E-6</v>
      </c>
      <c r="H1308" s="8" t="s">
        <v>16</v>
      </c>
      <c r="I1308" s="8" t="s">
        <v>15</v>
      </c>
      <c r="J1308" s="9" t="s">
        <v>8</v>
      </c>
      <c r="L1308" s="8" t="s">
        <v>16</v>
      </c>
      <c r="M1308" s="8" t="s">
        <v>15</v>
      </c>
      <c r="N1308" s="9" t="s">
        <v>8</v>
      </c>
      <c r="O1308" s="15"/>
      <c r="Q1308" s="17"/>
    </row>
    <row r="1309" spans="1:17" x14ac:dyDescent="0.35">
      <c r="A1309" s="1" t="s">
        <v>8</v>
      </c>
      <c r="B1309" s="4">
        <f t="shared" ref="B1309" si="1841">B1300+Q1302</f>
        <v>2.107574833501161</v>
      </c>
      <c r="C1309" s="2"/>
      <c r="E1309" s="7" t="s">
        <v>871</v>
      </c>
      <c r="F1309" s="6">
        <f>C1307-F$3*B1305-0.5*(F$4)*B1305^2</f>
        <v>0</v>
      </c>
      <c r="H1309" s="2">
        <f t="shared" ref="H1309" si="1842">-B$1*SIN(C1307)</f>
        <v>0.83168263466321957</v>
      </c>
      <c r="I1309" s="2">
        <f t="shared" ref="I1309" si="1843">-B$2*SIN(C1308)</f>
        <v>-3.331678636740822</v>
      </c>
      <c r="J1309" s="2">
        <f t="shared" ref="J1309" si="1844">-COS(B$6)</f>
        <v>-1</v>
      </c>
      <c r="L1309" s="2" cm="1">
        <f t="array" ref="L1309:N1311">MINVERSE(H1309:J1311)</f>
        <v>0</v>
      </c>
      <c r="M1309" s="2">
        <v>-1.5406856295574205E-16</v>
      </c>
      <c r="N1309" s="2">
        <v>0.99999999999999967</v>
      </c>
      <c r="O1309" s="10">
        <f t="shared" ref="O1309:O1311" si="1845">-F1307</f>
        <v>6.0012626905003191E-6</v>
      </c>
      <c r="Q1309" s="2" cm="1">
        <f t="array" ref="Q1309:Q1311">MMULT(L1309:N1311,O1309:O1311)</f>
        <v>-6.1595415860381268E-22</v>
      </c>
    </row>
    <row r="1310" spans="1:17" x14ac:dyDescent="0.35">
      <c r="H1310" s="2">
        <f t="shared" ref="H1310" si="1846">B$1*COS(C1307)</f>
        <v>-2.8824128772956255</v>
      </c>
      <c r="I1310" s="2">
        <f t="shared" ref="I1310" si="1847">B$2*COS(C1308)</f>
        <v>4.9899817095340957</v>
      </c>
      <c r="J1310" s="2">
        <f t="shared" ref="J1310" si="1848">-SIN(B$6)</f>
        <v>0</v>
      </c>
      <c r="L1310" s="2">
        <v>0</v>
      </c>
      <c r="M1310" s="2">
        <v>0.2004015361598124</v>
      </c>
      <c r="N1310" s="2">
        <v>0.57763996845686827</v>
      </c>
      <c r="O1310" s="10">
        <f t="shared" si="1845"/>
        <v>3.9979223975805667E-6</v>
      </c>
      <c r="Q1310" s="2">
        <v>8.0118978992286587E-7</v>
      </c>
    </row>
    <row r="1311" spans="1:17" x14ac:dyDescent="0.35">
      <c r="H1311" s="2">
        <v>1</v>
      </c>
      <c r="I1311" s="2">
        <v>0</v>
      </c>
      <c r="J1311" s="2">
        <v>0</v>
      </c>
      <c r="L1311" s="2">
        <v>-1</v>
      </c>
      <c r="M1311" s="2">
        <v>-0.66767351679369047</v>
      </c>
      <c r="N1311" s="2">
        <v>-1.0928281079721711</v>
      </c>
      <c r="O1311" s="10">
        <f t="shared" si="1845"/>
        <v>0</v>
      </c>
      <c r="Q1311" s="2">
        <v>-8.6705695975611985E-6</v>
      </c>
    </row>
    <row r="1314" spans="1:17" x14ac:dyDescent="0.35">
      <c r="A1314" s="1" t="s">
        <v>9</v>
      </c>
      <c r="B1314" s="2">
        <f t="shared" ref="B1314" si="1849">IF(AND((B1305 = B1296), ABS(B1309-B1300) &lt; 0.001),B1305+0.1,B1305)</f>
        <v>3.700000000000002</v>
      </c>
    </row>
    <row r="1315" spans="1:17" x14ac:dyDescent="0.35">
      <c r="C1315" s="1" t="s">
        <v>3</v>
      </c>
    </row>
    <row r="1316" spans="1:17" x14ac:dyDescent="0.35">
      <c r="A1316" s="1" t="s">
        <v>872</v>
      </c>
      <c r="B1316" s="4">
        <f t="shared" ref="B1316:B1317" si="1850">C1316*180/PI()</f>
        <v>196.09480538352446</v>
      </c>
      <c r="C1316" s="2">
        <f t="shared" ref="C1316:C1317" si="1851">C1307+Q1309</f>
        <v>3.4225000000000034</v>
      </c>
      <c r="E1316" s="7" t="s">
        <v>873</v>
      </c>
      <c r="F1316" s="6">
        <f t="shared" ref="F1316" si="1852">-B1318*COS(B$6)+B$1*COS(C1316)+B$2*COS(C1317)-B$3*COS(C$4)</f>
        <v>-1.6015388342761894E-12</v>
      </c>
      <c r="H1316" s="11" t="s">
        <v>14</v>
      </c>
      <c r="I1316" s="12"/>
      <c r="J1316" s="13"/>
      <c r="L1316" s="11" t="s">
        <v>874</v>
      </c>
      <c r="M1316" s="12"/>
      <c r="N1316" s="13"/>
      <c r="O1316" s="14" t="s">
        <v>18</v>
      </c>
      <c r="Q1316" s="16" t="s">
        <v>19</v>
      </c>
    </row>
    <row r="1317" spans="1:17" x14ac:dyDescent="0.35">
      <c r="A1317" s="1" t="s">
        <v>875</v>
      </c>
      <c r="B1317" s="4">
        <f t="shared" si="1850"/>
        <v>33.730032901878602</v>
      </c>
      <c r="C1317" s="2">
        <f t="shared" si="1851"/>
        <v>0.58870013094379903</v>
      </c>
      <c r="E1317" s="7" t="s">
        <v>876</v>
      </c>
      <c r="F1317" s="6">
        <f t="shared" ref="F1317" si="1853">-B1318*SIN(B$6)+B$1*SIN(C1316)+B$2*SIN(C1317)-B$3*SIN(C$4)</f>
        <v>-1.0693668173189508E-12</v>
      </c>
      <c r="H1317" s="8" t="s">
        <v>16</v>
      </c>
      <c r="I1317" s="8" t="s">
        <v>15</v>
      </c>
      <c r="J1317" s="9" t="s">
        <v>8</v>
      </c>
      <c r="L1317" s="8" t="s">
        <v>16</v>
      </c>
      <c r="M1317" s="8" t="s">
        <v>15</v>
      </c>
      <c r="N1317" s="9" t="s">
        <v>8</v>
      </c>
      <c r="O1317" s="15"/>
      <c r="Q1317" s="17"/>
    </row>
    <row r="1318" spans="1:17" x14ac:dyDescent="0.35">
      <c r="A1318" s="1" t="s">
        <v>8</v>
      </c>
      <c r="B1318" s="4">
        <f t="shared" ref="B1318" si="1854">B1309+Q1311</f>
        <v>2.1075661629315636</v>
      </c>
      <c r="C1318" s="2"/>
      <c r="E1318" s="7" t="s">
        <v>877</v>
      </c>
      <c r="F1318" s="6">
        <f>C1316-F$3*B1314-0.5*(F$4)*B1314^2</f>
        <v>0</v>
      </c>
      <c r="H1318" s="2">
        <f t="shared" ref="H1318" si="1855">-B$1*SIN(C1316)</f>
        <v>0.83168263466321957</v>
      </c>
      <c r="I1318" s="2">
        <f t="shared" ref="I1318" si="1856">-B$2*SIN(C1317)</f>
        <v>-3.3316826346621502</v>
      </c>
      <c r="J1318" s="2">
        <f t="shared" ref="J1318" si="1857">-COS(B$6)</f>
        <v>-1</v>
      </c>
      <c r="L1318" s="2" cm="1">
        <f t="array" ref="L1318:N1320">MINVERSE(H1318:J1320)</f>
        <v>0</v>
      </c>
      <c r="M1318" s="2">
        <v>0</v>
      </c>
      <c r="N1318" s="2">
        <v>1</v>
      </c>
      <c r="O1318" s="10">
        <f t="shared" ref="O1318:O1320" si="1858">-F1316</f>
        <v>1.6015388342761894E-12</v>
      </c>
      <c r="Q1318" s="2" cm="1">
        <f t="array" ref="Q1318:Q1320">MMULT(L1318:N1320,O1318:O1320)</f>
        <v>0</v>
      </c>
    </row>
    <row r="1319" spans="1:17" x14ac:dyDescent="0.35">
      <c r="H1319" s="2">
        <f t="shared" ref="H1319" si="1859">B$1*COS(C1316)</f>
        <v>-2.8824128772956255</v>
      </c>
      <c r="I1319" s="2">
        <f t="shared" ref="I1319" si="1860">B$2*COS(C1317)</f>
        <v>4.9899790402255872</v>
      </c>
      <c r="J1319" s="2">
        <f t="shared" ref="J1319" si="1861">-SIN(B$6)</f>
        <v>0</v>
      </c>
      <c r="L1319" s="2">
        <v>0</v>
      </c>
      <c r="M1319" s="2">
        <v>0.20040164336137009</v>
      </c>
      <c r="N1319" s="2">
        <v>0.57764027745601854</v>
      </c>
      <c r="O1319" s="10">
        <f t="shared" si="1858"/>
        <v>1.0693668173189508E-12</v>
      </c>
      <c r="Q1319" s="2">
        <v>2.1430286754683578E-13</v>
      </c>
    </row>
    <row r="1320" spans="1:17" x14ac:dyDescent="0.35">
      <c r="H1320" s="2">
        <v>1</v>
      </c>
      <c r="I1320" s="2">
        <v>0</v>
      </c>
      <c r="J1320" s="2">
        <v>0</v>
      </c>
      <c r="L1320" s="2">
        <v>-1</v>
      </c>
      <c r="M1320" s="2">
        <v>-0.66767467514483414</v>
      </c>
      <c r="N1320" s="2">
        <v>-1.0928314468184237</v>
      </c>
      <c r="O1320" s="10">
        <f t="shared" si="1858"/>
        <v>0</v>
      </c>
      <c r="Q1320" s="2">
        <v>-2.315527976640285E-12</v>
      </c>
    </row>
    <row r="1323" spans="1:17" x14ac:dyDescent="0.35">
      <c r="A1323" s="1" t="s">
        <v>9</v>
      </c>
      <c r="B1323" s="2">
        <f t="shared" ref="B1323" si="1862">IF(AND((B1314 = B1305), ABS(B1318-B1309) &lt; 0.001),B1314+0.1,B1314)</f>
        <v>3.800000000000002</v>
      </c>
    </row>
    <row r="1324" spans="1:17" x14ac:dyDescent="0.35">
      <c r="C1324" s="1" t="s">
        <v>3</v>
      </c>
    </row>
    <row r="1325" spans="1:17" x14ac:dyDescent="0.35">
      <c r="A1325" s="1" t="s">
        <v>878</v>
      </c>
      <c r="B1325" s="4">
        <f t="shared" ref="B1325:B1326" si="1863">C1325*180/PI()</f>
        <v>196.09480538352446</v>
      </c>
      <c r="C1325" s="2">
        <f t="shared" ref="C1325:C1326" si="1864">C1316+Q1318</f>
        <v>3.4225000000000034</v>
      </c>
      <c r="E1325" s="7" t="s">
        <v>879</v>
      </c>
      <c r="F1325" s="6">
        <f t="shared" ref="F1325" si="1865">-B1327*COS(B$6)+B$1*COS(C1325)+B$2*COS(C1326)-B$3*COS(C$4)</f>
        <v>-1.0413219765637027E-15</v>
      </c>
      <c r="H1325" s="11" t="s">
        <v>14</v>
      </c>
      <c r="I1325" s="12"/>
      <c r="J1325" s="13"/>
      <c r="L1325" s="11" t="s">
        <v>880</v>
      </c>
      <c r="M1325" s="12"/>
      <c r="N1325" s="13"/>
      <c r="O1325" s="14" t="s">
        <v>18</v>
      </c>
      <c r="Q1325" s="16" t="s">
        <v>19</v>
      </c>
    </row>
    <row r="1326" spans="1:17" x14ac:dyDescent="0.35">
      <c r="A1326" s="1" t="s">
        <v>881</v>
      </c>
      <c r="B1326" s="4">
        <f t="shared" si="1863"/>
        <v>33.73003290189088</v>
      </c>
      <c r="C1326" s="2">
        <f t="shared" si="1864"/>
        <v>0.5887001309440133</v>
      </c>
      <c r="E1326" s="7" t="s">
        <v>882</v>
      </c>
      <c r="F1326" s="6">
        <f t="shared" ref="F1326" si="1866">-B1327*SIN(B$6)+B$1*SIN(C1325)+B$2*SIN(C1326)-B$3*SIN(C$4)</f>
        <v>0</v>
      </c>
      <c r="H1326" s="8" t="s">
        <v>16</v>
      </c>
      <c r="I1326" s="8" t="s">
        <v>15</v>
      </c>
      <c r="J1326" s="9" t="s">
        <v>8</v>
      </c>
      <c r="L1326" s="8" t="s">
        <v>16</v>
      </c>
      <c r="M1326" s="8" t="s">
        <v>15</v>
      </c>
      <c r="N1326" s="9" t="s">
        <v>8</v>
      </c>
      <c r="O1326" s="15"/>
      <c r="Q1326" s="17"/>
    </row>
    <row r="1327" spans="1:17" x14ac:dyDescent="0.35">
      <c r="A1327" s="1" t="s">
        <v>8</v>
      </c>
      <c r="B1327" s="4">
        <f t="shared" ref="B1327" si="1867">B1318+Q1320</f>
        <v>2.1075661629292481</v>
      </c>
      <c r="C1327" s="2"/>
      <c r="E1327" s="7" t="s">
        <v>883</v>
      </c>
      <c r="F1327" s="6">
        <f>C1325-F$3*B1323-0.5*(F$4)*B1323^2</f>
        <v>-0.18750000000000044</v>
      </c>
      <c r="H1327" s="2">
        <f t="shared" ref="H1327" si="1868">-B$1*SIN(C1325)</f>
        <v>0.83168263466321957</v>
      </c>
      <c r="I1327" s="2">
        <f t="shared" ref="I1327" si="1869">-B$2*SIN(C1326)</f>
        <v>-3.3316826346632196</v>
      </c>
      <c r="J1327" s="2">
        <f t="shared" ref="J1327" si="1870">-COS(B$6)</f>
        <v>-1</v>
      </c>
      <c r="L1327" s="2" cm="1">
        <f t="array" ref="L1327:N1329">MINVERSE(H1327:J1329)</f>
        <v>0</v>
      </c>
      <c r="M1327" s="2">
        <v>-7.7034281477871024E-17</v>
      </c>
      <c r="N1327" s="2">
        <v>0.99999999999999989</v>
      </c>
      <c r="O1327" s="10">
        <f t="shared" ref="O1327:O1329" si="1871">-F1325</f>
        <v>1.0413219765637027E-15</v>
      </c>
      <c r="Q1327" s="2" cm="1">
        <f t="array" ref="Q1327:Q1329">MMULT(L1327:N1329,O1327:O1329)</f>
        <v>0.18750000000000042</v>
      </c>
    </row>
    <row r="1328" spans="1:17" x14ac:dyDescent="0.35">
      <c r="H1328" s="2">
        <f t="shared" ref="H1328" si="1872">B$1*COS(C1325)</f>
        <v>-2.8824128772956255</v>
      </c>
      <c r="I1328" s="2">
        <f t="shared" ref="I1328" si="1873">B$2*COS(C1326)</f>
        <v>4.9899790402248732</v>
      </c>
      <c r="J1328" s="2">
        <f t="shared" ref="J1328" si="1874">-SIN(B$6)</f>
        <v>0</v>
      </c>
      <c r="L1328" s="2">
        <v>0</v>
      </c>
      <c r="M1328" s="2">
        <v>0.20040164336139873</v>
      </c>
      <c r="N1328" s="2">
        <v>0.57764027745610114</v>
      </c>
      <c r="O1328" s="10">
        <f t="shared" si="1871"/>
        <v>0</v>
      </c>
      <c r="Q1328" s="2">
        <v>0.10830755202301921</v>
      </c>
    </row>
    <row r="1329" spans="1:17" x14ac:dyDescent="0.35">
      <c r="H1329" s="2">
        <v>1</v>
      </c>
      <c r="I1329" s="2">
        <v>0</v>
      </c>
      <c r="J1329" s="2">
        <v>0</v>
      </c>
      <c r="L1329" s="2">
        <v>-1</v>
      </c>
      <c r="M1329" s="2">
        <v>-0.66767467514514389</v>
      </c>
      <c r="N1329" s="2">
        <v>-1.0928314468193168</v>
      </c>
      <c r="O1329" s="10">
        <f t="shared" si="1871"/>
        <v>0.18750000000000044</v>
      </c>
      <c r="Q1329" s="2">
        <v>-0.20490589627862343</v>
      </c>
    </row>
    <row r="1332" spans="1:17" x14ac:dyDescent="0.35">
      <c r="A1332" s="1" t="s">
        <v>9</v>
      </c>
      <c r="B1332" s="2">
        <f t="shared" ref="B1332" si="1875">IF(AND((B1323 = B1314), ABS(B1327-B1318) &lt; 0.001),B1323+0.1,B1323)</f>
        <v>3.800000000000002</v>
      </c>
    </row>
    <row r="1333" spans="1:17" x14ac:dyDescent="0.35">
      <c r="C1333" s="1" t="s">
        <v>3</v>
      </c>
    </row>
    <row r="1334" spans="1:17" x14ac:dyDescent="0.35">
      <c r="A1334" s="1" t="s">
        <v>884</v>
      </c>
      <c r="B1334" s="4">
        <f t="shared" ref="B1334:B1335" si="1876">C1334*180/PI()</f>
        <v>206.83776404222743</v>
      </c>
      <c r="C1334" s="2">
        <f t="shared" ref="C1334:C1335" si="1877">C1325+Q1327</f>
        <v>3.6100000000000039</v>
      </c>
      <c r="E1334" s="7" t="s">
        <v>885</v>
      </c>
      <c r="F1334" s="6">
        <f t="shared" ref="F1334" si="1878">-B1336*COS(B$6)+B$1*COS(C1334)+B$2*COS(C1335)-B$3*COS(C$4)</f>
        <v>2.107317173875585E-2</v>
      </c>
      <c r="H1334" s="11" t="s">
        <v>14</v>
      </c>
      <c r="I1334" s="12"/>
      <c r="J1334" s="13"/>
      <c r="L1334" s="11" t="s">
        <v>886</v>
      </c>
      <c r="M1334" s="12"/>
      <c r="N1334" s="13"/>
      <c r="O1334" s="14" t="s">
        <v>18</v>
      </c>
      <c r="Q1334" s="16" t="s">
        <v>19</v>
      </c>
    </row>
    <row r="1335" spans="1:17" x14ac:dyDescent="0.35">
      <c r="A1335" s="1" t="s">
        <v>887</v>
      </c>
      <c r="B1335" s="4">
        <f t="shared" si="1876"/>
        <v>39.935598522203478</v>
      </c>
      <c r="C1335" s="2">
        <f t="shared" si="1877"/>
        <v>0.69700768296703253</v>
      </c>
      <c r="E1335" s="7" t="s">
        <v>888</v>
      </c>
      <c r="F1335" s="6">
        <f t="shared" ref="F1335" si="1879">-B1336*SIN(B$6)+B$1*SIN(C1334)+B$2*SIN(C1335)-B$3*SIN(C$4)</f>
        <v>-2.8403192805828148E-3</v>
      </c>
      <c r="H1335" s="8" t="s">
        <v>16</v>
      </c>
      <c r="I1335" s="8" t="s">
        <v>15</v>
      </c>
      <c r="J1335" s="9" t="s">
        <v>8</v>
      </c>
      <c r="L1335" s="8" t="s">
        <v>16</v>
      </c>
      <c r="M1335" s="8" t="s">
        <v>15</v>
      </c>
      <c r="N1335" s="9" t="s">
        <v>8</v>
      </c>
      <c r="O1335" s="15"/>
      <c r="Q1335" s="17"/>
    </row>
    <row r="1336" spans="1:17" x14ac:dyDescent="0.35">
      <c r="A1336" s="1" t="s">
        <v>8</v>
      </c>
      <c r="B1336" s="4">
        <f t="shared" ref="B1336" si="1880">B1327+Q1329</f>
        <v>1.9026602666506247</v>
      </c>
      <c r="C1336" s="2"/>
      <c r="E1336" s="7" t="s">
        <v>889</v>
      </c>
      <c r="F1336" s="6">
        <f>C1334-F$3*B1332-0.5*(F$4)*B1332^2</f>
        <v>0</v>
      </c>
      <c r="H1336" s="2">
        <f t="shared" ref="H1336" si="1881">-B$1*SIN(C1334)</f>
        <v>1.3543972564842801</v>
      </c>
      <c r="I1336" s="2">
        <f t="shared" ref="I1336" si="1882">-B$2*SIN(C1335)</f>
        <v>-3.8515569372036973</v>
      </c>
      <c r="J1336" s="2">
        <f t="shared" ref="J1336" si="1883">-COS(B$6)</f>
        <v>-1</v>
      </c>
      <c r="L1336" s="2" cm="1">
        <f t="array" ref="L1336:N1338">MINVERSE(H1336:J1338)</f>
        <v>0</v>
      </c>
      <c r="M1336" s="2">
        <v>0</v>
      </c>
      <c r="N1336" s="2">
        <v>1.0000000000000002</v>
      </c>
      <c r="O1336" s="10">
        <f t="shared" ref="O1336:O1338" si="1884">-F1334</f>
        <v>-2.107317173875585E-2</v>
      </c>
      <c r="Q1336" s="2" cm="1">
        <f t="array" ref="Q1336:Q1338">MMULT(L1336:N1338,O1336:O1338)</f>
        <v>0</v>
      </c>
    </row>
    <row r="1337" spans="1:17" x14ac:dyDescent="0.35">
      <c r="H1337" s="2">
        <f t="shared" ref="H1337" si="1885">B$1*COS(C1334)</f>
        <v>-2.6768653443211994</v>
      </c>
      <c r="I1337" s="2">
        <f t="shared" ref="I1337" si="1886">B$2*COS(C1335)</f>
        <v>4.6005987827105805</v>
      </c>
      <c r="J1337" s="2">
        <f t="shared" ref="J1337" si="1887">-SIN(B$6)</f>
        <v>0</v>
      </c>
      <c r="L1337" s="2">
        <v>0</v>
      </c>
      <c r="M1337" s="2">
        <v>0.21736301017121518</v>
      </c>
      <c r="N1337" s="2">
        <v>0.58185150906466232</v>
      </c>
      <c r="O1337" s="10">
        <f t="shared" si="1884"/>
        <v>2.8403192805828148E-3</v>
      </c>
      <c r="Q1337" s="2">
        <v>6.1738034867482095E-4</v>
      </c>
    </row>
    <row r="1338" spans="1:17" x14ac:dyDescent="0.35">
      <c r="H1338" s="2">
        <v>1</v>
      </c>
      <c r="I1338" s="2">
        <v>0</v>
      </c>
      <c r="J1338" s="2">
        <v>0</v>
      </c>
      <c r="L1338" s="2">
        <v>-1</v>
      </c>
      <c r="M1338" s="2">
        <v>-0.83718600971642165</v>
      </c>
      <c r="N1338" s="2">
        <v>-0.88663695967615974</v>
      </c>
      <c r="O1338" s="10">
        <f t="shared" si="1884"/>
        <v>0</v>
      </c>
      <c r="Q1338" s="2">
        <v>1.8695296173924104E-2</v>
      </c>
    </row>
    <row r="1341" spans="1:17" x14ac:dyDescent="0.35">
      <c r="A1341" s="1" t="s">
        <v>9</v>
      </c>
      <c r="B1341" s="2">
        <f t="shared" ref="B1341" si="1888">IF(AND((B1332 = B1323), ABS(B1336-B1327) &lt; 0.001),B1332+0.1,B1332)</f>
        <v>3.800000000000002</v>
      </c>
    </row>
    <row r="1342" spans="1:17" x14ac:dyDescent="0.35">
      <c r="C1342" s="1" t="s">
        <v>3</v>
      </c>
    </row>
    <row r="1343" spans="1:17" x14ac:dyDescent="0.35">
      <c r="A1343" s="1" t="s">
        <v>890</v>
      </c>
      <c r="B1343" s="4">
        <f t="shared" ref="B1343:B1344" si="1889">C1343*180/PI()</f>
        <v>206.83776404222743</v>
      </c>
      <c r="C1343" s="2">
        <f t="shared" ref="C1343:C1344" si="1890">C1334+Q1336</f>
        <v>3.6100000000000039</v>
      </c>
      <c r="E1343" s="7" t="s">
        <v>891</v>
      </c>
      <c r="F1343" s="6">
        <f t="shared" ref="F1343" si="1891">-B1345*COS(B$6)+B$1*COS(C1343)+B$2*COS(C1344)-B$3*COS(C$4)</f>
        <v>-8.7662756802269143E-7</v>
      </c>
      <c r="H1343" s="11" t="s">
        <v>14</v>
      </c>
      <c r="I1343" s="12"/>
      <c r="J1343" s="13"/>
      <c r="L1343" s="11" t="s">
        <v>892</v>
      </c>
      <c r="M1343" s="12"/>
      <c r="N1343" s="13"/>
      <c r="O1343" s="14" t="s">
        <v>18</v>
      </c>
      <c r="Q1343" s="16" t="s">
        <v>19</v>
      </c>
    </row>
    <row r="1344" spans="1:17" x14ac:dyDescent="0.35">
      <c r="A1344" s="1" t="s">
        <v>893</v>
      </c>
      <c r="B1344" s="4">
        <f t="shared" si="1889"/>
        <v>39.970971810536867</v>
      </c>
      <c r="C1344" s="2">
        <f t="shared" si="1890"/>
        <v>0.69762506331570739</v>
      </c>
      <c r="E1344" s="7" t="s">
        <v>894</v>
      </c>
      <c r="F1344" s="6">
        <f t="shared" ref="F1344" si="1892">-B1345*SIN(B$6)+B$1*SIN(C1343)+B$2*SIN(C1344)-B$3*SIN(C$4)</f>
        <v>-7.3420723456507631E-7</v>
      </c>
      <c r="H1344" s="8" t="s">
        <v>16</v>
      </c>
      <c r="I1344" s="8" t="s">
        <v>15</v>
      </c>
      <c r="J1344" s="9" t="s">
        <v>8</v>
      </c>
      <c r="L1344" s="8" t="s">
        <v>16</v>
      </c>
      <c r="M1344" s="8" t="s">
        <v>15</v>
      </c>
      <c r="N1344" s="9" t="s">
        <v>8</v>
      </c>
      <c r="O1344" s="15"/>
      <c r="Q1344" s="17"/>
    </row>
    <row r="1345" spans="1:17" x14ac:dyDescent="0.35">
      <c r="A1345" s="1" t="s">
        <v>8</v>
      </c>
      <c r="B1345" s="4">
        <f t="shared" ref="B1345" si="1893">B1336+Q1338</f>
        <v>1.9213555628245489</v>
      </c>
      <c r="C1345" s="2"/>
      <c r="E1345" s="7" t="s">
        <v>895</v>
      </c>
      <c r="F1345" s="6">
        <f>C1343-F$3*B1341-0.5*(F$4)*B1341^2</f>
        <v>0</v>
      </c>
      <c r="H1345" s="2">
        <f t="shared" ref="H1345" si="1894">-B$1*SIN(C1343)</f>
        <v>1.3543972564842801</v>
      </c>
      <c r="I1345" s="2">
        <f t="shared" ref="I1345" si="1895">-B$2*SIN(C1344)</f>
        <v>-3.8543965222770455</v>
      </c>
      <c r="J1345" s="2">
        <f t="shared" ref="J1345" si="1896">-COS(B$6)</f>
        <v>-1</v>
      </c>
      <c r="L1345" s="2" cm="1">
        <f t="array" ref="L1345:N1347">MINVERSE(H1345:J1347)</f>
        <v>0</v>
      </c>
      <c r="M1345" s="2">
        <v>0</v>
      </c>
      <c r="N1345" s="2">
        <v>1.0000000000000002</v>
      </c>
      <c r="O1345" s="10">
        <f t="shared" ref="O1345:O1347" si="1897">-F1343</f>
        <v>8.7662756802269143E-7</v>
      </c>
      <c r="Q1345" s="2" cm="1">
        <f t="array" ref="Q1345:Q1347">MMULT(L1345:N1347,O1345:O1347)</f>
        <v>0</v>
      </c>
    </row>
    <row r="1346" spans="1:17" x14ac:dyDescent="0.35">
      <c r="H1346" s="2">
        <f t="shared" ref="H1346" si="1898">B$1*COS(C1343)</f>
        <v>-2.6768653443211994</v>
      </c>
      <c r="I1346" s="2">
        <f t="shared" ref="I1346" si="1899">B$2*COS(C1344)</f>
        <v>4.5982200305181804</v>
      </c>
      <c r="J1346" s="2">
        <f t="shared" ref="J1346" si="1900">-SIN(B$6)</f>
        <v>0</v>
      </c>
      <c r="L1346" s="2">
        <v>0</v>
      </c>
      <c r="M1346" s="2">
        <v>0.21747545645120173</v>
      </c>
      <c r="N1346" s="2">
        <v>0.58215251261465617</v>
      </c>
      <c r="O1346" s="10">
        <f t="shared" si="1897"/>
        <v>7.3420723456507631E-7</v>
      </c>
      <c r="Q1346" s="2">
        <v>1.596720534668145E-7</v>
      </c>
    </row>
    <row r="1347" spans="1:17" x14ac:dyDescent="0.35">
      <c r="H1347" s="2">
        <v>1</v>
      </c>
      <c r="I1347" s="2">
        <v>0</v>
      </c>
      <c r="J1347" s="2">
        <v>0</v>
      </c>
      <c r="L1347" s="2">
        <v>-1</v>
      </c>
      <c r="M1347" s="2">
        <v>-0.83823664302612499</v>
      </c>
      <c r="N1347" s="2">
        <v>-0.88944936357249438</v>
      </c>
      <c r="O1347" s="10">
        <f t="shared" si="1897"/>
        <v>0</v>
      </c>
      <c r="Q1347" s="2">
        <v>-1.4920669756100156E-6</v>
      </c>
    </row>
    <row r="1350" spans="1:17" x14ac:dyDescent="0.35">
      <c r="A1350" s="1" t="s">
        <v>9</v>
      </c>
      <c r="B1350" s="2">
        <f t="shared" ref="B1350" si="1901">IF(AND((B1341 = B1332), ABS(B1345-B1336) &lt; 0.001),B1341+0.1,B1341)</f>
        <v>3.800000000000002</v>
      </c>
    </row>
    <row r="1351" spans="1:17" x14ac:dyDescent="0.35">
      <c r="C1351" s="1" t="s">
        <v>3</v>
      </c>
    </row>
    <row r="1352" spans="1:17" x14ac:dyDescent="0.35">
      <c r="A1352" s="1" t="s">
        <v>896</v>
      </c>
      <c r="B1352" s="4">
        <f t="shared" ref="B1352:B1353" si="1902">C1352*180/PI()</f>
        <v>206.83776404222743</v>
      </c>
      <c r="C1352" s="2">
        <f t="shared" ref="C1352:C1353" si="1903">C1343+Q1345</f>
        <v>3.6100000000000039</v>
      </c>
      <c r="E1352" s="7" t="s">
        <v>897</v>
      </c>
      <c r="F1352" s="6">
        <f t="shared" ref="F1352" si="1904">-B1354*COS(B$6)+B$1*COS(C1352)+B$2*COS(C1353)-B$3*COS(C$4)</f>
        <v>-5.7884740837371718E-14</v>
      </c>
      <c r="H1352" s="11" t="s">
        <v>14</v>
      </c>
      <c r="I1352" s="12"/>
      <c r="J1352" s="13"/>
      <c r="L1352" s="11" t="s">
        <v>898</v>
      </c>
      <c r="M1352" s="12"/>
      <c r="N1352" s="13"/>
      <c r="O1352" s="14" t="s">
        <v>18</v>
      </c>
      <c r="Q1352" s="16" t="s">
        <v>19</v>
      </c>
    </row>
    <row r="1353" spans="1:17" x14ac:dyDescent="0.35">
      <c r="A1353" s="1" t="s">
        <v>899</v>
      </c>
      <c r="B1353" s="4">
        <f t="shared" si="1902"/>
        <v>39.970980959071632</v>
      </c>
      <c r="C1353" s="2">
        <f t="shared" si="1903"/>
        <v>0.69762522298776086</v>
      </c>
      <c r="E1353" s="7" t="s">
        <v>900</v>
      </c>
      <c r="F1353" s="6">
        <f t="shared" ref="F1353" si="1905">-B1354*SIN(B$6)+B$1*SIN(C1352)+B$2*SIN(C1353)-B$3*SIN(C$4)</f>
        <v>-4.8849813083506888E-14</v>
      </c>
      <c r="H1353" s="8" t="s">
        <v>16</v>
      </c>
      <c r="I1353" s="8" t="s">
        <v>15</v>
      </c>
      <c r="J1353" s="9" t="s">
        <v>8</v>
      </c>
      <c r="L1353" s="8" t="s">
        <v>16</v>
      </c>
      <c r="M1353" s="8" t="s">
        <v>15</v>
      </c>
      <c r="N1353" s="9" t="s">
        <v>8</v>
      </c>
      <c r="O1353" s="15"/>
      <c r="Q1353" s="17"/>
    </row>
    <row r="1354" spans="1:17" x14ac:dyDescent="0.35">
      <c r="A1354" s="1" t="s">
        <v>8</v>
      </c>
      <c r="B1354" s="4">
        <f t="shared" ref="B1354" si="1906">B1345+Q1347</f>
        <v>1.9213540707575734</v>
      </c>
      <c r="C1354" s="2"/>
      <c r="E1354" s="7" t="s">
        <v>901</v>
      </c>
      <c r="F1354" s="6">
        <f>C1352-F$3*B1350-0.5*(F$4)*B1350^2</f>
        <v>0</v>
      </c>
      <c r="H1354" s="2">
        <f t="shared" ref="H1354" si="1907">-B$1*SIN(C1352)</f>
        <v>1.3543972564842801</v>
      </c>
      <c r="I1354" s="2">
        <f t="shared" ref="I1354" si="1908">-B$2*SIN(C1353)</f>
        <v>-3.8543972564842313</v>
      </c>
      <c r="J1354" s="2">
        <f t="shared" ref="J1354" si="1909">-COS(B$6)</f>
        <v>-1</v>
      </c>
      <c r="L1354" s="2" cm="1">
        <f t="array" ref="L1354:N1356">MINVERSE(H1354:J1356)</f>
        <v>0</v>
      </c>
      <c r="M1354" s="2">
        <v>0</v>
      </c>
      <c r="N1354" s="2">
        <v>1</v>
      </c>
      <c r="O1354" s="10">
        <f t="shared" ref="O1354:O1356" si="1910">-F1352</f>
        <v>5.7884740837371718E-14</v>
      </c>
      <c r="Q1354" s="2" cm="1">
        <f t="array" ref="Q1354:Q1356">MMULT(L1354:N1356,O1354:O1356)</f>
        <v>0</v>
      </c>
    </row>
    <row r="1355" spans="1:17" x14ac:dyDescent="0.35">
      <c r="H1355" s="2">
        <f t="shared" ref="H1355" si="1911">B$1*COS(C1352)</f>
        <v>-2.6768653443211994</v>
      </c>
      <c r="I1355" s="2">
        <f t="shared" ref="I1355" si="1912">B$2*COS(C1353)</f>
        <v>4.5982194150787148</v>
      </c>
      <c r="J1355" s="2">
        <f t="shared" ref="J1355" si="1913">-SIN(B$6)</f>
        <v>0</v>
      </c>
      <c r="L1355" s="2">
        <v>0</v>
      </c>
      <c r="M1355" s="2">
        <v>0.2174754855587685</v>
      </c>
      <c r="N1355" s="2">
        <v>0.58215259053169288</v>
      </c>
      <c r="O1355" s="10">
        <f t="shared" si="1910"/>
        <v>4.8849813083506888E-14</v>
      </c>
      <c r="Q1355" s="2">
        <v>1.0623636819790743E-14</v>
      </c>
    </row>
    <row r="1356" spans="1:17" x14ac:dyDescent="0.35">
      <c r="H1356" s="2">
        <v>1</v>
      </c>
      <c r="I1356" s="2">
        <v>0</v>
      </c>
      <c r="J1356" s="2">
        <v>0</v>
      </c>
      <c r="L1356" s="2">
        <v>-1</v>
      </c>
      <c r="M1356" s="2">
        <v>-0.83823691489029339</v>
      </c>
      <c r="N1356" s="2">
        <v>-0.88945009131626507</v>
      </c>
      <c r="O1356" s="10">
        <f t="shared" si="1910"/>
        <v>0</v>
      </c>
      <c r="Q1356" s="2">
        <v>-9.8832457449458019E-14</v>
      </c>
    </row>
    <row r="1359" spans="1:17" x14ac:dyDescent="0.35">
      <c r="A1359" s="1" t="s">
        <v>9</v>
      </c>
      <c r="B1359" s="2">
        <f t="shared" ref="B1359" si="1914">IF(AND((B1350 = B1341), ABS(B1354-B1345) &lt; 0.001),B1350+0.1,B1350)</f>
        <v>3.9000000000000021</v>
      </c>
    </row>
    <row r="1360" spans="1:17" x14ac:dyDescent="0.35">
      <c r="C1360" s="1" t="s">
        <v>3</v>
      </c>
    </row>
    <row r="1361" spans="1:17" x14ac:dyDescent="0.35">
      <c r="A1361" s="1" t="s">
        <v>902</v>
      </c>
      <c r="B1361" s="4">
        <f t="shared" ref="B1361:B1362" si="1915">C1361*180/PI()</f>
        <v>206.83776404222743</v>
      </c>
      <c r="C1361" s="2">
        <f t="shared" ref="C1361:C1362" si="1916">C1352+Q1354</f>
        <v>3.6100000000000039</v>
      </c>
      <c r="E1361" s="7" t="s">
        <v>903</v>
      </c>
      <c r="F1361" s="6">
        <f t="shared" ref="F1361" si="1917">-B1363*COS(B$6)+B$1*COS(C1361)+B$2*COS(C1362)-B$3*COS(C$4)</f>
        <v>-1.0413219765637027E-15</v>
      </c>
      <c r="H1361" s="11" t="s">
        <v>14</v>
      </c>
      <c r="I1361" s="12"/>
      <c r="J1361" s="13"/>
      <c r="L1361" s="11" t="s">
        <v>904</v>
      </c>
      <c r="M1361" s="12"/>
      <c r="N1361" s="13"/>
      <c r="O1361" s="14" t="s">
        <v>18</v>
      </c>
      <c r="Q1361" s="16" t="s">
        <v>19</v>
      </c>
    </row>
    <row r="1362" spans="1:17" x14ac:dyDescent="0.35">
      <c r="A1362" s="1" t="s">
        <v>905</v>
      </c>
      <c r="B1362" s="4">
        <f t="shared" si="1915"/>
        <v>39.970980959072243</v>
      </c>
      <c r="C1362" s="2">
        <f t="shared" si="1916"/>
        <v>0.69762522298777152</v>
      </c>
      <c r="E1362" s="7" t="s">
        <v>906</v>
      </c>
      <c r="F1362" s="6">
        <f t="shared" ref="F1362" si="1918">-B1363*SIN(B$6)+B$1*SIN(C1361)+B$2*SIN(C1362)-B$3*SIN(C$4)</f>
        <v>0</v>
      </c>
      <c r="H1362" s="8" t="s">
        <v>16</v>
      </c>
      <c r="I1362" s="8" t="s">
        <v>15</v>
      </c>
      <c r="J1362" s="9" t="s">
        <v>8</v>
      </c>
      <c r="L1362" s="8" t="s">
        <v>16</v>
      </c>
      <c r="M1362" s="8" t="s">
        <v>15</v>
      </c>
      <c r="N1362" s="9" t="s">
        <v>8</v>
      </c>
      <c r="O1362" s="15"/>
      <c r="Q1362" s="17"/>
    </row>
    <row r="1363" spans="1:17" x14ac:dyDescent="0.35">
      <c r="A1363" s="1" t="s">
        <v>8</v>
      </c>
      <c r="B1363" s="4">
        <f t="shared" ref="B1363" si="1919">B1354+Q1356</f>
        <v>1.9213540707574746</v>
      </c>
      <c r="C1363" s="2"/>
      <c r="E1363" s="7" t="s">
        <v>907</v>
      </c>
      <c r="F1363" s="6">
        <f>C1361-F$3*B1359-0.5*(F$4)*B1359^2</f>
        <v>-0.19250000000000034</v>
      </c>
      <c r="H1363" s="2">
        <f t="shared" ref="H1363" si="1920">-B$1*SIN(C1361)</f>
        <v>1.3543972564842801</v>
      </c>
      <c r="I1363" s="2">
        <f t="shared" ref="I1363" si="1921">-B$2*SIN(C1362)</f>
        <v>-3.8543972564842797</v>
      </c>
      <c r="J1363" s="2">
        <f t="shared" ref="J1363" si="1922">-COS(B$6)</f>
        <v>-1</v>
      </c>
      <c r="L1363" s="2" cm="1">
        <f t="array" ref="L1363:N1365">MINVERSE(H1363:J1365)</f>
        <v>0</v>
      </c>
      <c r="M1363" s="2">
        <v>0</v>
      </c>
      <c r="N1363" s="2">
        <v>1.0000000000000002</v>
      </c>
      <c r="O1363" s="10">
        <f t="shared" ref="O1363:O1365" si="1923">-F1361</f>
        <v>1.0413219765637027E-15</v>
      </c>
      <c r="Q1363" s="2" cm="1">
        <f t="array" ref="Q1363:Q1365">MMULT(L1363:N1365,O1363:O1365)</f>
        <v>0.19250000000000039</v>
      </c>
    </row>
    <row r="1364" spans="1:17" x14ac:dyDescent="0.35">
      <c r="H1364" s="2">
        <f t="shared" ref="H1364" si="1924">B$1*COS(C1361)</f>
        <v>-2.6768653443211994</v>
      </c>
      <c r="I1364" s="2">
        <f t="shared" ref="I1364" si="1925">B$2*COS(C1362)</f>
        <v>4.598219415078673</v>
      </c>
      <c r="J1364" s="2">
        <f t="shared" ref="J1364" si="1926">-SIN(B$6)</f>
        <v>0</v>
      </c>
      <c r="L1364" s="2">
        <v>0</v>
      </c>
      <c r="M1364" s="2">
        <v>0.2174754855587705</v>
      </c>
      <c r="N1364" s="2">
        <v>0.58215259053169821</v>
      </c>
      <c r="O1364" s="10">
        <f t="shared" si="1923"/>
        <v>0</v>
      </c>
      <c r="Q1364" s="2">
        <v>0.1120643736773521</v>
      </c>
    </row>
    <row r="1365" spans="1:17" x14ac:dyDescent="0.35">
      <c r="H1365" s="2">
        <v>1</v>
      </c>
      <c r="I1365" s="2">
        <v>0</v>
      </c>
      <c r="J1365" s="2">
        <v>0</v>
      </c>
      <c r="L1365" s="2">
        <v>-1</v>
      </c>
      <c r="M1365" s="2">
        <v>-0.83823691489031149</v>
      </c>
      <c r="N1365" s="2">
        <v>-0.88945009131631347</v>
      </c>
      <c r="O1365" s="10">
        <f t="shared" si="1923"/>
        <v>0.19250000000000034</v>
      </c>
      <c r="Q1365" s="2">
        <v>-0.17121914257839169</v>
      </c>
    </row>
    <row r="1368" spans="1:17" x14ac:dyDescent="0.35">
      <c r="A1368" s="1" t="s">
        <v>9</v>
      </c>
      <c r="B1368" s="2">
        <f t="shared" ref="B1368" si="1927">IF(AND((B1359 = B1350), ABS(B1363-B1354) &lt; 0.001),B1359+0.1,B1359)</f>
        <v>3.9000000000000021</v>
      </c>
    </row>
    <row r="1369" spans="1:17" x14ac:dyDescent="0.35">
      <c r="C1369" s="1" t="s">
        <v>3</v>
      </c>
    </row>
    <row r="1370" spans="1:17" x14ac:dyDescent="0.35">
      <c r="A1370" s="1" t="s">
        <v>908</v>
      </c>
      <c r="B1370" s="4">
        <f t="shared" ref="B1370:B1371" si="1928">C1370*180/PI()</f>
        <v>217.86720159849577</v>
      </c>
      <c r="C1370" s="2">
        <f t="shared" ref="C1370:C1371" si="1929">C1361+Q1363</f>
        <v>3.8025000000000042</v>
      </c>
      <c r="E1370" s="7" t="s">
        <v>909</v>
      </c>
      <c r="F1370" s="6">
        <f t="shared" ref="F1370" si="1930">-B1372*COS(B$6)+B$1*COS(C1370)+B$2*COS(C1371)-B$3*COS(C$4)</f>
        <v>1.9897606112863134E-2</v>
      </c>
      <c r="H1370" s="11" t="s">
        <v>14</v>
      </c>
      <c r="I1370" s="12"/>
      <c r="J1370" s="13"/>
      <c r="L1370" s="11" t="s">
        <v>910</v>
      </c>
      <c r="M1370" s="12"/>
      <c r="N1370" s="13"/>
      <c r="O1370" s="14" t="s">
        <v>18</v>
      </c>
      <c r="Q1370" s="16" t="s">
        <v>19</v>
      </c>
    </row>
    <row r="1371" spans="1:17" x14ac:dyDescent="0.35">
      <c r="A1371" s="1" t="s">
        <v>911</v>
      </c>
      <c r="B1371" s="4">
        <f t="shared" si="1928"/>
        <v>46.391796604561485</v>
      </c>
      <c r="C1371" s="2">
        <f t="shared" si="1929"/>
        <v>0.80968959666512363</v>
      </c>
      <c r="E1371" s="7" t="s">
        <v>912</v>
      </c>
      <c r="F1371" s="6">
        <f t="shared" ref="F1371" si="1931">-B1372*SIN(B$6)+B$1*SIN(C1370)+B$2*SIN(C1371)-B$3*SIN(C$4)</f>
        <v>2.9385128845365038E-3</v>
      </c>
      <c r="H1371" s="8" t="s">
        <v>16</v>
      </c>
      <c r="I1371" s="8" t="s">
        <v>15</v>
      </c>
      <c r="J1371" s="9" t="s">
        <v>8</v>
      </c>
      <c r="L1371" s="8" t="s">
        <v>16</v>
      </c>
      <c r="M1371" s="8" t="s">
        <v>15</v>
      </c>
      <c r="N1371" s="9" t="s">
        <v>8</v>
      </c>
      <c r="O1371" s="15"/>
      <c r="Q1371" s="17"/>
    </row>
    <row r="1372" spans="1:17" x14ac:dyDescent="0.35">
      <c r="A1372" s="1" t="s">
        <v>8</v>
      </c>
      <c r="B1372" s="4">
        <f t="shared" ref="B1372" si="1932">B1363+Q1365</f>
        <v>1.7501349281790828</v>
      </c>
      <c r="C1372" s="2"/>
      <c r="E1372" s="7" t="s">
        <v>913</v>
      </c>
      <c r="F1372" s="6">
        <f>C1370-F$3*B1368-0.5*(F$4)*B1368^2</f>
        <v>0</v>
      </c>
      <c r="H1372" s="2">
        <f t="shared" ref="H1372" si="1933">-B$1*SIN(C1370)</f>
        <v>1.8415001883233519</v>
      </c>
      <c r="I1372" s="2">
        <f t="shared" ref="I1372" si="1934">-B$2*SIN(C1371)</f>
        <v>-4.3444387012078884</v>
      </c>
      <c r="J1372" s="2">
        <f t="shared" ref="J1372" si="1935">-COS(B$6)</f>
        <v>-1</v>
      </c>
      <c r="L1372" s="2" cm="1">
        <f t="array" ref="L1372:N1374">MINVERSE(H1372:J1374)</f>
        <v>0</v>
      </c>
      <c r="M1372" s="2">
        <v>0</v>
      </c>
      <c r="N1372" s="2">
        <v>1.0000000000000002</v>
      </c>
      <c r="O1372" s="10">
        <f t="shared" ref="O1372:O1374" si="1936">-F1370</f>
        <v>-1.9897606112863134E-2</v>
      </c>
      <c r="Q1372" s="2" cm="1">
        <f t="array" ref="Q1372:Q1374">MMULT(L1372:N1374,O1372:O1374)</f>
        <v>0</v>
      </c>
    </row>
    <row r="1373" spans="1:17" x14ac:dyDescent="0.35">
      <c r="H1373" s="2">
        <f t="shared" ref="H1373" si="1937">B$1*COS(C1370)</f>
        <v>-2.3683067910228734</v>
      </c>
      <c r="I1373" s="2">
        <f t="shared" ref="I1373" si="1938">B$2*COS(C1371)</f>
        <v>4.1383393253148197</v>
      </c>
      <c r="J1373" s="2">
        <f t="shared" ref="J1373" si="1939">-SIN(B$6)</f>
        <v>0</v>
      </c>
      <c r="L1373" s="2">
        <v>0</v>
      </c>
      <c r="M1373" s="2">
        <v>0.24164282370052537</v>
      </c>
      <c r="N1373" s="2">
        <v>0.57228434037189724</v>
      </c>
      <c r="O1373" s="10">
        <f t="shared" si="1936"/>
        <v>-2.9385128845365038E-3</v>
      </c>
      <c r="Q1373" s="2">
        <v>-7.1007055089977668E-4</v>
      </c>
    </row>
    <row r="1374" spans="1:17" x14ac:dyDescent="0.35">
      <c r="H1374" s="2">
        <v>1</v>
      </c>
      <c r="I1374" s="2">
        <v>0</v>
      </c>
      <c r="J1374" s="2">
        <v>0</v>
      </c>
      <c r="L1374" s="2">
        <v>-1</v>
      </c>
      <c r="M1374" s="2">
        <v>-1.0498024351537172</v>
      </c>
      <c r="N1374" s="2">
        <v>-0.64475404808354608</v>
      </c>
      <c r="O1374" s="10">
        <f t="shared" si="1936"/>
        <v>0</v>
      </c>
      <c r="Q1374" s="2">
        <v>2.2982464094780129E-2</v>
      </c>
    </row>
    <row r="1377" spans="1:17" x14ac:dyDescent="0.35">
      <c r="A1377" s="1" t="s">
        <v>9</v>
      </c>
      <c r="B1377" s="2">
        <f t="shared" ref="B1377" si="1940">IF(AND((B1368 = B1359), ABS(B1372-B1363) &lt; 0.001),B1368+0.1,B1368)</f>
        <v>3.9000000000000021</v>
      </c>
    </row>
    <row r="1378" spans="1:17" x14ac:dyDescent="0.35">
      <c r="C1378" s="1" t="s">
        <v>3</v>
      </c>
    </row>
    <row r="1379" spans="1:17" x14ac:dyDescent="0.35">
      <c r="A1379" s="1" t="s">
        <v>914</v>
      </c>
      <c r="B1379" s="4">
        <f t="shared" ref="B1379:B1380" si="1941">C1379*180/PI()</f>
        <v>217.86720159849577</v>
      </c>
      <c r="C1379" s="2">
        <f t="shared" ref="C1379:C1380" si="1942">C1370+Q1372</f>
        <v>3.8025000000000042</v>
      </c>
      <c r="E1379" s="7" t="s">
        <v>915</v>
      </c>
      <c r="F1379" s="6">
        <f t="shared" ref="F1379" si="1943">-B1381*COS(B$6)+B$1*COS(C1379)+B$2*COS(C1380)-B$3*COS(C$4)</f>
        <v>-1.0435349190739845E-6</v>
      </c>
      <c r="H1379" s="11" t="s">
        <v>14</v>
      </c>
      <c r="I1379" s="12"/>
      <c r="J1379" s="13"/>
      <c r="L1379" s="11" t="s">
        <v>916</v>
      </c>
      <c r="M1379" s="12"/>
      <c r="N1379" s="13"/>
      <c r="O1379" s="14" t="s">
        <v>18</v>
      </c>
      <c r="Q1379" s="16" t="s">
        <v>19</v>
      </c>
    </row>
    <row r="1380" spans="1:17" x14ac:dyDescent="0.35">
      <c r="A1380" s="1" t="s">
        <v>917</v>
      </c>
      <c r="B1380" s="4">
        <f t="shared" si="1941"/>
        <v>46.351112558838388</v>
      </c>
      <c r="C1380" s="2">
        <f t="shared" si="1942"/>
        <v>0.80897952611422386</v>
      </c>
      <c r="E1380" s="7" t="s">
        <v>918</v>
      </c>
      <c r="F1380" s="6">
        <f t="shared" ref="F1380" si="1944">-B1381*SIN(B$6)+B$1*SIN(C1379)+B$2*SIN(C1380)-B$3*SIN(C$4)</f>
        <v>-1.0949864246434515E-6</v>
      </c>
      <c r="H1380" s="8" t="s">
        <v>16</v>
      </c>
      <c r="I1380" s="8" t="s">
        <v>15</v>
      </c>
      <c r="J1380" s="9" t="s">
        <v>8</v>
      </c>
      <c r="L1380" s="8" t="s">
        <v>16</v>
      </c>
      <c r="M1380" s="8" t="s">
        <v>15</v>
      </c>
      <c r="N1380" s="9" t="s">
        <v>8</v>
      </c>
      <c r="O1380" s="15"/>
      <c r="Q1380" s="17"/>
    </row>
    <row r="1381" spans="1:17" x14ac:dyDescent="0.35">
      <c r="A1381" s="1" t="s">
        <v>8</v>
      </c>
      <c r="B1381" s="4">
        <f t="shared" ref="B1381" si="1945">B1372+Q1374</f>
        <v>1.773117392273863</v>
      </c>
      <c r="C1381" s="2"/>
      <c r="E1381" s="7" t="s">
        <v>919</v>
      </c>
      <c r="F1381" s="6">
        <f>C1379-F$3*B1377-0.5*(F$4)*B1377^2</f>
        <v>0</v>
      </c>
      <c r="H1381" s="2">
        <f t="shared" ref="H1381" si="1946">-B$1*SIN(C1379)</f>
        <v>1.8415001883233519</v>
      </c>
      <c r="I1381" s="2">
        <f t="shared" ref="I1381" si="1947">-B$2*SIN(C1380)</f>
        <v>-4.3414990933369273</v>
      </c>
      <c r="J1381" s="2">
        <f t="shared" ref="J1381" si="1948">-COS(B$6)</f>
        <v>-1</v>
      </c>
      <c r="L1381" s="2" cm="1">
        <f t="array" ref="L1381:N1383">MINVERSE(H1381:J1383)</f>
        <v>0</v>
      </c>
      <c r="M1381" s="2">
        <v>0</v>
      </c>
      <c r="N1381" s="2">
        <v>1</v>
      </c>
      <c r="O1381" s="10">
        <f t="shared" ref="O1381:O1383" si="1949">-F1379</f>
        <v>1.0435349190739845E-6</v>
      </c>
      <c r="Q1381" s="2" cm="1">
        <f t="array" ref="Q1381:Q1383">MMULT(L1381:N1383,O1381:O1383)</f>
        <v>0</v>
      </c>
    </row>
    <row r="1382" spans="1:17" x14ac:dyDescent="0.35">
      <c r="H1382" s="2">
        <f t="shared" ref="H1382" si="1950">B$1*COS(C1379)</f>
        <v>-2.3683067910228734</v>
      </c>
      <c r="I1382" s="2">
        <f t="shared" ref="I1382" si="1951">B$2*COS(C1380)</f>
        <v>4.1414231397618178</v>
      </c>
      <c r="J1382" s="2">
        <f t="shared" ref="J1382" si="1952">-SIN(B$6)</f>
        <v>0</v>
      </c>
      <c r="L1382" s="2">
        <v>0</v>
      </c>
      <c r="M1382" s="2">
        <v>0.24146288999039886</v>
      </c>
      <c r="N1382" s="2">
        <v>0.57185820214427063</v>
      </c>
      <c r="O1382" s="10">
        <f t="shared" si="1949"/>
        <v>1.0949864246434515E-6</v>
      </c>
      <c r="Q1382" s="2">
        <v>2.6439858659466193E-7</v>
      </c>
    </row>
    <row r="1383" spans="1:17" x14ac:dyDescent="0.35">
      <c r="H1383" s="2">
        <v>1</v>
      </c>
      <c r="I1383" s="2">
        <v>0</v>
      </c>
      <c r="J1383" s="2">
        <v>0</v>
      </c>
      <c r="L1383" s="2">
        <v>-1</v>
      </c>
      <c r="M1383" s="2">
        <v>-1.0483109179678309</v>
      </c>
      <c r="N1383" s="2">
        <v>-0.64122167780328432</v>
      </c>
      <c r="O1383" s="10">
        <f t="shared" si="1949"/>
        <v>0</v>
      </c>
      <c r="Q1383" s="2">
        <v>-2.1914211430542745E-6</v>
      </c>
    </row>
    <row r="1386" spans="1:17" x14ac:dyDescent="0.35">
      <c r="A1386" s="1" t="s">
        <v>9</v>
      </c>
      <c r="B1386" s="2">
        <f t="shared" ref="B1386" si="1953">IF(AND((B1377 = B1368), ABS(B1381-B1372) &lt; 0.001),B1377+0.1,B1377)</f>
        <v>3.9000000000000021</v>
      </c>
    </row>
    <row r="1387" spans="1:17" x14ac:dyDescent="0.35">
      <c r="C1387" s="1" t="s">
        <v>3</v>
      </c>
    </row>
    <row r="1388" spans="1:17" x14ac:dyDescent="0.35">
      <c r="A1388" s="1" t="s">
        <v>920</v>
      </c>
      <c r="B1388" s="4">
        <f t="shared" ref="B1388:B1389" si="1954">C1388*180/PI()</f>
        <v>217.86720159849577</v>
      </c>
      <c r="C1388" s="2">
        <f t="shared" ref="C1388:C1389" si="1955">C1379+Q1381</f>
        <v>3.8025000000000042</v>
      </c>
      <c r="E1388" s="7" t="s">
        <v>921</v>
      </c>
      <c r="F1388" s="6">
        <f t="shared" ref="F1388" si="1956">-B1390*COS(B$6)+B$1*COS(C1388)+B$2*COS(C1389)-B$3*COS(C$4)</f>
        <v>-1.4403804754828387E-13</v>
      </c>
      <c r="H1388" s="11" t="s">
        <v>14</v>
      </c>
      <c r="I1388" s="12"/>
      <c r="J1388" s="13"/>
      <c r="L1388" s="11" t="s">
        <v>922</v>
      </c>
      <c r="M1388" s="12"/>
      <c r="N1388" s="13"/>
      <c r="O1388" s="14" t="s">
        <v>18</v>
      </c>
      <c r="Q1388" s="16" t="s">
        <v>19</v>
      </c>
    </row>
    <row r="1389" spans="1:17" x14ac:dyDescent="0.35">
      <c r="A1389" s="1" t="s">
        <v>923</v>
      </c>
      <c r="B1389" s="4">
        <f t="shared" si="1954"/>
        <v>46.351127707761506</v>
      </c>
      <c r="C1389" s="2">
        <f t="shared" si="1955"/>
        <v>0.80897979051281044</v>
      </c>
      <c r="E1389" s="7" t="s">
        <v>924</v>
      </c>
      <c r="F1389" s="6">
        <f t="shared" ref="F1389" si="1957">-B1390*SIN(B$6)+B$1*SIN(C1388)+B$2*SIN(C1389)-B$3*SIN(C$4)</f>
        <v>-1.5143442055887135E-13</v>
      </c>
      <c r="H1389" s="8" t="s">
        <v>16</v>
      </c>
      <c r="I1389" s="8" t="s">
        <v>15</v>
      </c>
      <c r="J1389" s="9" t="s">
        <v>8</v>
      </c>
      <c r="L1389" s="8" t="s">
        <v>16</v>
      </c>
      <c r="M1389" s="8" t="s">
        <v>15</v>
      </c>
      <c r="N1389" s="9" t="s">
        <v>8</v>
      </c>
      <c r="O1389" s="15"/>
      <c r="Q1389" s="17"/>
    </row>
    <row r="1390" spans="1:17" x14ac:dyDescent="0.35">
      <c r="A1390" s="1" t="s">
        <v>8</v>
      </c>
      <c r="B1390" s="4">
        <f t="shared" ref="B1390" si="1958">B1381+Q1383</f>
        <v>1.77311520085272</v>
      </c>
      <c r="C1390" s="2"/>
      <c r="E1390" s="7" t="s">
        <v>925</v>
      </c>
      <c r="F1390" s="6">
        <f>C1388-F$3*B1386-0.5*(F$4)*B1386^2</f>
        <v>0</v>
      </c>
      <c r="H1390" s="2">
        <f t="shared" ref="H1390" si="1959">-B$1*SIN(C1388)</f>
        <v>1.8415001883233519</v>
      </c>
      <c r="I1390" s="2">
        <f t="shared" ref="I1390" si="1960">-B$2*SIN(C1389)</f>
        <v>-4.3415001883232005</v>
      </c>
      <c r="J1390" s="2">
        <f t="shared" ref="J1390" si="1961">-COS(B$6)</f>
        <v>-1</v>
      </c>
      <c r="L1390" s="2" cm="1">
        <f t="array" ref="L1390:N1392">MINVERSE(H1390:J1392)</f>
        <v>0</v>
      </c>
      <c r="M1390" s="2">
        <v>0</v>
      </c>
      <c r="N1390" s="2">
        <v>1</v>
      </c>
      <c r="O1390" s="10">
        <f t="shared" ref="O1390:O1392" si="1962">-F1388</f>
        <v>1.4403804754828387E-13</v>
      </c>
      <c r="Q1390" s="2" cm="1">
        <f t="array" ref="Q1390:Q1392">MMULT(L1390:N1392,O1390:O1392)</f>
        <v>0</v>
      </c>
    </row>
    <row r="1391" spans="1:17" x14ac:dyDescent="0.35">
      <c r="H1391" s="2">
        <f t="shared" ref="H1391" si="1963">B$1*COS(C1388)</f>
        <v>-2.3683067910228734</v>
      </c>
      <c r="I1391" s="2">
        <f t="shared" ref="I1391" si="1964">B$2*COS(C1389)</f>
        <v>4.1414219918754496</v>
      </c>
      <c r="J1391" s="2">
        <f t="shared" ref="J1391" si="1965">-SIN(B$6)</f>
        <v>0</v>
      </c>
      <c r="L1391" s="2">
        <v>0</v>
      </c>
      <c r="M1391" s="2">
        <v>0.24146295691715985</v>
      </c>
      <c r="N1391" s="2">
        <v>0.57185836064737317</v>
      </c>
      <c r="O1391" s="10">
        <f t="shared" si="1962"/>
        <v>1.5143442055887135E-13</v>
      </c>
      <c r="Q1391" s="2">
        <v>3.6565802967181822E-14</v>
      </c>
    </row>
    <row r="1392" spans="1:17" x14ac:dyDescent="0.35">
      <c r="H1392" s="2">
        <v>1</v>
      </c>
      <c r="I1392" s="2">
        <v>0</v>
      </c>
      <c r="J1392" s="2">
        <v>0</v>
      </c>
      <c r="L1392" s="2">
        <v>-1</v>
      </c>
      <c r="M1392" s="2">
        <v>-1.0483114729289262</v>
      </c>
      <c r="N1392" s="2">
        <v>-0.64122299212141542</v>
      </c>
      <c r="O1392" s="10">
        <f t="shared" si="1962"/>
        <v>0</v>
      </c>
      <c r="Q1392" s="2">
        <v>-3.0278848801649276E-13</v>
      </c>
    </row>
    <row r="1395" spans="1:17" x14ac:dyDescent="0.35">
      <c r="A1395" s="1" t="s">
        <v>9</v>
      </c>
      <c r="B1395" s="2">
        <f t="shared" ref="B1395" si="1966">IF(AND((B1386 = B1377), ABS(B1390-B1381) &lt; 0.001),B1386+0.1,B1386)</f>
        <v>4.0000000000000018</v>
      </c>
    </row>
    <row r="1396" spans="1:17" x14ac:dyDescent="0.35">
      <c r="C1396" s="1" t="s">
        <v>3</v>
      </c>
    </row>
    <row r="1397" spans="1:17" x14ac:dyDescent="0.35">
      <c r="A1397" s="1" t="s">
        <v>926</v>
      </c>
      <c r="B1397" s="4">
        <f t="shared" ref="B1397:B1398" si="1967">C1397*180/PI()</f>
        <v>217.86720159849577</v>
      </c>
      <c r="C1397" s="2">
        <f t="shared" ref="C1397:C1398" si="1968">C1388+Q1390</f>
        <v>3.8025000000000042</v>
      </c>
      <c r="E1397" s="7" t="s">
        <v>927</v>
      </c>
      <c r="F1397" s="6">
        <f t="shared" ref="F1397" si="1969">-B1399*COS(B$6)+B$1*COS(C1397)+B$2*COS(C1398)-B$3*COS(C$4)</f>
        <v>-1.531435568635775E-16</v>
      </c>
      <c r="H1397" s="11" t="s">
        <v>14</v>
      </c>
      <c r="I1397" s="12"/>
      <c r="J1397" s="13"/>
      <c r="L1397" s="11" t="s">
        <v>928</v>
      </c>
      <c r="M1397" s="12"/>
      <c r="N1397" s="13"/>
      <c r="O1397" s="14" t="s">
        <v>18</v>
      </c>
      <c r="Q1397" s="16" t="s">
        <v>19</v>
      </c>
    </row>
    <row r="1398" spans="1:17" x14ac:dyDescent="0.35">
      <c r="A1398" s="1" t="s">
        <v>929</v>
      </c>
      <c r="B1398" s="4">
        <f t="shared" si="1967"/>
        <v>46.351127707763609</v>
      </c>
      <c r="C1398" s="2">
        <f t="shared" si="1968"/>
        <v>0.80897979051284696</v>
      </c>
      <c r="E1398" s="7" t="s">
        <v>930</v>
      </c>
      <c r="F1398" s="6">
        <f t="shared" ref="F1398" si="1970">-B1399*SIN(B$6)+B$1*SIN(C1397)+B$2*SIN(C1398)-B$3*SIN(C$4)</f>
        <v>0</v>
      </c>
      <c r="H1398" s="8" t="s">
        <v>16</v>
      </c>
      <c r="I1398" s="8" t="s">
        <v>15</v>
      </c>
      <c r="J1398" s="9" t="s">
        <v>8</v>
      </c>
      <c r="L1398" s="8" t="s">
        <v>16</v>
      </c>
      <c r="M1398" s="8" t="s">
        <v>15</v>
      </c>
      <c r="N1398" s="9" t="s">
        <v>8</v>
      </c>
      <c r="O1398" s="15"/>
      <c r="Q1398" s="17"/>
    </row>
    <row r="1399" spans="1:17" x14ac:dyDescent="0.35">
      <c r="A1399" s="1" t="s">
        <v>8</v>
      </c>
      <c r="B1399" s="4">
        <f t="shared" ref="B1399" si="1971">B1390+Q1392</f>
        <v>1.7731152008524171</v>
      </c>
      <c r="C1399" s="2"/>
      <c r="E1399" s="7" t="s">
        <v>931</v>
      </c>
      <c r="F1399" s="6">
        <f>C1397-F$3*B1395-0.5*(F$4)*B1395^2</f>
        <v>-0.19749999999999934</v>
      </c>
      <c r="H1399" s="2">
        <f t="shared" ref="H1399" si="1972">-B$1*SIN(C1397)</f>
        <v>1.8415001883233519</v>
      </c>
      <c r="I1399" s="2">
        <f t="shared" ref="I1399" si="1973">-B$2*SIN(C1398)</f>
        <v>-4.3415001883233515</v>
      </c>
      <c r="J1399" s="2">
        <f t="shared" ref="J1399" si="1974">-COS(B$6)</f>
        <v>-1</v>
      </c>
      <c r="L1399" s="2" cm="1">
        <f t="array" ref="L1399:N1401">MINVERSE(H1399:J1401)</f>
        <v>0</v>
      </c>
      <c r="M1399" s="2">
        <v>-4.6878344850991638E-17</v>
      </c>
      <c r="N1399" s="2">
        <v>1</v>
      </c>
      <c r="O1399" s="10">
        <f t="shared" ref="O1399:O1401" si="1975">-F1397</f>
        <v>1.531435568635775E-16</v>
      </c>
      <c r="Q1399" s="2" cm="1">
        <f t="array" ref="Q1399:Q1401">MMULT(L1399:N1401,O1399:O1401)</f>
        <v>0.19749999999999934</v>
      </c>
    </row>
    <row r="1400" spans="1:17" x14ac:dyDescent="0.35">
      <c r="H1400" s="2">
        <f t="shared" ref="H1400" si="1976">B$1*COS(C1397)</f>
        <v>-2.3683067910228734</v>
      </c>
      <c r="I1400" s="2">
        <f t="shared" ref="I1400" si="1977">B$2*COS(C1398)</f>
        <v>4.1414219918752906</v>
      </c>
      <c r="J1400" s="2">
        <f t="shared" ref="J1400" si="1978">-SIN(B$6)</f>
        <v>0</v>
      </c>
      <c r="L1400" s="2">
        <v>0</v>
      </c>
      <c r="M1400" s="2">
        <v>0.2414629569171691</v>
      </c>
      <c r="N1400" s="2">
        <v>0.57185836064739515</v>
      </c>
      <c r="O1400" s="10">
        <f t="shared" si="1975"/>
        <v>0</v>
      </c>
      <c r="Q1400" s="2">
        <v>0.11294202622786016</v>
      </c>
    </row>
    <row r="1401" spans="1:17" x14ac:dyDescent="0.35">
      <c r="H1401" s="2">
        <v>1</v>
      </c>
      <c r="I1401" s="2">
        <v>0</v>
      </c>
      <c r="J1401" s="2">
        <v>0</v>
      </c>
      <c r="L1401" s="2">
        <v>-1</v>
      </c>
      <c r="M1401" s="2">
        <v>-1.0483114729290031</v>
      </c>
      <c r="N1401" s="2">
        <v>-0.64122299212159728</v>
      </c>
      <c r="O1401" s="10">
        <f t="shared" si="1975"/>
        <v>0.19749999999999934</v>
      </c>
      <c r="Q1401" s="2">
        <v>-0.1266415409440152</v>
      </c>
    </row>
    <row r="1404" spans="1:17" x14ac:dyDescent="0.35">
      <c r="A1404" s="1" t="s">
        <v>9</v>
      </c>
      <c r="B1404" s="2">
        <f t="shared" ref="B1404" si="1979">IF(AND((B1395 = B1386), ABS(B1399-B1390) &lt; 0.001),B1395+0.1,B1395)</f>
        <v>4.0000000000000018</v>
      </c>
    </row>
    <row r="1405" spans="1:17" x14ac:dyDescent="0.35">
      <c r="C1405" s="1" t="s">
        <v>3</v>
      </c>
    </row>
    <row r="1406" spans="1:17" x14ac:dyDescent="0.35">
      <c r="A1406" s="1" t="s">
        <v>932</v>
      </c>
      <c r="B1406" s="4">
        <f t="shared" ref="B1406:B1407" si="1980">C1406*180/PI()</f>
        <v>229.18311805232952</v>
      </c>
      <c r="C1406" s="2">
        <f t="shared" ref="C1406:C1407" si="1981">C1397+Q1399</f>
        <v>4.0000000000000036</v>
      </c>
      <c r="E1406" s="7" t="s">
        <v>933</v>
      </c>
      <c r="F1406" s="6">
        <f t="shared" ref="F1406" si="1982">-B1408*COS(B$6)+B$1*COS(C1406)+B$2*COS(C1407)-B$3*COS(C$4)</f>
        <v>1.8335707365478029E-2</v>
      </c>
      <c r="H1406" s="11" t="s">
        <v>14</v>
      </c>
      <c r="I1406" s="12"/>
      <c r="J1406" s="13"/>
      <c r="L1406" s="11" t="s">
        <v>934</v>
      </c>
      <c r="M1406" s="12"/>
      <c r="N1406" s="13"/>
      <c r="O1406" s="14" t="s">
        <v>18</v>
      </c>
      <c r="Q1406" s="16" t="s">
        <v>19</v>
      </c>
    </row>
    <row r="1407" spans="1:17" x14ac:dyDescent="0.35">
      <c r="A1407" s="1" t="s">
        <v>935</v>
      </c>
      <c r="B1407" s="4">
        <f t="shared" si="1980"/>
        <v>52.822229140275844</v>
      </c>
      <c r="C1407" s="2">
        <f t="shared" si="1981"/>
        <v>0.92192181674070717</v>
      </c>
      <c r="E1407" s="7" t="s">
        <v>936</v>
      </c>
      <c r="F1407" s="6">
        <f t="shared" ref="F1407" si="1983">-B1408*SIN(B$6)+B$1*SIN(C1406)+B$2*SIN(C1407)-B$3*SIN(C$4)</f>
        <v>1.0179066534035996E-2</v>
      </c>
      <c r="H1407" s="8" t="s">
        <v>16</v>
      </c>
      <c r="I1407" s="8" t="s">
        <v>15</v>
      </c>
      <c r="J1407" s="9" t="s">
        <v>8</v>
      </c>
      <c r="L1407" s="8" t="s">
        <v>16</v>
      </c>
      <c r="M1407" s="8" t="s">
        <v>15</v>
      </c>
      <c r="N1407" s="9" t="s">
        <v>8</v>
      </c>
      <c r="O1407" s="15"/>
      <c r="Q1407" s="17"/>
    </row>
    <row r="1408" spans="1:17" x14ac:dyDescent="0.35">
      <c r="A1408" s="1" t="s">
        <v>8</v>
      </c>
      <c r="B1408" s="4">
        <f t="shared" ref="B1408" si="1984">B1399+Q1401</f>
        <v>1.646473659908402</v>
      </c>
      <c r="C1408" s="2"/>
      <c r="E1408" s="7" t="s">
        <v>937</v>
      </c>
      <c r="F1408" s="6">
        <f>C1406-F$3*B1404-0.5*(F$4)*B1404^2</f>
        <v>0</v>
      </c>
      <c r="H1408" s="2">
        <f t="shared" ref="H1408" si="1985">-B$1*SIN(C1406)</f>
        <v>2.2704074859237915</v>
      </c>
      <c r="I1408" s="2">
        <f t="shared" ref="I1408" si="1986">-B$2*SIN(C1407)</f>
        <v>-4.7805865524578275</v>
      </c>
      <c r="J1408" s="2">
        <f t="shared" ref="J1408" si="1987">-COS(B$6)</f>
        <v>-1</v>
      </c>
      <c r="L1408" s="2" cm="1">
        <f t="array" ref="L1408:N1410">MINVERSE(H1408:J1410)</f>
        <v>0</v>
      </c>
      <c r="M1408" s="2">
        <v>0</v>
      </c>
      <c r="N1408" s="2">
        <v>1.0000000000000002</v>
      </c>
      <c r="O1408" s="10">
        <f t="shared" ref="O1408:O1410" si="1988">-F1406</f>
        <v>-1.8335707365478029E-2</v>
      </c>
      <c r="Q1408" s="2" cm="1">
        <f t="array" ref="Q1408:Q1410">MMULT(L1408:N1410,O1408:O1410)</f>
        <v>0</v>
      </c>
    </row>
    <row r="1409" spans="1:17" x14ac:dyDescent="0.35">
      <c r="H1409" s="2">
        <f t="shared" ref="H1409" si="1989">B$1*COS(C1406)</f>
        <v>-1.9609308625908279</v>
      </c>
      <c r="I1409" s="2">
        <f t="shared" ref="I1409" si="1990">B$2*COS(C1407)</f>
        <v>3.6257402298647081</v>
      </c>
      <c r="J1409" s="2">
        <f t="shared" ref="J1409" si="1991">-SIN(B$6)</f>
        <v>0</v>
      </c>
      <c r="L1409" s="2">
        <v>0</v>
      </c>
      <c r="M1409" s="2">
        <v>0.27580574906143079</v>
      </c>
      <c r="N1409" s="2">
        <v>0.54083600541454091</v>
      </c>
      <c r="O1409" s="10">
        <f t="shared" si="1988"/>
        <v>-1.0179066534035996E-2</v>
      </c>
      <c r="Q1409" s="2">
        <v>-2.8074450701659403E-3</v>
      </c>
    </row>
    <row r="1410" spans="1:17" x14ac:dyDescent="0.35">
      <c r="H1410" s="2">
        <v>1</v>
      </c>
      <c r="I1410" s="2">
        <v>0</v>
      </c>
      <c r="J1410" s="2">
        <v>0</v>
      </c>
      <c r="L1410" s="2">
        <v>-1</v>
      </c>
      <c r="M1410" s="2">
        <v>-1.318513255053634</v>
      </c>
      <c r="N1410" s="2">
        <v>-0.31510584864597141</v>
      </c>
      <c r="O1410" s="10">
        <f t="shared" si="1988"/>
        <v>0</v>
      </c>
      <c r="Q1410" s="2">
        <v>3.1756941514677346E-2</v>
      </c>
    </row>
    <row r="1413" spans="1:17" x14ac:dyDescent="0.35">
      <c r="A1413" s="1" t="s">
        <v>9</v>
      </c>
      <c r="B1413" s="2">
        <f t="shared" ref="B1413" si="1992">IF(AND((B1404 = B1395), ABS(B1408-B1399) &lt; 0.001),B1404+0.1,B1404)</f>
        <v>4.0000000000000018</v>
      </c>
    </row>
    <row r="1414" spans="1:17" x14ac:dyDescent="0.35">
      <c r="C1414" s="1" t="s">
        <v>3</v>
      </c>
    </row>
    <row r="1415" spans="1:17" x14ac:dyDescent="0.35">
      <c r="A1415" s="1" t="s">
        <v>938</v>
      </c>
      <c r="B1415" s="4">
        <f t="shared" ref="B1415:B1416" si="1993">C1415*180/PI()</f>
        <v>229.18311805232952</v>
      </c>
      <c r="C1415" s="2">
        <f t="shared" ref="C1415:C1416" si="1994">C1406+Q1408</f>
        <v>4.0000000000000036</v>
      </c>
      <c r="E1415" s="7" t="s">
        <v>939</v>
      </c>
      <c r="F1415" s="6">
        <f t="shared" ref="F1415" si="1995">-B1417*COS(B$6)+B$1*COS(C1415)+B$2*COS(C1416)-B$3*COS(C$4)</f>
        <v>-1.4306206152767608E-5</v>
      </c>
      <c r="H1415" s="11" t="s">
        <v>14</v>
      </c>
      <c r="I1415" s="12"/>
      <c r="J1415" s="13"/>
      <c r="L1415" s="11" t="s">
        <v>940</v>
      </c>
      <c r="M1415" s="12"/>
      <c r="N1415" s="13"/>
      <c r="O1415" s="14" t="s">
        <v>18</v>
      </c>
      <c r="Q1415" s="16" t="s">
        <v>19</v>
      </c>
    </row>
    <row r="1416" spans="1:17" x14ac:dyDescent="0.35">
      <c r="A1416" s="1" t="s">
        <v>941</v>
      </c>
      <c r="B1416" s="4">
        <f t="shared" si="1993"/>
        <v>52.661374386540523</v>
      </c>
      <c r="C1416" s="2">
        <f t="shared" si="1994"/>
        <v>0.91911437167054122</v>
      </c>
      <c r="E1416" s="7" t="s">
        <v>942</v>
      </c>
      <c r="F1416" s="6">
        <f t="shared" ref="F1416" si="1996">-B1417*SIN(B$6)+B$1*SIN(C1415)+B$2*SIN(C1416)-B$3*SIN(C$4)</f>
        <v>-1.8826304981622854E-5</v>
      </c>
      <c r="H1416" s="8" t="s">
        <v>16</v>
      </c>
      <c r="I1416" s="8" t="s">
        <v>15</v>
      </c>
      <c r="J1416" s="9" t="s">
        <v>8</v>
      </c>
      <c r="L1416" s="8" t="s">
        <v>16</v>
      </c>
      <c r="M1416" s="8" t="s">
        <v>15</v>
      </c>
      <c r="N1416" s="9" t="s">
        <v>8</v>
      </c>
      <c r="O1416" s="15"/>
      <c r="Q1416" s="17"/>
    </row>
    <row r="1417" spans="1:17" x14ac:dyDescent="0.35">
      <c r="A1417" s="1" t="s">
        <v>8</v>
      </c>
      <c r="B1417" s="4">
        <f t="shared" ref="B1417" si="1997">B1408+Q1410</f>
        <v>1.6782306014230794</v>
      </c>
      <c r="C1417" s="2"/>
      <c r="E1417" s="7" t="s">
        <v>943</v>
      </c>
      <c r="F1417" s="6">
        <f>C1415-F$3*B1413-0.5*(F$4)*B1413^2</f>
        <v>0</v>
      </c>
      <c r="H1417" s="2">
        <f t="shared" ref="H1417" si="1998">-B$1*SIN(C1415)</f>
        <v>2.2704074859237915</v>
      </c>
      <c r="I1417" s="2">
        <f t="shared" ref="I1417" si="1999">-B$2*SIN(C1416)</f>
        <v>-4.7703886596188099</v>
      </c>
      <c r="J1417" s="2">
        <f t="shared" ref="J1417" si="2000">-COS(B$6)</f>
        <v>-1</v>
      </c>
      <c r="L1417" s="2" cm="1">
        <f t="array" ref="L1417:N1419">MINVERSE(H1417:J1419)</f>
        <v>0</v>
      </c>
      <c r="M1417" s="2">
        <v>0</v>
      </c>
      <c r="N1417" s="2">
        <v>1</v>
      </c>
      <c r="O1417" s="10">
        <f t="shared" ref="O1417:O1419" si="2001">-F1415</f>
        <v>1.4306206152767608E-5</v>
      </c>
      <c r="Q1417" s="2" cm="1">
        <f t="array" ref="Q1417:Q1419">MMULT(L1417:N1419,O1417:O1419)</f>
        <v>0</v>
      </c>
    </row>
    <row r="1418" spans="1:17" x14ac:dyDescent="0.35">
      <c r="H1418" s="2">
        <f t="shared" ref="H1418" si="2002">B$1*COS(C1415)</f>
        <v>-1.9609308625908279</v>
      </c>
      <c r="I1418" s="2">
        <f t="shared" ref="I1418" si="2003">B$2*COS(C1416)</f>
        <v>3.6391471578077548</v>
      </c>
      <c r="J1418" s="2">
        <f t="shared" ref="J1418" si="2004">-SIN(B$6)</f>
        <v>0</v>
      </c>
      <c r="L1418" s="2">
        <v>0</v>
      </c>
      <c r="M1418" s="2">
        <v>0.27478965720155335</v>
      </c>
      <c r="N1418" s="2">
        <v>0.53884351952727993</v>
      </c>
      <c r="O1418" s="10">
        <f t="shared" si="2001"/>
        <v>1.8826304981622854E-5</v>
      </c>
      <c r="Q1418" s="2">
        <v>5.1732738922720406E-6</v>
      </c>
    </row>
    <row r="1419" spans="1:17" x14ac:dyDescent="0.35">
      <c r="H1419" s="2">
        <v>1</v>
      </c>
      <c r="I1419" s="2">
        <v>0</v>
      </c>
      <c r="J1419" s="2">
        <v>0</v>
      </c>
      <c r="L1419" s="2">
        <v>-1</v>
      </c>
      <c r="M1419" s="2">
        <v>-1.3108534644948304</v>
      </c>
      <c r="N1419" s="2">
        <v>-0.30008552893823143</v>
      </c>
      <c r="O1419" s="10">
        <f t="shared" si="2001"/>
        <v>0</v>
      </c>
      <c r="Q1419" s="2">
        <v>-3.8984733261564211E-5</v>
      </c>
    </row>
    <row r="1422" spans="1:17" x14ac:dyDescent="0.35">
      <c r="A1422" s="1" t="s">
        <v>9</v>
      </c>
      <c r="B1422" s="2">
        <f t="shared" ref="B1422" si="2005">IF(AND((B1413 = B1404), ABS(B1417-B1408) &lt; 0.001),B1413+0.1,B1413)</f>
        <v>4.0000000000000018</v>
      </c>
    </row>
    <row r="1423" spans="1:17" x14ac:dyDescent="0.35">
      <c r="C1423" s="1" t="s">
        <v>3</v>
      </c>
    </row>
    <row r="1424" spans="1:17" x14ac:dyDescent="0.35">
      <c r="A1424" s="1" t="s">
        <v>944</v>
      </c>
      <c r="B1424" s="4">
        <f t="shared" ref="B1424:B1425" si="2006">C1424*180/PI()</f>
        <v>229.18311805232952</v>
      </c>
      <c r="C1424" s="2">
        <f t="shared" ref="C1424:C1425" si="2007">C1415+Q1417</f>
        <v>4.0000000000000036</v>
      </c>
      <c r="E1424" s="7" t="s">
        <v>945</v>
      </c>
      <c r="F1424" s="6">
        <f t="shared" ref="F1424" si="2008">-B1426*COS(B$6)+B$1*COS(C1424)+B$2*COS(C1425)-B$3*COS(C$4)</f>
        <v>-4.869631136045563E-11</v>
      </c>
      <c r="H1424" s="11" t="s">
        <v>14</v>
      </c>
      <c r="I1424" s="12"/>
      <c r="J1424" s="13"/>
      <c r="L1424" s="11" t="s">
        <v>946</v>
      </c>
      <c r="M1424" s="12"/>
      <c r="N1424" s="13"/>
      <c r="O1424" s="14" t="s">
        <v>18</v>
      </c>
      <c r="Q1424" s="16" t="s">
        <v>19</v>
      </c>
    </row>
    <row r="1425" spans="1:17" x14ac:dyDescent="0.35">
      <c r="A1425" s="1" t="s">
        <v>947</v>
      </c>
      <c r="B1425" s="4">
        <f t="shared" si="2006"/>
        <v>52.661670793300821</v>
      </c>
      <c r="C1425" s="2">
        <f t="shared" si="2007"/>
        <v>0.91911954494443349</v>
      </c>
      <c r="E1425" s="7" t="s">
        <v>948</v>
      </c>
      <c r="F1425" s="6">
        <f t="shared" ref="F1425" si="2009">-B1426*SIN(B$6)+B$1*SIN(C1424)+B$2*SIN(C1425)-B$3*SIN(C$4)</f>
        <v>-6.3835159380687401E-11</v>
      </c>
      <c r="H1425" s="8" t="s">
        <v>16</v>
      </c>
      <c r="I1425" s="8" t="s">
        <v>15</v>
      </c>
      <c r="J1425" s="9" t="s">
        <v>8</v>
      </c>
      <c r="L1425" s="8" t="s">
        <v>16</v>
      </c>
      <c r="M1425" s="8" t="s">
        <v>15</v>
      </c>
      <c r="N1425" s="9" t="s">
        <v>8</v>
      </c>
      <c r="O1425" s="15"/>
      <c r="Q1425" s="17"/>
    </row>
    <row r="1426" spans="1:17" x14ac:dyDescent="0.35">
      <c r="A1426" s="1" t="s">
        <v>8</v>
      </c>
      <c r="B1426" s="4">
        <f t="shared" ref="B1426" si="2010">B1417+Q1419</f>
        <v>1.6781916166898179</v>
      </c>
      <c r="C1426" s="2"/>
      <c r="E1426" s="7" t="s">
        <v>949</v>
      </c>
      <c r="F1426" s="6">
        <f>C1424-F$3*B1422-0.5*(F$4)*B1422^2</f>
        <v>0</v>
      </c>
      <c r="H1426" s="2">
        <f t="shared" ref="H1426" si="2011">-B$1*SIN(C1424)</f>
        <v>2.2704074859237915</v>
      </c>
      <c r="I1426" s="2">
        <f t="shared" ref="I1426" si="2012">-B$2*SIN(C1425)</f>
        <v>-4.7704074858599563</v>
      </c>
      <c r="J1426" s="2">
        <f t="shared" ref="J1426" si="2013">-COS(B$6)</f>
        <v>-1</v>
      </c>
      <c r="L1426" s="2" cm="1">
        <f t="array" ref="L1426:N1428">MINVERSE(H1426:J1428)</f>
        <v>0</v>
      </c>
      <c r="M1426" s="2">
        <v>0</v>
      </c>
      <c r="N1426" s="2">
        <v>1.0000000000000002</v>
      </c>
      <c r="O1426" s="10">
        <f t="shared" ref="O1426:O1428" si="2014">-F1424</f>
        <v>4.869631136045563E-11</v>
      </c>
      <c r="Q1426" s="2" cm="1">
        <f t="array" ref="Q1426:Q1428">MMULT(L1426:N1428,O1426:O1428)</f>
        <v>0</v>
      </c>
    </row>
    <row r="1427" spans="1:17" x14ac:dyDescent="0.35">
      <c r="H1427" s="2">
        <f t="shared" ref="H1427" si="2015">B$1*COS(C1424)</f>
        <v>-1.9609308625908279</v>
      </c>
      <c r="I1427" s="2">
        <f t="shared" ref="I1427" si="2016">B$2*COS(C1425)</f>
        <v>3.6391224792319496</v>
      </c>
      <c r="J1427" s="2">
        <f t="shared" ref="J1427" si="2017">-SIN(B$6)</f>
        <v>0</v>
      </c>
      <c r="L1427" s="2">
        <v>0</v>
      </c>
      <c r="M1427" s="2">
        <v>0.27479152067754903</v>
      </c>
      <c r="N1427" s="2">
        <v>0.53884717367487167</v>
      </c>
      <c r="O1427" s="10">
        <f t="shared" si="2014"/>
        <v>6.3835159380687401E-11</v>
      </c>
      <c r="Q1427" s="2">
        <v>1.7541360518912798E-11</v>
      </c>
    </row>
    <row r="1428" spans="1:17" x14ac:dyDescent="0.35">
      <c r="H1428" s="2">
        <v>1</v>
      </c>
      <c r="I1428" s="2">
        <v>0</v>
      </c>
      <c r="J1428" s="2">
        <v>0</v>
      </c>
      <c r="L1428" s="2">
        <v>-1</v>
      </c>
      <c r="M1428" s="2">
        <v>-1.3108675272910209</v>
      </c>
      <c r="N1428" s="2">
        <v>-0.30011310510929601</v>
      </c>
      <c r="O1428" s="10">
        <f t="shared" si="2014"/>
        <v>0</v>
      </c>
      <c r="Q1428" s="2">
        <v>-1.3237574889204554E-10</v>
      </c>
    </row>
    <row r="1431" spans="1:17" x14ac:dyDescent="0.35">
      <c r="A1431" s="1" t="s">
        <v>9</v>
      </c>
      <c r="B1431" s="2">
        <f t="shared" ref="B1431" si="2018">IF(AND((B1422 = B1413), ABS(B1426-B1417) &lt; 0.001),B1422+0.1,B1422)</f>
        <v>4.1000000000000014</v>
      </c>
    </row>
    <row r="1432" spans="1:17" x14ac:dyDescent="0.35">
      <c r="C1432" s="1" t="s">
        <v>3</v>
      </c>
    </row>
    <row r="1433" spans="1:17" x14ac:dyDescent="0.35">
      <c r="A1433" s="1" t="s">
        <v>950</v>
      </c>
      <c r="B1433" s="4">
        <f t="shared" ref="B1433:B1434" si="2019">C1433*180/PI()</f>
        <v>229.18311805232952</v>
      </c>
      <c r="C1433" s="2">
        <f t="shared" ref="C1433:C1434" si="2020">C1424+Q1426</f>
        <v>4.0000000000000036</v>
      </c>
      <c r="E1433" s="7" t="s">
        <v>951</v>
      </c>
      <c r="F1433" s="6">
        <f t="shared" ref="F1433" si="2021">-B1435*COS(B$6)+B$1*COS(C1433)+B$2*COS(C1434)-B$3*COS(C$4)</f>
        <v>-1.531435568635775E-16</v>
      </c>
      <c r="H1433" s="11" t="s">
        <v>14</v>
      </c>
      <c r="I1433" s="12"/>
      <c r="J1433" s="13"/>
      <c r="L1433" s="11" t="s">
        <v>952</v>
      </c>
      <c r="M1433" s="12"/>
      <c r="N1433" s="13"/>
      <c r="O1433" s="14" t="s">
        <v>18</v>
      </c>
      <c r="Q1433" s="16" t="s">
        <v>19</v>
      </c>
    </row>
    <row r="1434" spans="1:17" x14ac:dyDescent="0.35">
      <c r="A1434" s="1" t="s">
        <v>953</v>
      </c>
      <c r="B1434" s="4">
        <f t="shared" si="2019"/>
        <v>52.66167079430587</v>
      </c>
      <c r="C1434" s="2">
        <f t="shared" si="2020"/>
        <v>0.9191195449619749</v>
      </c>
      <c r="E1434" s="7" t="s">
        <v>954</v>
      </c>
      <c r="F1434" s="6">
        <f t="shared" ref="F1434" si="2022">-B1435*SIN(B$6)+B$1*SIN(C1433)+B$2*SIN(C1434)-B$3*SIN(C$4)</f>
        <v>0</v>
      </c>
      <c r="H1434" s="8" t="s">
        <v>16</v>
      </c>
      <c r="I1434" s="8" t="s">
        <v>15</v>
      </c>
      <c r="J1434" s="9" t="s">
        <v>8</v>
      </c>
      <c r="L1434" s="8" t="s">
        <v>16</v>
      </c>
      <c r="M1434" s="8" t="s">
        <v>15</v>
      </c>
      <c r="N1434" s="9" t="s">
        <v>8</v>
      </c>
      <c r="O1434" s="15"/>
      <c r="Q1434" s="17"/>
    </row>
    <row r="1435" spans="1:17" x14ac:dyDescent="0.35">
      <c r="A1435" s="1" t="s">
        <v>8</v>
      </c>
      <c r="B1435" s="4">
        <f t="shared" ref="B1435" si="2023">B1426+Q1428</f>
        <v>1.6781916165574422</v>
      </c>
      <c r="C1435" s="2"/>
      <c r="E1435" s="7" t="s">
        <v>955</v>
      </c>
      <c r="F1435" s="6">
        <f>C1433-F$3*B1431-0.5*(F$4)*B1431^2</f>
        <v>-0.20249999999999968</v>
      </c>
      <c r="H1435" s="2">
        <f t="shared" ref="H1435" si="2024">-B$1*SIN(C1433)</f>
        <v>2.2704074859237915</v>
      </c>
      <c r="I1435" s="2">
        <f t="shared" ref="I1435" si="2025">-B$2*SIN(C1434)</f>
        <v>-4.7704074859237915</v>
      </c>
      <c r="J1435" s="2">
        <f t="shared" ref="J1435" si="2026">-COS(B$6)</f>
        <v>-1</v>
      </c>
      <c r="L1435" s="2" cm="1">
        <f t="array" ref="L1435:N1437">MINVERSE(H1435:J1437)</f>
        <v>0</v>
      </c>
      <c r="M1435" s="2">
        <v>0</v>
      </c>
      <c r="N1435" s="2">
        <v>1.0000000000000002</v>
      </c>
      <c r="O1435" s="10">
        <f t="shared" ref="O1435:O1437" si="2027">-F1433</f>
        <v>1.531435568635775E-16</v>
      </c>
      <c r="Q1435" s="2" cm="1">
        <f t="array" ref="Q1435:Q1437">MMULT(L1435:N1437,O1435:O1437)</f>
        <v>0.20249999999999974</v>
      </c>
    </row>
    <row r="1436" spans="1:17" x14ac:dyDescent="0.35">
      <c r="H1436" s="2">
        <f t="shared" ref="H1436" si="2028">B$1*COS(C1433)</f>
        <v>-1.9609308625908279</v>
      </c>
      <c r="I1436" s="2">
        <f t="shared" ref="I1436" si="2029">B$2*COS(C1434)</f>
        <v>3.6391224791482699</v>
      </c>
      <c r="J1436" s="2">
        <f t="shared" ref="J1436" si="2030">-SIN(B$6)</f>
        <v>0</v>
      </c>
      <c r="L1436" s="2">
        <v>0</v>
      </c>
      <c r="M1436" s="2">
        <v>0.27479152068386781</v>
      </c>
      <c r="N1436" s="2">
        <v>0.53884717368726232</v>
      </c>
      <c r="O1436" s="10">
        <f t="shared" si="2027"/>
        <v>0</v>
      </c>
      <c r="Q1436" s="2">
        <v>0.10911655267167045</v>
      </c>
    </row>
    <row r="1437" spans="1:17" x14ac:dyDescent="0.35">
      <c r="H1437" s="2">
        <v>1</v>
      </c>
      <c r="I1437" s="2">
        <v>0</v>
      </c>
      <c r="J1437" s="2">
        <v>0</v>
      </c>
      <c r="L1437" s="2">
        <v>-1</v>
      </c>
      <c r="M1437" s="2">
        <v>-1.3108675273387054</v>
      </c>
      <c r="N1437" s="2">
        <v>-0.30011310520280171</v>
      </c>
      <c r="O1437" s="10">
        <f t="shared" si="2027"/>
        <v>0.20249999999999968</v>
      </c>
      <c r="Q1437" s="2">
        <v>-6.0772903803567403E-2</v>
      </c>
    </row>
    <row r="1440" spans="1:17" x14ac:dyDescent="0.35">
      <c r="A1440" s="1" t="s">
        <v>9</v>
      </c>
      <c r="B1440" s="2">
        <f t="shared" ref="B1440" si="2031">IF(AND((B1431 = B1422), ABS(B1435-B1426) &lt; 0.001),B1431+0.1,B1431)</f>
        <v>4.1000000000000014</v>
      </c>
    </row>
    <row r="1441" spans="1:17" x14ac:dyDescent="0.35">
      <c r="C1441" s="1" t="s">
        <v>3</v>
      </c>
    </row>
    <row r="1442" spans="1:17" x14ac:dyDescent="0.35">
      <c r="A1442" s="1" t="s">
        <v>956</v>
      </c>
      <c r="B1442" s="4">
        <f t="shared" ref="B1442:B1443" si="2032">C1442*180/PI()</f>
        <v>240.78551340372866</v>
      </c>
      <c r="C1442" s="2">
        <f t="shared" ref="C1442:C1443" si="2033">C1433+Q1435</f>
        <v>4.2025000000000032</v>
      </c>
      <c r="E1442" s="7" t="s">
        <v>957</v>
      </c>
      <c r="F1442" s="6">
        <f t="shared" ref="F1442" si="2034">-B1444*COS(B$6)+B$1*COS(C1442)+B$2*COS(C1443)-B$3*COS(C$4)</f>
        <v>1.632164096375173E-2</v>
      </c>
      <c r="H1442" s="11" t="s">
        <v>14</v>
      </c>
      <c r="I1442" s="12"/>
      <c r="J1442" s="13"/>
      <c r="L1442" s="11" t="s">
        <v>958</v>
      </c>
      <c r="M1442" s="12"/>
      <c r="N1442" s="13"/>
      <c r="O1442" s="14" t="s">
        <v>18</v>
      </c>
      <c r="Q1442" s="16" t="s">
        <v>19</v>
      </c>
    </row>
    <row r="1443" spans="1:17" x14ac:dyDescent="0.35">
      <c r="A1443" s="1" t="s">
        <v>959</v>
      </c>
      <c r="B1443" s="4">
        <f t="shared" si="2032"/>
        <v>58.913588737409533</v>
      </c>
      <c r="C1443" s="2">
        <f t="shared" si="2033"/>
        <v>1.0282360976336453</v>
      </c>
      <c r="E1443" s="7" t="s">
        <v>960</v>
      </c>
      <c r="F1443" s="6">
        <f t="shared" ref="F1443" si="2035">-B1444*SIN(B$6)+B$1*SIN(C1442)+B$2*SIN(C1443)-B$3*SIN(C$4)</f>
        <v>1.9941296258073837E-2</v>
      </c>
      <c r="H1443" s="8" t="s">
        <v>16</v>
      </c>
      <c r="I1443" s="8" t="s">
        <v>15</v>
      </c>
      <c r="J1443" s="9" t="s">
        <v>8</v>
      </c>
      <c r="L1443" s="8" t="s">
        <v>16</v>
      </c>
      <c r="M1443" s="8" t="s">
        <v>15</v>
      </c>
      <c r="N1443" s="9" t="s">
        <v>8</v>
      </c>
      <c r="O1443" s="15"/>
      <c r="Q1443" s="17"/>
    </row>
    <row r="1444" spans="1:17" x14ac:dyDescent="0.35">
      <c r="A1444" s="1" t="s">
        <v>8</v>
      </c>
      <c r="B1444" s="4">
        <f t="shared" ref="B1444" si="2036">B1435+Q1437</f>
        <v>1.6174187127538748</v>
      </c>
      <c r="C1444" s="2"/>
      <c r="E1444" s="7" t="s">
        <v>961</v>
      </c>
      <c r="F1444" s="6">
        <f>C1442-F$3*B1440-0.5*(F$4)*B1440^2</f>
        <v>0</v>
      </c>
      <c r="H1444" s="2">
        <f t="shared" ref="H1444" si="2037">-B$1*SIN(C1442)</f>
        <v>2.618396098552052</v>
      </c>
      <c r="I1444" s="2">
        <f t="shared" ref="I1444" si="2038">-B$2*SIN(C1443)</f>
        <v>-5.1383373948101259</v>
      </c>
      <c r="J1444" s="2">
        <f t="shared" ref="J1444" si="2039">-COS(B$6)</f>
        <v>-1</v>
      </c>
      <c r="L1444" s="2" cm="1">
        <f t="array" ref="L1444:N1446">MINVERSE(H1444:J1446)</f>
        <v>0</v>
      </c>
      <c r="M1444" s="2">
        <v>-8.4801762822599622E-17</v>
      </c>
      <c r="N1444" s="2">
        <v>1</v>
      </c>
      <c r="O1444" s="10">
        <f t="shared" ref="O1444:O1446" si="2040">-F1442</f>
        <v>-1.632164096375173E-2</v>
      </c>
      <c r="Q1444" s="2" cm="1">
        <f t="array" ref="Q1444:Q1446">MMULT(L1444:N1446,O1444:O1446)</f>
        <v>1.6910570756523709E-18</v>
      </c>
    </row>
    <row r="1445" spans="1:17" x14ac:dyDescent="0.35">
      <c r="H1445" s="2">
        <f t="shared" ref="H1445" si="2041">B$1*COS(C1442)</f>
        <v>-1.4642410563453656</v>
      </c>
      <c r="I1445" s="2">
        <f t="shared" ref="I1445" si="2042">B$2*COS(C1443)</f>
        <v>3.0979814100629923</v>
      </c>
      <c r="J1445" s="2">
        <f t="shared" ref="J1445" si="2043">-SIN(B$6)</f>
        <v>0</v>
      </c>
      <c r="L1445" s="2">
        <v>0</v>
      </c>
      <c r="M1445" s="2">
        <v>0.32279083300879674</v>
      </c>
      <c r="N1445" s="2">
        <v>0.47264359030340108</v>
      </c>
      <c r="O1445" s="10">
        <f t="shared" si="2040"/>
        <v>-1.9941296258073837E-2</v>
      </c>
      <c r="Q1445" s="2">
        <v>-6.4368676304188549E-3</v>
      </c>
    </row>
    <row r="1446" spans="1:17" x14ac:dyDescent="0.35">
      <c r="H1446" s="2">
        <v>1</v>
      </c>
      <c r="I1446" s="2">
        <v>0</v>
      </c>
      <c r="J1446" s="2">
        <v>0</v>
      </c>
      <c r="L1446" s="2">
        <v>-1</v>
      </c>
      <c r="M1446" s="2">
        <v>-1.6586082079510112</v>
      </c>
      <c r="N1446" s="2">
        <v>0.18979386407876991</v>
      </c>
      <c r="O1446" s="10">
        <f t="shared" si="2040"/>
        <v>0</v>
      </c>
      <c r="Q1446" s="2">
        <v>4.939643861457578E-2</v>
      </c>
    </row>
    <row r="1449" spans="1:17" x14ac:dyDescent="0.35">
      <c r="A1449" s="1" t="s">
        <v>9</v>
      </c>
      <c r="B1449" s="2">
        <f t="shared" ref="B1449" si="2044">IF(AND((B1440 = B1431), ABS(B1444-B1435) &lt; 0.001),B1440+0.1,B1440)</f>
        <v>4.1000000000000014</v>
      </c>
    </row>
    <row r="1450" spans="1:17" x14ac:dyDescent="0.35">
      <c r="C1450" s="1" t="s">
        <v>3</v>
      </c>
    </row>
    <row r="1451" spans="1:17" x14ac:dyDescent="0.35">
      <c r="A1451" s="1" t="s">
        <v>962</v>
      </c>
      <c r="B1451" s="4">
        <f t="shared" ref="B1451:B1452" si="2045">C1451*180/PI()</f>
        <v>240.78551340372866</v>
      </c>
      <c r="C1451" s="2">
        <f t="shared" ref="C1451:C1452" si="2046">C1442+Q1444</f>
        <v>4.2025000000000032</v>
      </c>
      <c r="E1451" s="7" t="s">
        <v>963</v>
      </c>
      <c r="F1451" s="6">
        <f t="shared" ref="F1451" si="2047">-B1453*COS(B$6)+B$1*COS(C1451)+B$2*COS(C1452)-B$3*COS(C$4)</f>
        <v>-6.4407919600537533E-5</v>
      </c>
      <c r="H1451" s="11" t="s">
        <v>14</v>
      </c>
      <c r="I1451" s="12"/>
      <c r="J1451" s="13"/>
      <c r="L1451" s="11" t="s">
        <v>964</v>
      </c>
      <c r="M1451" s="12"/>
      <c r="N1451" s="13"/>
      <c r="O1451" s="14" t="s">
        <v>18</v>
      </c>
      <c r="Q1451" s="16" t="s">
        <v>19</v>
      </c>
    </row>
    <row r="1452" spans="1:17" x14ac:dyDescent="0.35">
      <c r="A1452" s="1" t="s">
        <v>965</v>
      </c>
      <c r="B1452" s="4">
        <f t="shared" si="2045"/>
        <v>58.544783388902147</v>
      </c>
      <c r="C1452" s="2">
        <f t="shared" si="2046"/>
        <v>1.0217992300032264</v>
      </c>
      <c r="E1452" s="7" t="s">
        <v>966</v>
      </c>
      <c r="F1452" s="6">
        <f t="shared" ref="F1452" si="2048">-B1453*SIN(B$6)+B$1*SIN(C1451)+B$2*SIN(C1452)-B$3*SIN(C$4)</f>
        <v>-1.0631097443036808E-4</v>
      </c>
      <c r="H1452" s="8" t="s">
        <v>16</v>
      </c>
      <c r="I1452" s="8" t="s">
        <v>15</v>
      </c>
      <c r="J1452" s="9" t="s">
        <v>8</v>
      </c>
      <c r="L1452" s="8" t="s">
        <v>16</v>
      </c>
      <c r="M1452" s="8" t="s">
        <v>15</v>
      </c>
      <c r="N1452" s="9" t="s">
        <v>8</v>
      </c>
      <c r="O1452" s="15"/>
      <c r="Q1452" s="17"/>
    </row>
    <row r="1453" spans="1:17" x14ac:dyDescent="0.35">
      <c r="A1453" s="1" t="s">
        <v>8</v>
      </c>
      <c r="B1453" s="4">
        <f t="shared" ref="B1453" si="2049">B1444+Q1446</f>
        <v>1.6668151513684506</v>
      </c>
      <c r="C1453" s="2"/>
      <c r="E1453" s="7" t="s">
        <v>967</v>
      </c>
      <c r="F1453" s="6">
        <f>C1451-F$3*B1449-0.5*(F$4)*B1449^2</f>
        <v>0</v>
      </c>
      <c r="H1453" s="2">
        <f t="shared" ref="H1453" si="2050">-B$1*SIN(C1451)</f>
        <v>2.618396098552052</v>
      </c>
      <c r="I1453" s="2">
        <f t="shared" ref="I1453" si="2051">-B$2*SIN(C1452)</f>
        <v>-5.1182897875776217</v>
      </c>
      <c r="J1453" s="2">
        <f t="shared" ref="J1453" si="2052">-COS(B$6)</f>
        <v>-1</v>
      </c>
      <c r="L1453" s="2" cm="1">
        <f t="array" ref="L1453:N1455">MINVERSE(H1453:J1455)</f>
        <v>0</v>
      </c>
      <c r="M1453" s="2">
        <v>-8.4801762822599622E-17</v>
      </c>
      <c r="N1453" s="2">
        <v>1</v>
      </c>
      <c r="O1453" s="10">
        <f t="shared" ref="O1453:O1455" si="2053">-F1451</f>
        <v>6.4407919600537533E-5</v>
      </c>
      <c r="Q1453" s="2" cm="1">
        <f t="array" ref="Q1453:Q1455">MMULT(L1453:N1455,O1453:O1455)</f>
        <v>-9.0153580390835271E-21</v>
      </c>
    </row>
    <row r="1454" spans="1:17" x14ac:dyDescent="0.35">
      <c r="H1454" s="2">
        <f t="shared" ref="H1454" si="2054">B$1*COS(C1451)</f>
        <v>-1.4642410563453656</v>
      </c>
      <c r="I1454" s="2">
        <f t="shared" ref="I1454" si="2055">B$2*COS(C1452)</f>
        <v>3.1309917997942156</v>
      </c>
      <c r="J1454" s="2">
        <f t="shared" ref="J1454" si="2056">-SIN(B$6)</f>
        <v>0</v>
      </c>
      <c r="L1454" s="2">
        <v>0</v>
      </c>
      <c r="M1454" s="2">
        <v>0.31938761387548981</v>
      </c>
      <c r="N1454" s="2">
        <v>0.46766045712467302</v>
      </c>
      <c r="O1454" s="10">
        <f t="shared" si="2053"/>
        <v>1.0631097443036808E-4</v>
      </c>
      <c r="Q1454" s="2">
        <v>3.3954408452093471E-5</v>
      </c>
    </row>
    <row r="1455" spans="1:17" x14ac:dyDescent="0.35">
      <c r="H1455" s="2">
        <v>1</v>
      </c>
      <c r="I1455" s="2">
        <v>0</v>
      </c>
      <c r="J1455" s="2">
        <v>0</v>
      </c>
      <c r="L1455" s="2">
        <v>-1</v>
      </c>
      <c r="M1455" s="2">
        <v>-1.6347183623777044</v>
      </c>
      <c r="N1455" s="2">
        <v>0.22477435679695598</v>
      </c>
      <c r="O1455" s="10">
        <f t="shared" si="2053"/>
        <v>0</v>
      </c>
      <c r="Q1455" s="2">
        <v>-2.3819642162412684E-4</v>
      </c>
    </row>
    <row r="1458" spans="1:17" x14ac:dyDescent="0.35">
      <c r="A1458" s="1" t="s">
        <v>9</v>
      </c>
      <c r="B1458" s="2">
        <f t="shared" ref="B1458" si="2057">IF(AND((B1449 = B1440), ABS(B1453-B1444) &lt; 0.001),B1449+0.1,B1449)</f>
        <v>4.1000000000000014</v>
      </c>
    </row>
    <row r="1459" spans="1:17" x14ac:dyDescent="0.35">
      <c r="C1459" s="1" t="s">
        <v>3</v>
      </c>
    </row>
    <row r="1460" spans="1:17" x14ac:dyDescent="0.35">
      <c r="A1460" s="1" t="s">
        <v>968</v>
      </c>
      <c r="B1460" s="4">
        <f t="shared" ref="B1460:B1461" si="2058">C1460*180/PI()</f>
        <v>240.78551340372866</v>
      </c>
      <c r="C1460" s="2">
        <f t="shared" ref="C1460:C1461" si="2059">C1451+Q1453</f>
        <v>4.2025000000000032</v>
      </c>
      <c r="E1460" s="7" t="s">
        <v>969</v>
      </c>
      <c r="F1460" s="6">
        <f t="shared" ref="F1460" si="2060">-B1462*COS(B$6)+B$1*COS(C1460)+B$2*COS(C1461)-B$3*COS(C$4)</f>
        <v>-1.8048293281441342E-9</v>
      </c>
      <c r="H1460" s="11" t="s">
        <v>14</v>
      </c>
      <c r="I1460" s="12"/>
      <c r="J1460" s="13"/>
      <c r="L1460" s="11" t="s">
        <v>970</v>
      </c>
      <c r="M1460" s="12"/>
      <c r="N1460" s="13"/>
      <c r="O1460" s="14" t="s">
        <v>18</v>
      </c>
      <c r="Q1460" s="16" t="s">
        <v>19</v>
      </c>
    </row>
    <row r="1461" spans="1:17" x14ac:dyDescent="0.35">
      <c r="A1461" s="1" t="s">
        <v>971</v>
      </c>
      <c r="B1461" s="4">
        <f t="shared" si="2058"/>
        <v>58.546728833202309</v>
      </c>
      <c r="C1461" s="2">
        <f t="shared" si="2059"/>
        <v>1.0218331844116784</v>
      </c>
      <c r="E1461" s="7" t="s">
        <v>972</v>
      </c>
      <c r="F1461" s="6">
        <f t="shared" ref="F1461" si="2061">-B1462*SIN(B$6)+B$1*SIN(C1460)+B$2*SIN(C1461)-B$3*SIN(C$4)</f>
        <v>-2.9504634291299681E-9</v>
      </c>
      <c r="H1461" s="8" t="s">
        <v>16</v>
      </c>
      <c r="I1461" s="8" t="s">
        <v>15</v>
      </c>
      <c r="J1461" s="9" t="s">
        <v>8</v>
      </c>
      <c r="L1461" s="8" t="s">
        <v>16</v>
      </c>
      <c r="M1461" s="8" t="s">
        <v>15</v>
      </c>
      <c r="N1461" s="9" t="s">
        <v>8</v>
      </c>
      <c r="O1461" s="15"/>
      <c r="Q1461" s="17"/>
    </row>
    <row r="1462" spans="1:17" x14ac:dyDescent="0.35">
      <c r="A1462" s="1" t="s">
        <v>8</v>
      </c>
      <c r="B1462" s="4">
        <f t="shared" ref="B1462" si="2062">B1453+Q1455</f>
        <v>1.6665769549468266</v>
      </c>
      <c r="C1462" s="2"/>
      <c r="E1462" s="7" t="s">
        <v>973</v>
      </c>
      <c r="F1462" s="6">
        <f>C1460-F$3*B1458-0.5*(F$4)*B1458^2</f>
        <v>0</v>
      </c>
      <c r="H1462" s="2">
        <f t="shared" ref="H1462" si="2063">-B$1*SIN(C1460)</f>
        <v>2.618396098552052</v>
      </c>
      <c r="I1462" s="2">
        <f t="shared" ref="I1462" si="2064">-B$2*SIN(C1461)</f>
        <v>-5.1183960956015886</v>
      </c>
      <c r="J1462" s="2">
        <f t="shared" ref="J1462" si="2065">-COS(B$6)</f>
        <v>-1</v>
      </c>
      <c r="L1462" s="2" cm="1">
        <f t="array" ref="L1462:N1464">MINVERSE(H1462:J1464)</f>
        <v>0</v>
      </c>
      <c r="M1462" s="2">
        <v>0</v>
      </c>
      <c r="N1462" s="2">
        <v>1.0000000000000002</v>
      </c>
      <c r="O1462" s="10">
        <f t="shared" ref="O1462:O1464" si="2066">-F1460</f>
        <v>1.8048293281441342E-9</v>
      </c>
      <c r="Q1462" s="2" cm="1">
        <f t="array" ref="Q1462:Q1464">MMULT(L1462:N1464,O1462:O1464)</f>
        <v>0</v>
      </c>
    </row>
    <row r="1463" spans="1:17" x14ac:dyDescent="0.35">
      <c r="H1463" s="2">
        <f t="shared" ref="H1463" si="2067">B$1*COS(C1460)</f>
        <v>-1.4642410563453656</v>
      </c>
      <c r="I1463" s="2">
        <f t="shared" ref="I1463" si="2068">B$2*COS(C1461)</f>
        <v>3.130818009487363</v>
      </c>
      <c r="J1463" s="2">
        <f t="shared" ref="J1463" si="2069">-SIN(B$6)</f>
        <v>0</v>
      </c>
      <c r="L1463" s="2">
        <v>0</v>
      </c>
      <c r="M1463" s="2">
        <v>0.31940534293902922</v>
      </c>
      <c r="N1463" s="2">
        <v>0.46768641674739792</v>
      </c>
      <c r="O1463" s="10">
        <f t="shared" si="2066"/>
        <v>2.9504634291299681E-9</v>
      </c>
      <c r="Q1463" s="2">
        <v>9.423937834103215E-10</v>
      </c>
    </row>
    <row r="1464" spans="1:17" x14ac:dyDescent="0.35">
      <c r="H1464" s="2">
        <v>1</v>
      </c>
      <c r="I1464" s="2">
        <v>0</v>
      </c>
      <c r="J1464" s="2">
        <v>0</v>
      </c>
      <c r="L1464" s="2">
        <v>-1</v>
      </c>
      <c r="M1464" s="2">
        <v>-1.6348430602134136</v>
      </c>
      <c r="N1464" s="2">
        <v>0.22459176910627338</v>
      </c>
      <c r="O1464" s="10">
        <f t="shared" si="2066"/>
        <v>0</v>
      </c>
      <c r="Q1464" s="2">
        <v>-6.6283739896707334E-9</v>
      </c>
    </row>
    <row r="1467" spans="1:17" x14ac:dyDescent="0.35">
      <c r="A1467" s="1" t="s">
        <v>9</v>
      </c>
      <c r="B1467" s="2">
        <f t="shared" ref="B1467" si="2070">IF(AND((B1458 = B1449), ABS(B1462-B1453) &lt; 0.001),B1458+0.1,B1458)</f>
        <v>4.2000000000000011</v>
      </c>
    </row>
    <row r="1468" spans="1:17" x14ac:dyDescent="0.35">
      <c r="C1468" s="1" t="s">
        <v>3</v>
      </c>
    </row>
    <row r="1469" spans="1:17" x14ac:dyDescent="0.35">
      <c r="A1469" s="1" t="s">
        <v>974</v>
      </c>
      <c r="B1469" s="4">
        <f t="shared" ref="B1469:B1470" si="2071">C1469*180/PI()</f>
        <v>240.78551340372866</v>
      </c>
      <c r="C1469" s="2">
        <f t="shared" ref="C1469:C1470" si="2072">C1460+Q1462</f>
        <v>4.2025000000000032</v>
      </c>
      <c r="E1469" s="7" t="s">
        <v>975</v>
      </c>
      <c r="F1469" s="6">
        <f t="shared" ref="F1469" si="2073">-B1471*COS(B$6)+B$1*COS(C1469)+B$2*COS(C1470)-B$3*COS(C$4)</f>
        <v>2.9094565298648511E-16</v>
      </c>
      <c r="H1469" s="11" t="s">
        <v>14</v>
      </c>
      <c r="I1469" s="12"/>
      <c r="J1469" s="13"/>
      <c r="L1469" s="11" t="s">
        <v>976</v>
      </c>
      <c r="M1469" s="12"/>
      <c r="N1469" s="13"/>
      <c r="O1469" s="14" t="s">
        <v>18</v>
      </c>
      <c r="Q1469" s="16" t="s">
        <v>19</v>
      </c>
    </row>
    <row r="1470" spans="1:17" x14ac:dyDescent="0.35">
      <c r="A1470" s="1" t="s">
        <v>977</v>
      </c>
      <c r="B1470" s="4">
        <f t="shared" si="2071"/>
        <v>58.546728887197496</v>
      </c>
      <c r="C1470" s="2">
        <f t="shared" si="2072"/>
        <v>1.0218331853540721</v>
      </c>
      <c r="E1470" s="7" t="s">
        <v>978</v>
      </c>
      <c r="F1470" s="6">
        <f t="shared" ref="F1470" si="2074">-B1471*SIN(B$6)+B$1*SIN(C1469)+B$2*SIN(C1470)-B$3*SIN(C$4)</f>
        <v>0</v>
      </c>
      <c r="H1470" s="8" t="s">
        <v>16</v>
      </c>
      <c r="I1470" s="8" t="s">
        <v>15</v>
      </c>
      <c r="J1470" s="9" t="s">
        <v>8</v>
      </c>
      <c r="L1470" s="8" t="s">
        <v>16</v>
      </c>
      <c r="M1470" s="8" t="s">
        <v>15</v>
      </c>
      <c r="N1470" s="9" t="s">
        <v>8</v>
      </c>
      <c r="O1470" s="15"/>
      <c r="Q1470" s="17"/>
    </row>
    <row r="1471" spans="1:17" x14ac:dyDescent="0.35">
      <c r="A1471" s="1" t="s">
        <v>8</v>
      </c>
      <c r="B1471" s="4">
        <f t="shared" ref="B1471" si="2075">B1462+Q1464</f>
        <v>1.6665769483184525</v>
      </c>
      <c r="C1471" s="2"/>
      <c r="E1471" s="7" t="s">
        <v>979</v>
      </c>
      <c r="F1471" s="6">
        <f>C1469-F$3*B1467-0.5*(F$4)*B1467^2</f>
        <v>-0.20749999999999869</v>
      </c>
      <c r="H1471" s="2">
        <f t="shared" ref="H1471" si="2076">-B$1*SIN(C1469)</f>
        <v>2.618396098552052</v>
      </c>
      <c r="I1471" s="2">
        <f t="shared" ref="I1471" si="2077">-B$2*SIN(C1470)</f>
        <v>-5.1183960985520516</v>
      </c>
      <c r="J1471" s="2">
        <f t="shared" ref="J1471" si="2078">-COS(B$6)</f>
        <v>-1</v>
      </c>
      <c r="L1471" s="2" cm="1">
        <f t="array" ref="L1471:N1473">MINVERSE(H1471:J1473)</f>
        <v>0</v>
      </c>
      <c r="M1471" s="2">
        <v>0</v>
      </c>
      <c r="N1471" s="2">
        <v>1.0000000000000002</v>
      </c>
      <c r="O1471" s="10">
        <f t="shared" ref="O1471:O1473" si="2079">-F1469</f>
        <v>-2.9094565298648511E-16</v>
      </c>
      <c r="Q1471" s="2" cm="1">
        <f t="array" ref="Q1471:Q1473">MMULT(L1471:N1473,O1471:O1473)</f>
        <v>0.20749999999999874</v>
      </c>
    </row>
    <row r="1472" spans="1:17" x14ac:dyDescent="0.35">
      <c r="H1472" s="2">
        <f t="shared" ref="H1472" si="2080">B$1*COS(C1469)</f>
        <v>-1.4642410563453656</v>
      </c>
      <c r="I1472" s="2">
        <f t="shared" ref="I1472" si="2081">B$2*COS(C1470)</f>
        <v>3.1308180046638188</v>
      </c>
      <c r="J1472" s="2">
        <f t="shared" ref="J1472" si="2082">-SIN(B$6)</f>
        <v>0</v>
      </c>
      <c r="L1472" s="2">
        <v>0</v>
      </c>
      <c r="M1472" s="2">
        <v>0.31940534343112609</v>
      </c>
      <c r="N1472" s="2">
        <v>0.46768641746794637</v>
      </c>
      <c r="O1472" s="10">
        <f t="shared" si="2079"/>
        <v>0</v>
      </c>
      <c r="Q1472" s="2">
        <v>9.7044931624598263E-2</v>
      </c>
    </row>
    <row r="1473" spans="1:17" x14ac:dyDescent="0.35">
      <c r="H1473" s="2">
        <v>1</v>
      </c>
      <c r="I1473" s="2">
        <v>0</v>
      </c>
      <c r="J1473" s="2">
        <v>0</v>
      </c>
      <c r="L1473" s="2">
        <v>-1</v>
      </c>
      <c r="M1473" s="2">
        <v>-1.6348430636745539</v>
      </c>
      <c r="N1473" s="2">
        <v>0.22459176403832948</v>
      </c>
      <c r="O1473" s="10">
        <f t="shared" si="2079"/>
        <v>0.20749999999999869</v>
      </c>
      <c r="Q1473" s="2">
        <v>4.660279103795336E-2</v>
      </c>
    </row>
    <row r="1476" spans="1:17" x14ac:dyDescent="0.35">
      <c r="A1476" s="1" t="s">
        <v>9</v>
      </c>
      <c r="B1476" s="2">
        <f t="shared" ref="B1476" si="2083">IF(AND((B1467 = B1458), ABS(B1471-B1462) &lt; 0.001),B1467+0.1,B1467)</f>
        <v>4.2000000000000011</v>
      </c>
    </row>
    <row r="1477" spans="1:17" x14ac:dyDescent="0.35">
      <c r="C1477" s="1" t="s">
        <v>3</v>
      </c>
    </row>
    <row r="1478" spans="1:17" x14ac:dyDescent="0.35">
      <c r="A1478" s="1" t="s">
        <v>980</v>
      </c>
      <c r="B1478" s="4">
        <f t="shared" ref="B1478:B1479" si="2084">C1478*180/PI()</f>
        <v>252.67438765269313</v>
      </c>
      <c r="C1478" s="2">
        <f t="shared" ref="C1478:C1479" si="2085">C1469+Q1471</f>
        <v>4.4100000000000019</v>
      </c>
      <c r="E1478" s="7" t="s">
        <v>981</v>
      </c>
      <c r="F1478" s="6">
        <f t="shared" ref="F1478" si="2086">-B1480*COS(B$6)+B$1*COS(C1478)+B$2*COS(C1479)-B$3*COS(C$4)</f>
        <v>1.3567212405695209E-2</v>
      </c>
      <c r="H1478" s="11" t="s">
        <v>14</v>
      </c>
      <c r="I1478" s="12"/>
      <c r="J1478" s="13"/>
      <c r="L1478" s="11" t="s">
        <v>982</v>
      </c>
      <c r="M1478" s="12"/>
      <c r="N1478" s="13"/>
      <c r="O1478" s="14" t="s">
        <v>18</v>
      </c>
      <c r="Q1478" s="16" t="s">
        <v>19</v>
      </c>
    </row>
    <row r="1479" spans="1:17" x14ac:dyDescent="0.35">
      <c r="A1479" s="1" t="s">
        <v>983</v>
      </c>
      <c r="B1479" s="4">
        <f t="shared" si="2084"/>
        <v>64.106993892422622</v>
      </c>
      <c r="C1479" s="2">
        <f t="shared" si="2085"/>
        <v>1.1188781169786703</v>
      </c>
      <c r="E1479" s="7" t="s">
        <v>984</v>
      </c>
      <c r="F1479" s="6">
        <f t="shared" ref="F1479" si="2087">-B1480*SIN(B$6)+B$1*SIN(C1478)+B$2*SIN(C1479)-B$3*SIN(C$4)</f>
        <v>3.3783231601573149E-2</v>
      </c>
      <c r="H1479" s="8" t="s">
        <v>16</v>
      </c>
      <c r="I1479" s="8" t="s">
        <v>15</v>
      </c>
      <c r="J1479" s="9" t="s">
        <v>8</v>
      </c>
      <c r="L1479" s="8" t="s">
        <v>16</v>
      </c>
      <c r="M1479" s="8" t="s">
        <v>15</v>
      </c>
      <c r="N1479" s="9" t="s">
        <v>8</v>
      </c>
      <c r="O1479" s="15"/>
      <c r="Q1479" s="17"/>
    </row>
    <row r="1480" spans="1:17" x14ac:dyDescent="0.35">
      <c r="A1480" s="1" t="s">
        <v>8</v>
      </c>
      <c r="B1480" s="4">
        <f t="shared" ref="B1480" si="2088">B1471+Q1473</f>
        <v>1.7131797393564059</v>
      </c>
      <c r="C1480" s="2"/>
      <c r="E1480" s="7" t="s">
        <v>985</v>
      </c>
      <c r="F1480" s="6">
        <f>C1478-F$3*B1476-0.5*(F$4)*B1476^2</f>
        <v>0</v>
      </c>
      <c r="H1480" s="2">
        <f t="shared" ref="H1480" si="2089">-B$1*SIN(C1478)</f>
        <v>2.8638833149806509</v>
      </c>
      <c r="I1480" s="2">
        <f t="shared" ref="I1480" si="2090">-B$2*SIN(C1479)</f>
        <v>-5.397666546582224</v>
      </c>
      <c r="J1480" s="2">
        <f t="shared" ref="J1480" si="2091">-COS(B$6)</f>
        <v>-1</v>
      </c>
      <c r="L1480" s="2" cm="1">
        <f t="array" ref="L1480:N1482">MINVERSE(H1480:J1482)</f>
        <v>0</v>
      </c>
      <c r="M1480" s="2">
        <v>1.5506539932234042E-16</v>
      </c>
      <c r="N1480" s="2">
        <v>1</v>
      </c>
      <c r="O1480" s="10">
        <f t="shared" ref="O1480:O1482" si="2092">-F1478</f>
        <v>-1.3567212405695209E-2</v>
      </c>
      <c r="Q1480" s="2" cm="1">
        <f t="array" ref="Q1480:Q1482">MMULT(L1480:N1482,O1480:O1482)</f>
        <v>-5.2386102986970501E-18</v>
      </c>
    </row>
    <row r="1481" spans="1:17" x14ac:dyDescent="0.35">
      <c r="H1481" s="2">
        <f t="shared" ref="H1481" si="2093">B$1*COS(C1478)</f>
        <v>-0.8934049239708941</v>
      </c>
      <c r="I1481" s="2">
        <f t="shared" ref="I1481" si="2094">B$2*COS(C1479)</f>
        <v>2.6201518757329954</v>
      </c>
      <c r="J1481" s="2">
        <f t="shared" ref="J1481" si="2095">-SIN(B$6)</f>
        <v>0</v>
      </c>
      <c r="L1481" s="2">
        <v>0</v>
      </c>
      <c r="M1481" s="2">
        <v>0.38165726546681467</v>
      </c>
      <c r="N1481" s="2">
        <v>0.34097448023731886</v>
      </c>
      <c r="O1481" s="10">
        <f t="shared" si="2092"/>
        <v>-3.3783231601573149E-2</v>
      </c>
      <c r="Q1481" s="2">
        <v>-1.2893615791688486E-2</v>
      </c>
    </row>
    <row r="1482" spans="1:17" x14ac:dyDescent="0.35">
      <c r="H1482" s="2">
        <v>1</v>
      </c>
      <c r="I1482" s="2">
        <v>0</v>
      </c>
      <c r="J1482" s="2">
        <v>0</v>
      </c>
      <c r="L1482" s="2">
        <v>-1</v>
      </c>
      <c r="M1482" s="2">
        <v>-2.0600586540702763</v>
      </c>
      <c r="N1482" s="2">
        <v>1.0234167697654133</v>
      </c>
      <c r="O1482" s="10">
        <f t="shared" si="2092"/>
        <v>0</v>
      </c>
      <c r="Q1482" s="2">
        <v>8.3162651028976423E-2</v>
      </c>
    </row>
    <row r="1485" spans="1:17" x14ac:dyDescent="0.35">
      <c r="A1485" s="1" t="s">
        <v>9</v>
      </c>
      <c r="B1485" s="2">
        <f t="shared" ref="B1485" si="2096">IF(AND((B1476 = B1467), ABS(B1480-B1471) &lt; 0.001),B1476+0.1,B1476)</f>
        <v>4.2000000000000011</v>
      </c>
    </row>
    <row r="1486" spans="1:17" x14ac:dyDescent="0.35">
      <c r="C1486" s="1" t="s">
        <v>3</v>
      </c>
    </row>
    <row r="1487" spans="1:17" x14ac:dyDescent="0.35">
      <c r="A1487" s="1" t="s">
        <v>986</v>
      </c>
      <c r="B1487" s="4">
        <f t="shared" ref="B1487:B1488" si="2097">C1487*180/PI()</f>
        <v>252.67438765269313</v>
      </c>
      <c r="C1487" s="2">
        <f t="shared" ref="C1487:C1488" si="2098">C1478+Q1480</f>
        <v>4.4100000000000019</v>
      </c>
      <c r="E1487" s="7" t="s">
        <v>987</v>
      </c>
      <c r="F1487" s="6">
        <f t="shared" ref="F1487" si="2099">-B1489*COS(B$6)+B$1*COS(C1487)+B$2*COS(C1488)-B$3*COS(C$4)</f>
        <v>-2.1971929037716047E-4</v>
      </c>
      <c r="H1487" s="11" t="s">
        <v>14</v>
      </c>
      <c r="I1487" s="12"/>
      <c r="J1487" s="13"/>
      <c r="L1487" s="11" t="s">
        <v>988</v>
      </c>
      <c r="M1487" s="12"/>
      <c r="N1487" s="13"/>
      <c r="O1487" s="14" t="s">
        <v>18</v>
      </c>
      <c r="Q1487" s="16" t="s">
        <v>19</v>
      </c>
    </row>
    <row r="1488" spans="1:17" x14ac:dyDescent="0.35">
      <c r="A1488" s="1" t="s">
        <v>989</v>
      </c>
      <c r="B1488" s="4">
        <f t="shared" si="2097"/>
        <v>63.368244124895639</v>
      </c>
      <c r="C1488" s="2">
        <f t="shared" si="2098"/>
        <v>1.1059845011869818</v>
      </c>
      <c r="E1488" s="7" t="s">
        <v>990</v>
      </c>
      <c r="F1488" s="6">
        <f t="shared" ref="F1488" si="2100">-B1489*SIN(B$6)+B$1*SIN(C1487)+B$2*SIN(C1488)-B$3*SIN(C$4)</f>
        <v>-4.4772616455723835E-4</v>
      </c>
      <c r="H1488" s="8" t="s">
        <v>16</v>
      </c>
      <c r="I1488" s="8" t="s">
        <v>15</v>
      </c>
      <c r="J1488" s="9" t="s">
        <v>8</v>
      </c>
      <c r="L1488" s="8" t="s">
        <v>16</v>
      </c>
      <c r="M1488" s="8" t="s">
        <v>15</v>
      </c>
      <c r="N1488" s="9" t="s">
        <v>8</v>
      </c>
      <c r="O1488" s="15"/>
      <c r="Q1488" s="17"/>
    </row>
    <row r="1489" spans="1:17" x14ac:dyDescent="0.35">
      <c r="A1489" s="1" t="s">
        <v>8</v>
      </c>
      <c r="B1489" s="4">
        <f t="shared" ref="B1489" si="2101">B1480+Q1482</f>
        <v>1.7963423903853823</v>
      </c>
      <c r="C1489" s="2"/>
      <c r="E1489" s="7" t="s">
        <v>991</v>
      </c>
      <c r="F1489" s="6">
        <f>C1487-F$3*B1485-0.5*(F$4)*B1485^2</f>
        <v>0</v>
      </c>
      <c r="H1489" s="2">
        <f t="shared" ref="H1489" si="2102">-B$1*SIN(C1487)</f>
        <v>2.8638833149806509</v>
      </c>
      <c r="I1489" s="2">
        <f t="shared" ref="I1489" si="2103">-B$2*SIN(C1488)</f>
        <v>-5.3634355888160936</v>
      </c>
      <c r="J1489" s="2">
        <f t="shared" ref="J1489" si="2104">-COS(B$6)</f>
        <v>-1</v>
      </c>
      <c r="L1489" s="2" cm="1">
        <f t="array" ref="L1489:N1491">MINVERSE(H1489:J1491)</f>
        <v>0</v>
      </c>
      <c r="M1489" s="2">
        <v>0</v>
      </c>
      <c r="N1489" s="2">
        <v>0.99999999999999989</v>
      </c>
      <c r="O1489" s="10">
        <f t="shared" ref="O1489:O1491" si="2105">-F1487</f>
        <v>2.1971929037716047E-4</v>
      </c>
      <c r="Q1489" s="2" cm="1">
        <f t="array" ref="Q1489:Q1491">MMULT(L1489:N1491,O1489:O1491)</f>
        <v>0</v>
      </c>
    </row>
    <row r="1490" spans="1:17" x14ac:dyDescent="0.35">
      <c r="H1490" s="2">
        <f t="shared" ref="H1490" si="2106">B$1*COS(C1487)</f>
        <v>-0.8934049239708941</v>
      </c>
      <c r="I1490" s="2">
        <f t="shared" ref="I1490" si="2107">B$2*COS(C1488)</f>
        <v>2.6895275950658997</v>
      </c>
      <c r="J1490" s="2">
        <f t="shared" ref="J1490" si="2108">-SIN(B$6)</f>
        <v>0</v>
      </c>
      <c r="L1490" s="2">
        <v>0</v>
      </c>
      <c r="M1490" s="2">
        <v>0.37181250783020792</v>
      </c>
      <c r="N1490" s="2">
        <v>0.3321791252894743</v>
      </c>
      <c r="O1490" s="10">
        <f t="shared" si="2105"/>
        <v>4.4772616455723835E-4</v>
      </c>
      <c r="Q1490" s="2">
        <v>1.6647018806522715E-4</v>
      </c>
    </row>
    <row r="1491" spans="1:17" x14ac:dyDescent="0.35">
      <c r="H1491" s="2">
        <v>1</v>
      </c>
      <c r="I1491" s="2">
        <v>0</v>
      </c>
      <c r="J1491" s="2">
        <v>0</v>
      </c>
      <c r="L1491" s="2">
        <v>-1</v>
      </c>
      <c r="M1491" s="2">
        <v>-1.9941924368634996</v>
      </c>
      <c r="N1491" s="2">
        <v>1.0822619725412839</v>
      </c>
      <c r="O1491" s="10">
        <f t="shared" si="2105"/>
        <v>0</v>
      </c>
      <c r="Q1491" s="2">
        <v>-1.1125714215231078E-3</v>
      </c>
    </row>
    <row r="1494" spans="1:17" x14ac:dyDescent="0.35">
      <c r="A1494" s="1" t="s">
        <v>9</v>
      </c>
      <c r="B1494" s="2">
        <f t="shared" ref="B1494" si="2109">IF(AND((B1485 = B1476), ABS(B1489-B1480) &lt; 0.001),B1485+0.1,B1485)</f>
        <v>4.2000000000000011</v>
      </c>
    </row>
    <row r="1495" spans="1:17" x14ac:dyDescent="0.35">
      <c r="C1495" s="1" t="s">
        <v>3</v>
      </c>
    </row>
    <row r="1496" spans="1:17" x14ac:dyDescent="0.35">
      <c r="A1496" s="1" t="s">
        <v>992</v>
      </c>
      <c r="B1496" s="4">
        <f t="shared" ref="B1496:B1497" si="2110">C1496*180/PI()</f>
        <v>252.67438765269313</v>
      </c>
      <c r="C1496" s="2">
        <f t="shared" ref="C1496:C1497" si="2111">C1487+Q1489</f>
        <v>4.4100000000000019</v>
      </c>
      <c r="E1496" s="7" t="s">
        <v>993</v>
      </c>
      <c r="F1496" s="6">
        <f t="shared" ref="F1496" si="2112">-B1498*COS(B$6)+B$1*COS(C1496)+B$2*COS(C1497)-B$3*COS(C$4)</f>
        <v>-3.7262404870496649E-8</v>
      </c>
      <c r="H1496" s="11" t="s">
        <v>14</v>
      </c>
      <c r="I1496" s="12"/>
      <c r="J1496" s="13"/>
      <c r="L1496" s="11" t="s">
        <v>994</v>
      </c>
      <c r="M1496" s="12"/>
      <c r="N1496" s="13"/>
      <c r="O1496" s="14" t="s">
        <v>18</v>
      </c>
      <c r="Q1496" s="16" t="s">
        <v>19</v>
      </c>
    </row>
    <row r="1497" spans="1:17" x14ac:dyDescent="0.35">
      <c r="A1497" s="1" t="s">
        <v>995</v>
      </c>
      <c r="B1497" s="4">
        <f t="shared" si="2110"/>
        <v>63.377782164086533</v>
      </c>
      <c r="C1497" s="2">
        <f t="shared" si="2111"/>
        <v>1.106150971375047</v>
      </c>
      <c r="E1497" s="7" t="s">
        <v>996</v>
      </c>
      <c r="F1497" s="6">
        <f t="shared" ref="F1497" si="2113">-B1498*SIN(B$6)+B$1*SIN(C1496)+B$2*SIN(C1497)-B$3*SIN(C$4)</f>
        <v>-7.4318698750630574E-8</v>
      </c>
      <c r="H1497" s="8" t="s">
        <v>16</v>
      </c>
      <c r="I1497" s="8" t="s">
        <v>15</v>
      </c>
      <c r="J1497" s="9" t="s">
        <v>8</v>
      </c>
      <c r="L1497" s="8" t="s">
        <v>16</v>
      </c>
      <c r="M1497" s="8" t="s">
        <v>15</v>
      </c>
      <c r="N1497" s="9" t="s">
        <v>8</v>
      </c>
      <c r="O1497" s="15"/>
      <c r="Q1497" s="17"/>
    </row>
    <row r="1498" spans="1:17" x14ac:dyDescent="0.35">
      <c r="A1498" s="1" t="s">
        <v>8</v>
      </c>
      <c r="B1498" s="4">
        <f t="shared" ref="B1498" si="2114">B1489+Q1491</f>
        <v>1.7952298189638591</v>
      </c>
      <c r="C1498" s="2"/>
      <c r="E1498" s="7" t="s">
        <v>997</v>
      </c>
      <c r="F1498" s="6">
        <f>C1496-F$3*B1494-0.5*(F$4)*B1494^2</f>
        <v>0</v>
      </c>
      <c r="H1498" s="2">
        <f t="shared" ref="H1498" si="2115">-B$1*SIN(C1496)</f>
        <v>2.8638833149806509</v>
      </c>
      <c r="I1498" s="2">
        <f t="shared" ref="I1498" si="2116">-B$2*SIN(C1497)</f>
        <v>-5.3638832406619521</v>
      </c>
      <c r="J1498" s="2">
        <f t="shared" ref="J1498" si="2117">-COS(B$6)</f>
        <v>-1</v>
      </c>
      <c r="L1498" s="2" cm="1">
        <f t="array" ref="L1498:N1500">MINVERSE(H1498:J1500)</f>
        <v>0</v>
      </c>
      <c r="M1498" s="2">
        <v>0</v>
      </c>
      <c r="N1498" s="2">
        <v>1</v>
      </c>
      <c r="O1498" s="10">
        <f t="shared" ref="O1498:O1500" si="2118">-F1496</f>
        <v>3.7262404870496649E-8</v>
      </c>
      <c r="Q1498" s="2" cm="1">
        <f t="array" ref="Q1498:Q1500">MMULT(L1498:N1500,O1498:O1500)</f>
        <v>0</v>
      </c>
    </row>
    <row r="1499" spans="1:17" x14ac:dyDescent="0.35">
      <c r="H1499" s="2">
        <f t="shared" ref="H1499" si="2119">B$1*COS(C1496)</f>
        <v>-0.8934049239708941</v>
      </c>
      <c r="I1499" s="2">
        <f t="shared" ref="I1499" si="2120">B$2*COS(C1497)</f>
        <v>2.6886347056723485</v>
      </c>
      <c r="J1499" s="2">
        <f t="shared" ref="J1499" si="2121">-SIN(B$6)</f>
        <v>0</v>
      </c>
      <c r="L1499" s="2">
        <v>0</v>
      </c>
      <c r="M1499" s="2">
        <v>0.3719359859077358</v>
      </c>
      <c r="N1499" s="2">
        <v>0.33228944121194021</v>
      </c>
      <c r="O1499" s="10">
        <f t="shared" si="2118"/>
        <v>7.4318698750630574E-8</v>
      </c>
      <c r="Q1499" s="2">
        <v>2.7641798491195795E-8</v>
      </c>
    </row>
    <row r="1500" spans="1:17" x14ac:dyDescent="0.35">
      <c r="H1500" s="2">
        <v>1</v>
      </c>
      <c r="I1500" s="2">
        <v>0</v>
      </c>
      <c r="J1500" s="2">
        <v>0</v>
      </c>
      <c r="L1500" s="2">
        <v>-1</v>
      </c>
      <c r="M1500" s="2">
        <v>-1.9950212014095841</v>
      </c>
      <c r="N1500" s="2">
        <v>1.0815215502149995</v>
      </c>
      <c r="O1500" s="10">
        <f t="shared" si="2118"/>
        <v>0</v>
      </c>
      <c r="Q1500" s="2">
        <v>-1.855297845391766E-7</v>
      </c>
    </row>
    <row r="1503" spans="1:17" x14ac:dyDescent="0.35">
      <c r="A1503" s="1" t="s">
        <v>9</v>
      </c>
      <c r="B1503" s="2">
        <f t="shared" ref="B1503" si="2122">IF(AND((B1494 = B1485), ABS(B1498-B1489) &lt; 0.001),B1494+0.1,B1494)</f>
        <v>4.2000000000000011</v>
      </c>
    </row>
    <row r="1504" spans="1:17" x14ac:dyDescent="0.35">
      <c r="C1504" s="1" t="s">
        <v>3</v>
      </c>
    </row>
    <row r="1505" spans="1:17" x14ac:dyDescent="0.35">
      <c r="A1505" s="1" t="s">
        <v>998</v>
      </c>
      <c r="B1505" s="4">
        <f t="shared" ref="B1505:B1506" si="2123">C1505*180/PI()</f>
        <v>252.67438765269313</v>
      </c>
      <c r="C1505" s="2">
        <f t="shared" ref="C1505:C1506" si="2124">C1496+Q1498</f>
        <v>4.4100000000000019</v>
      </c>
      <c r="E1505" s="7" t="s">
        <v>999</v>
      </c>
      <c r="F1505" s="6">
        <f t="shared" ref="F1505" si="2125">-B1507*COS(B$6)+B$1*COS(C1505)+B$2*COS(C1506)-B$3*COS(C$4)</f>
        <v>-5.9723276671364012E-16</v>
      </c>
      <c r="H1505" s="11" t="s">
        <v>14</v>
      </c>
      <c r="I1505" s="12"/>
      <c r="J1505" s="13"/>
      <c r="L1505" s="11" t="s">
        <v>1000</v>
      </c>
      <c r="M1505" s="12"/>
      <c r="N1505" s="13"/>
      <c r="O1505" s="14" t="s">
        <v>18</v>
      </c>
      <c r="Q1505" s="16" t="s">
        <v>19</v>
      </c>
    </row>
    <row r="1506" spans="1:17" x14ac:dyDescent="0.35">
      <c r="A1506" s="1" t="s">
        <v>1001</v>
      </c>
      <c r="B1506" s="4">
        <f t="shared" si="2123"/>
        <v>63.377783747844916</v>
      </c>
      <c r="C1506" s="2">
        <f t="shared" si="2124"/>
        <v>1.1061509990168454</v>
      </c>
      <c r="E1506" s="7" t="s">
        <v>1002</v>
      </c>
      <c r="F1506" s="6">
        <f t="shared" ref="F1506" si="2126">-B1507*SIN(B$6)+B$1*SIN(C1505)+B$2*SIN(C1506)-B$3*SIN(C$4)</f>
        <v>0</v>
      </c>
      <c r="H1506" s="8" t="s">
        <v>16</v>
      </c>
      <c r="I1506" s="8" t="s">
        <v>15</v>
      </c>
      <c r="J1506" s="9" t="s">
        <v>8</v>
      </c>
      <c r="L1506" s="8" t="s">
        <v>16</v>
      </c>
      <c r="M1506" s="8" t="s">
        <v>15</v>
      </c>
      <c r="N1506" s="9" t="s">
        <v>8</v>
      </c>
      <c r="O1506" s="15"/>
      <c r="Q1506" s="17"/>
    </row>
    <row r="1507" spans="1:17" x14ac:dyDescent="0.35">
      <c r="A1507" s="1" t="s">
        <v>8</v>
      </c>
      <c r="B1507" s="4">
        <f t="shared" ref="B1507" si="2127">B1498+Q1500</f>
        <v>1.7952296334340745</v>
      </c>
      <c r="C1507" s="2"/>
      <c r="E1507" s="7" t="s">
        <v>1003</v>
      </c>
      <c r="F1507" s="6">
        <f>C1505-F$3*B1503-0.5*(F$4)*B1503^2</f>
        <v>0</v>
      </c>
      <c r="H1507" s="2">
        <f t="shared" ref="H1507" si="2128">-B$1*SIN(C1505)</f>
        <v>2.8638833149806509</v>
      </c>
      <c r="I1507" s="2">
        <f t="shared" ref="I1507" si="2129">-B$2*SIN(C1506)</f>
        <v>-5.3638833149806491</v>
      </c>
      <c r="J1507" s="2">
        <f t="shared" ref="J1507" si="2130">-COS(B$6)</f>
        <v>-1</v>
      </c>
      <c r="L1507" s="2" cm="1">
        <f t="array" ref="L1507:N1509">MINVERSE(H1507:J1509)</f>
        <v>0</v>
      </c>
      <c r="M1507" s="2">
        <v>-7.7532699661170208E-17</v>
      </c>
      <c r="N1507" s="2">
        <v>0.99999999999999989</v>
      </c>
      <c r="O1507" s="10">
        <f t="shared" ref="O1507:O1509" si="2131">-F1505</f>
        <v>5.9723276671364012E-16</v>
      </c>
      <c r="Q1507" s="2" cm="1">
        <f t="array" ref="Q1507:Q1509">MMULT(L1507:N1509,O1507:O1509)</f>
        <v>0</v>
      </c>
    </row>
    <row r="1508" spans="1:17" x14ac:dyDescent="0.35">
      <c r="H1508" s="2">
        <f t="shared" ref="H1508" si="2132">B$1*COS(C1505)</f>
        <v>-0.8934049239708941</v>
      </c>
      <c r="I1508" s="2">
        <f t="shared" ref="I1508" si="2133">B$2*COS(C1506)</f>
        <v>2.6886345574049684</v>
      </c>
      <c r="J1508" s="2">
        <f t="shared" ref="J1508" si="2134">-SIN(B$6)</f>
        <v>0</v>
      </c>
      <c r="L1508" s="2">
        <v>0</v>
      </c>
      <c r="M1508" s="2">
        <v>0.37193600641850916</v>
      </c>
      <c r="N1508" s="2">
        <v>0.33228945953636618</v>
      </c>
      <c r="O1508" s="10">
        <f t="shared" si="2131"/>
        <v>0</v>
      </c>
      <c r="Q1508" s="2">
        <v>0</v>
      </c>
    </row>
    <row r="1509" spans="1:17" x14ac:dyDescent="0.35">
      <c r="H1509" s="2">
        <v>1</v>
      </c>
      <c r="I1509" s="2">
        <v>0</v>
      </c>
      <c r="J1509" s="2">
        <v>0</v>
      </c>
      <c r="L1509" s="2">
        <v>-1</v>
      </c>
      <c r="M1509" s="2">
        <v>-1.995021339068777</v>
      </c>
      <c r="N1509" s="2">
        <v>1.0815214272295983</v>
      </c>
      <c r="O1509" s="10">
        <f t="shared" si="2131"/>
        <v>0</v>
      </c>
      <c r="Q1509" s="2">
        <v>-5.9723276671364012E-16</v>
      </c>
    </row>
    <row r="1512" spans="1:17" x14ac:dyDescent="0.35">
      <c r="A1512" s="1" t="s">
        <v>9</v>
      </c>
      <c r="B1512" s="2">
        <f t="shared" ref="B1512" si="2135">IF(AND((B1503 = B1494), ABS(B1507-B1498) &lt; 0.001),B1503+0.1,B1503)</f>
        <v>4.3000000000000007</v>
      </c>
    </row>
    <row r="1513" spans="1:17" x14ac:dyDescent="0.35">
      <c r="C1513" s="1" t="s">
        <v>3</v>
      </c>
    </row>
    <row r="1514" spans="1:17" x14ac:dyDescent="0.35">
      <c r="A1514" s="1" t="s">
        <v>1004</v>
      </c>
      <c r="B1514" s="4">
        <f t="shared" ref="B1514:B1515" si="2136">C1514*180/PI()</f>
        <v>252.67438765269313</v>
      </c>
      <c r="C1514" s="2">
        <f t="shared" ref="C1514:C1515" si="2137">C1505+Q1507</f>
        <v>4.4100000000000019</v>
      </c>
      <c r="E1514" s="7" t="s">
        <v>1005</v>
      </c>
      <c r="F1514" s="6">
        <f t="shared" ref="F1514" si="2138">-B1516*COS(B$6)+B$1*COS(C1514)+B$2*COS(C1515)-B$3*COS(C$4)</f>
        <v>2.9094565298648511E-16</v>
      </c>
      <c r="H1514" s="11" t="s">
        <v>14</v>
      </c>
      <c r="I1514" s="12"/>
      <c r="J1514" s="13"/>
      <c r="L1514" s="11" t="s">
        <v>1006</v>
      </c>
      <c r="M1514" s="12"/>
      <c r="N1514" s="13"/>
      <c r="O1514" s="14" t="s">
        <v>18</v>
      </c>
      <c r="Q1514" s="16" t="s">
        <v>19</v>
      </c>
    </row>
    <row r="1515" spans="1:17" x14ac:dyDescent="0.35">
      <c r="A1515" s="1" t="s">
        <v>1007</v>
      </c>
      <c r="B1515" s="4">
        <f t="shared" si="2136"/>
        <v>63.377783747844916</v>
      </c>
      <c r="C1515" s="2">
        <f t="shared" si="2137"/>
        <v>1.1061509990168454</v>
      </c>
      <c r="E1515" s="7" t="s">
        <v>1008</v>
      </c>
      <c r="F1515" s="6">
        <f t="shared" ref="F1515" si="2139">-B1516*SIN(B$6)+B$1*SIN(C1514)+B$2*SIN(C1515)-B$3*SIN(C$4)</f>
        <v>0</v>
      </c>
      <c r="H1515" s="8" t="s">
        <v>16</v>
      </c>
      <c r="I1515" s="8" t="s">
        <v>15</v>
      </c>
      <c r="J1515" s="9" t="s">
        <v>8</v>
      </c>
      <c r="L1515" s="8" t="s">
        <v>16</v>
      </c>
      <c r="M1515" s="8" t="s">
        <v>15</v>
      </c>
      <c r="N1515" s="9" t="s">
        <v>8</v>
      </c>
      <c r="O1515" s="15"/>
      <c r="Q1515" s="17"/>
    </row>
    <row r="1516" spans="1:17" x14ac:dyDescent="0.35">
      <c r="A1516" s="1" t="s">
        <v>8</v>
      </c>
      <c r="B1516" s="4">
        <f t="shared" ref="B1516" si="2140">B1507+Q1509</f>
        <v>1.7952296334340738</v>
      </c>
      <c r="C1516" s="2"/>
      <c r="E1516" s="7" t="s">
        <v>1009</v>
      </c>
      <c r="F1516" s="6">
        <f>C1514-F$3*B1512-0.5*(F$4)*B1512^2</f>
        <v>-0.21249999999999947</v>
      </c>
      <c r="H1516" s="2">
        <f t="shared" ref="H1516" si="2141">-B$1*SIN(C1514)</f>
        <v>2.8638833149806509</v>
      </c>
      <c r="I1516" s="2">
        <f t="shared" ref="I1516" si="2142">-B$2*SIN(C1515)</f>
        <v>-5.3638833149806491</v>
      </c>
      <c r="J1516" s="2">
        <f t="shared" ref="J1516" si="2143">-COS(B$6)</f>
        <v>-1</v>
      </c>
      <c r="L1516" s="2" cm="1">
        <f t="array" ref="L1516:N1518">MINVERSE(H1516:J1518)</f>
        <v>0</v>
      </c>
      <c r="M1516" s="2">
        <v>-7.7532699661170208E-17</v>
      </c>
      <c r="N1516" s="2">
        <v>0.99999999999999989</v>
      </c>
      <c r="O1516" s="10">
        <f t="shared" ref="O1516:O1518" si="2144">-F1514</f>
        <v>-2.9094565298648511E-16</v>
      </c>
      <c r="Q1516" s="2" cm="1">
        <f t="array" ref="Q1516:Q1518">MMULT(L1516:N1518,O1516:O1518)</f>
        <v>0.21249999999999944</v>
      </c>
    </row>
    <row r="1517" spans="1:17" x14ac:dyDescent="0.35">
      <c r="H1517" s="2">
        <f t="shared" ref="H1517" si="2145">B$1*COS(C1514)</f>
        <v>-0.8934049239708941</v>
      </c>
      <c r="I1517" s="2">
        <f t="shared" ref="I1517" si="2146">B$2*COS(C1515)</f>
        <v>2.6886345574049684</v>
      </c>
      <c r="J1517" s="2">
        <f t="shared" ref="J1517" si="2147">-SIN(B$6)</f>
        <v>0</v>
      </c>
      <c r="L1517" s="2">
        <v>0</v>
      </c>
      <c r="M1517" s="2">
        <v>0.37193600641850916</v>
      </c>
      <c r="N1517" s="2">
        <v>0.33228945953636618</v>
      </c>
      <c r="O1517" s="10">
        <f t="shared" si="2144"/>
        <v>0</v>
      </c>
      <c r="Q1517" s="2">
        <v>7.0611510151477638E-2</v>
      </c>
    </row>
    <row r="1518" spans="1:17" x14ac:dyDescent="0.35">
      <c r="H1518" s="2">
        <v>1</v>
      </c>
      <c r="I1518" s="2">
        <v>0</v>
      </c>
      <c r="J1518" s="2">
        <v>0</v>
      </c>
      <c r="L1518" s="2">
        <v>-1</v>
      </c>
      <c r="M1518" s="2">
        <v>-1.995021339068777</v>
      </c>
      <c r="N1518" s="2">
        <v>1.0815214272295983</v>
      </c>
      <c r="O1518" s="10">
        <f t="shared" si="2144"/>
        <v>0.21249999999999947</v>
      </c>
      <c r="Q1518" s="2">
        <v>0.22982330328628933</v>
      </c>
    </row>
    <row r="1521" spans="1:17" x14ac:dyDescent="0.35">
      <c r="A1521" s="1" t="s">
        <v>9</v>
      </c>
      <c r="B1521" s="2">
        <f t="shared" ref="B1521" si="2148">IF(AND((B1512 = B1503), ABS(B1516-B1507) &lt; 0.001),B1512+0.1,B1512)</f>
        <v>4.3000000000000007</v>
      </c>
    </row>
    <row r="1522" spans="1:17" x14ac:dyDescent="0.35">
      <c r="C1522" s="1" t="s">
        <v>3</v>
      </c>
    </row>
    <row r="1523" spans="1:17" x14ac:dyDescent="0.35">
      <c r="A1523" s="1" t="s">
        <v>1010</v>
      </c>
      <c r="B1523" s="4">
        <f t="shared" ref="B1523:B1524" si="2149">C1523*180/PI()</f>
        <v>264.84974079922313</v>
      </c>
      <c r="C1523" s="2">
        <f t="shared" ref="C1523:C1524" si="2150">C1514+Q1516</f>
        <v>4.6225000000000014</v>
      </c>
      <c r="E1523" s="7" t="s">
        <v>1011</v>
      </c>
      <c r="F1523" s="6">
        <f t="shared" ref="F1523" si="2151">-B1525*COS(B$6)+B$1*COS(C1523)+B$2*COS(C1524)-B$3*COS(C$4)</f>
        <v>9.1404861641722485E-3</v>
      </c>
      <c r="H1523" s="11" t="s">
        <v>14</v>
      </c>
      <c r="I1523" s="12"/>
      <c r="J1523" s="13"/>
      <c r="L1523" s="11" t="s">
        <v>1012</v>
      </c>
      <c r="M1523" s="12"/>
      <c r="N1523" s="13"/>
      <c r="O1523" s="14" t="s">
        <v>18</v>
      </c>
      <c r="Q1523" s="16" t="s">
        <v>19</v>
      </c>
    </row>
    <row r="1524" spans="1:17" x14ac:dyDescent="0.35">
      <c r="A1524" s="1" t="s">
        <v>1013</v>
      </c>
      <c r="B1524" s="4">
        <f t="shared" si="2149"/>
        <v>67.423525264569761</v>
      </c>
      <c r="C1524" s="2">
        <f t="shared" si="2150"/>
        <v>1.1767625091683231</v>
      </c>
      <c r="E1524" s="7" t="s">
        <v>1014</v>
      </c>
      <c r="F1524" s="6">
        <f t="shared" ref="F1524" si="2152">-B1525*SIN(B$6)+B$1*SIN(C1523)+B$2*SIN(C1524)-B$3*SIN(C$4)</f>
        <v>5.2319454823227751E-2</v>
      </c>
      <c r="H1524" s="8" t="s">
        <v>16</v>
      </c>
      <c r="I1524" s="8" t="s">
        <v>15</v>
      </c>
      <c r="J1524" s="9" t="s">
        <v>8</v>
      </c>
      <c r="L1524" s="8" t="s">
        <v>16</v>
      </c>
      <c r="M1524" s="8" t="s">
        <v>15</v>
      </c>
      <c r="N1524" s="9" t="s">
        <v>8</v>
      </c>
      <c r="O1524" s="15"/>
      <c r="Q1524" s="17"/>
    </row>
    <row r="1525" spans="1:17" x14ac:dyDescent="0.35">
      <c r="A1525" s="1" t="s">
        <v>8</v>
      </c>
      <c r="B1525" s="4">
        <f t="shared" ref="B1525" si="2153">B1516+Q1518</f>
        <v>2.0250529367203631</v>
      </c>
      <c r="C1525" s="2"/>
      <c r="E1525" s="7" t="s">
        <v>1015</v>
      </c>
      <c r="F1525" s="6">
        <f>C1523-F$3*B1521-0.5*(F$4)*B1521^2</f>
        <v>0</v>
      </c>
      <c r="H1525" s="2">
        <f t="shared" ref="H1525" si="2154">-B$1*SIN(C1523)</f>
        <v>2.9878881154685848</v>
      </c>
      <c r="I1525" s="2">
        <f t="shared" ref="I1525" si="2155">-B$2*SIN(C1524)</f>
        <v>-5.5402075702918125</v>
      </c>
      <c r="J1525" s="2">
        <f t="shared" ref="J1525" si="2156">-COS(B$6)</f>
        <v>-1</v>
      </c>
      <c r="L1525" s="2" cm="1">
        <f t="array" ref="L1525:N1527">MINVERSE(H1525:J1527)</f>
        <v>0</v>
      </c>
      <c r="M1525" s="2">
        <v>-1.4862979893757399E-16</v>
      </c>
      <c r="N1525" s="2">
        <v>1</v>
      </c>
      <c r="O1525" s="10">
        <f t="shared" ref="O1525:O1527" si="2157">-F1523</f>
        <v>-9.1404861641722485E-3</v>
      </c>
      <c r="Q1525" s="2" cm="1">
        <f t="array" ref="Q1525:Q1527">MMULT(L1525:N1527,O1525:O1527)</f>
        <v>7.7762300508998258E-18</v>
      </c>
    </row>
    <row r="1526" spans="1:17" x14ac:dyDescent="0.35">
      <c r="H1526" s="2">
        <f t="shared" ref="H1526" si="2158">B$1*COS(C1523)</f>
        <v>-0.26930393506517464</v>
      </c>
      <c r="I1526" s="2">
        <f t="shared" ref="I1526" si="2159">B$2*COS(C1524)</f>
        <v>2.30349735794971</v>
      </c>
      <c r="J1526" s="2">
        <f t="shared" ref="J1526" si="2160">-SIN(B$6)</f>
        <v>0</v>
      </c>
      <c r="L1526" s="2">
        <v>0</v>
      </c>
      <c r="M1526" s="2">
        <v>0.4341224862050968</v>
      </c>
      <c r="N1526" s="2">
        <v>0.11691089383530953</v>
      </c>
      <c r="O1526" s="10">
        <f t="shared" si="2157"/>
        <v>-5.2319454823227751E-2</v>
      </c>
      <c r="Q1526" s="2">
        <v>-2.2713051804754875E-2</v>
      </c>
    </row>
    <row r="1527" spans="1:17" x14ac:dyDescent="0.35">
      <c r="H1527" s="2">
        <v>1</v>
      </c>
      <c r="I1527" s="2">
        <v>0</v>
      </c>
      <c r="J1527" s="2">
        <v>0</v>
      </c>
      <c r="L1527" s="2">
        <v>-1</v>
      </c>
      <c r="M1527" s="2">
        <v>-2.4051286845073805</v>
      </c>
      <c r="N1527" s="2">
        <v>2.3401774963926205</v>
      </c>
      <c r="O1527" s="10">
        <f t="shared" si="2157"/>
        <v>0</v>
      </c>
      <c r="Q1527" s="2">
        <v>0.13497550771730532</v>
      </c>
    </row>
    <row r="1530" spans="1:17" x14ac:dyDescent="0.35">
      <c r="A1530" s="1" t="s">
        <v>9</v>
      </c>
      <c r="B1530" s="2">
        <f t="shared" ref="B1530" si="2161">IF(AND((B1521 = B1512), ABS(B1525-B1516) &lt; 0.001),B1521+0.1,B1521)</f>
        <v>4.3000000000000007</v>
      </c>
    </row>
    <row r="1531" spans="1:17" x14ac:dyDescent="0.35">
      <c r="C1531" s="1" t="s">
        <v>3</v>
      </c>
    </row>
    <row r="1532" spans="1:17" x14ac:dyDescent="0.35">
      <c r="A1532" s="1" t="s">
        <v>1016</v>
      </c>
      <c r="B1532" s="4">
        <f t="shared" ref="B1532:B1533" si="2162">C1532*180/PI()</f>
        <v>264.84974079922313</v>
      </c>
      <c r="C1532" s="2">
        <f t="shared" ref="C1532:C1533" si="2163">C1523+Q1525</f>
        <v>4.6225000000000014</v>
      </c>
      <c r="E1532" s="7" t="s">
        <v>1017</v>
      </c>
      <c r="F1532" s="6">
        <f t="shared" ref="F1532" si="2164">-B1534*COS(B$6)+B$1*COS(C1532)+B$2*COS(C1533)-B$3*COS(C$4)</f>
        <v>-6.0496077412623738E-4</v>
      </c>
      <c r="H1532" s="11" t="s">
        <v>14</v>
      </c>
      <c r="I1532" s="12"/>
      <c r="J1532" s="13"/>
      <c r="L1532" s="11" t="s">
        <v>1018</v>
      </c>
      <c r="M1532" s="12"/>
      <c r="N1532" s="13"/>
      <c r="O1532" s="14" t="s">
        <v>18</v>
      </c>
      <c r="Q1532" s="16" t="s">
        <v>19</v>
      </c>
    </row>
    <row r="1533" spans="1:17" x14ac:dyDescent="0.35">
      <c r="A1533" s="1" t="s">
        <v>1019</v>
      </c>
      <c r="B1533" s="4">
        <f t="shared" si="2162"/>
        <v>66.122163256295309</v>
      </c>
      <c r="C1533" s="2">
        <f t="shared" si="2163"/>
        <v>1.1540494573635682</v>
      </c>
      <c r="E1533" s="7" t="s">
        <v>1020</v>
      </c>
      <c r="F1533" s="6">
        <f t="shared" ref="F1533" si="2165">-B1534*SIN(B$6)+B$1*SIN(C1532)+B$2*SIN(C1533)-B$3*SIN(C$4)</f>
        <v>-1.4244889131926897E-3</v>
      </c>
      <c r="H1533" s="8" t="s">
        <v>16</v>
      </c>
      <c r="I1533" s="8" t="s">
        <v>15</v>
      </c>
      <c r="J1533" s="9" t="s">
        <v>8</v>
      </c>
      <c r="L1533" s="8" t="s">
        <v>16</v>
      </c>
      <c r="M1533" s="8" t="s">
        <v>15</v>
      </c>
      <c r="N1533" s="9" t="s">
        <v>8</v>
      </c>
      <c r="O1533" s="15"/>
      <c r="Q1533" s="17"/>
    </row>
    <row r="1534" spans="1:17" x14ac:dyDescent="0.35">
      <c r="A1534" s="1" t="s">
        <v>8</v>
      </c>
      <c r="B1534" s="4">
        <f t="shared" ref="B1534" si="2166">B1525+Q1527</f>
        <v>2.1600284444376685</v>
      </c>
      <c r="C1534" s="2"/>
      <c r="E1534" s="7" t="s">
        <v>1021</v>
      </c>
      <c r="F1534" s="6">
        <f>C1532-F$3*B1530-0.5*(F$4)*B1530^2</f>
        <v>0</v>
      </c>
      <c r="H1534" s="2">
        <f t="shared" ref="H1534" si="2167">-B$1*SIN(C1532)</f>
        <v>2.9878881154685848</v>
      </c>
      <c r="I1534" s="2">
        <f t="shared" ref="I1534" si="2168">-B$2*SIN(C1533)</f>
        <v>-5.4864636265553921</v>
      </c>
      <c r="J1534" s="2">
        <f t="shared" ref="J1534" si="2169">-COS(B$6)</f>
        <v>-1</v>
      </c>
      <c r="L1534" s="2" cm="1">
        <f t="array" ref="L1534:N1536">MINVERSE(H1534:J1536)</f>
        <v>0</v>
      </c>
      <c r="M1534" s="2">
        <v>1.4862979893757399E-16</v>
      </c>
      <c r="N1534" s="2">
        <v>1</v>
      </c>
      <c r="O1534" s="10">
        <f t="shared" ref="O1534:O1536" si="2170">-F1532</f>
        <v>6.0496077412623738E-4</v>
      </c>
      <c r="Q1534" s="2" cm="1">
        <f t="array" ref="Q1534:Q1536">MMULT(L1534:N1536,O1534:O1536)</f>
        <v>2.1172150075663275E-19</v>
      </c>
    </row>
    <row r="1535" spans="1:17" x14ac:dyDescent="0.35">
      <c r="H1535" s="2">
        <f t="shared" ref="H1535" si="2171">B$1*COS(C1532)</f>
        <v>-0.26930393506517464</v>
      </c>
      <c r="I1535" s="2">
        <f t="shared" ref="I1535" si="2172">B$2*COS(C1533)</f>
        <v>2.4287274187287169</v>
      </c>
      <c r="J1535" s="2">
        <f t="shared" ref="J1535" si="2173">-SIN(B$6)</f>
        <v>0</v>
      </c>
      <c r="L1535" s="2">
        <v>0</v>
      </c>
      <c r="M1535" s="2">
        <v>0.41173825942288572</v>
      </c>
      <c r="N1535" s="2">
        <v>0.11088273347946882</v>
      </c>
      <c r="O1535" s="10">
        <f t="shared" si="2170"/>
        <v>1.4244889131926897E-3</v>
      </c>
      <c r="Q1535" s="2">
        <v>5.8651658568515622E-4</v>
      </c>
    </row>
    <row r="1536" spans="1:17" x14ac:dyDescent="0.35">
      <c r="H1536" s="2">
        <v>1</v>
      </c>
      <c r="I1536" s="2">
        <v>0</v>
      </c>
      <c r="J1536" s="2">
        <v>0</v>
      </c>
      <c r="L1536" s="2">
        <v>-1</v>
      </c>
      <c r="M1536" s="2">
        <v>-2.2589869839848902</v>
      </c>
      <c r="N1536" s="2">
        <v>2.3795340314204432</v>
      </c>
      <c r="O1536" s="10">
        <f t="shared" si="2170"/>
        <v>0</v>
      </c>
      <c r="Q1536" s="2">
        <v>-3.8228626878593053E-3</v>
      </c>
    </row>
    <row r="1539" spans="1:17" x14ac:dyDescent="0.35">
      <c r="A1539" s="1" t="s">
        <v>9</v>
      </c>
      <c r="B1539" s="2">
        <f t="shared" ref="B1539" si="2174">IF(AND((B1530 = B1521), ABS(B1534-B1525) &lt; 0.001),B1530+0.1,B1530)</f>
        <v>4.3000000000000007</v>
      </c>
    </row>
    <row r="1540" spans="1:17" x14ac:dyDescent="0.35">
      <c r="C1540" s="1" t="s">
        <v>3</v>
      </c>
    </row>
    <row r="1541" spans="1:17" x14ac:dyDescent="0.35">
      <c r="A1541" s="1" t="s">
        <v>1022</v>
      </c>
      <c r="B1541" s="4">
        <f t="shared" ref="B1541:B1542" si="2175">C1541*180/PI()</f>
        <v>264.84974079922313</v>
      </c>
      <c r="C1541" s="2">
        <f t="shared" ref="C1541:C1542" si="2176">C1532+Q1534</f>
        <v>4.6225000000000014</v>
      </c>
      <c r="E1541" s="7" t="s">
        <v>1023</v>
      </c>
      <c r="F1541" s="6">
        <f t="shared" ref="F1541" si="2177">-B1543*COS(B$6)+B$1*COS(C1541)+B$2*COS(C1542)-B$3*COS(C$4)</f>
        <v>-4.1755868067421204E-7</v>
      </c>
      <c r="H1541" s="11" t="s">
        <v>14</v>
      </c>
      <c r="I1541" s="12"/>
      <c r="J1541" s="13"/>
      <c r="L1541" s="11" t="s">
        <v>1024</v>
      </c>
      <c r="M1541" s="12"/>
      <c r="N1541" s="13"/>
      <c r="O1541" s="14" t="s">
        <v>18</v>
      </c>
      <c r="Q1541" s="16" t="s">
        <v>19</v>
      </c>
    </row>
    <row r="1542" spans="1:17" x14ac:dyDescent="0.35">
      <c r="A1542" s="1" t="s">
        <v>1025</v>
      </c>
      <c r="B1542" s="4">
        <f t="shared" si="2175"/>
        <v>66.15576818126948</v>
      </c>
      <c r="C1542" s="2">
        <f t="shared" si="2176"/>
        <v>1.1546359739492533</v>
      </c>
      <c r="E1542" s="7" t="s">
        <v>1026</v>
      </c>
      <c r="F1542" s="6">
        <f t="shared" ref="F1542" si="2178">-B1543*SIN(B$6)+B$1*SIN(C1541)+B$2*SIN(C1542)-B$3*SIN(C$4)</f>
        <v>-9.4375806547475349E-7</v>
      </c>
      <c r="H1542" s="8" t="s">
        <v>16</v>
      </c>
      <c r="I1542" s="8" t="s">
        <v>15</v>
      </c>
      <c r="J1542" s="9" t="s">
        <v>8</v>
      </c>
      <c r="L1542" s="8" t="s">
        <v>16</v>
      </c>
      <c r="M1542" s="8" t="s">
        <v>15</v>
      </c>
      <c r="N1542" s="9" t="s">
        <v>8</v>
      </c>
      <c r="O1542" s="15"/>
      <c r="Q1542" s="17"/>
    </row>
    <row r="1543" spans="1:17" x14ac:dyDescent="0.35">
      <c r="A1543" s="1" t="s">
        <v>8</v>
      </c>
      <c r="B1543" s="4">
        <f t="shared" ref="B1543" si="2179">B1534+Q1536</f>
        <v>2.1562055817498091</v>
      </c>
      <c r="C1543" s="2"/>
      <c r="E1543" s="7" t="s">
        <v>1027</v>
      </c>
      <c r="F1543" s="6">
        <f>C1541-F$3*B1539-0.5*(F$4)*B1539^2</f>
        <v>0</v>
      </c>
      <c r="H1543" s="2">
        <f t="shared" ref="H1543" si="2180">-B$1*SIN(C1541)</f>
        <v>2.9878881154685848</v>
      </c>
      <c r="I1543" s="2">
        <f t="shared" ref="I1543" si="2181">-B$2*SIN(C1542)</f>
        <v>-5.4878871717105193</v>
      </c>
      <c r="J1543" s="2">
        <f t="shared" ref="J1543" si="2182">-COS(B$6)</f>
        <v>-1</v>
      </c>
      <c r="L1543" s="2" cm="1">
        <f t="array" ref="L1543:N1545">MINVERSE(H1543:J1545)</f>
        <v>0</v>
      </c>
      <c r="M1543" s="2">
        <v>1.4862979893757399E-16</v>
      </c>
      <c r="N1543" s="2">
        <v>1</v>
      </c>
      <c r="O1543" s="10">
        <f t="shared" ref="O1543:O1545" si="2183">-F1541</f>
        <v>4.1755868067421204E-7</v>
      </c>
      <c r="Q1543" s="2" cm="1">
        <f t="array" ref="Q1543:Q1545">MMULT(L1543:N1545,O1543:O1545)</f>
        <v>1.4027057151722641E-22</v>
      </c>
    </row>
    <row r="1544" spans="1:17" x14ac:dyDescent="0.35">
      <c r="H1544" s="2">
        <f t="shared" ref="H1544" si="2184">B$1*COS(C1541)</f>
        <v>-0.26930393506517464</v>
      </c>
      <c r="I1544" s="2">
        <f t="shared" ref="I1544" si="2185">B$2*COS(C1542)</f>
        <v>2.4255090992563031</v>
      </c>
      <c r="J1544" s="2">
        <f t="shared" ref="J1544" si="2186">-SIN(B$6)</f>
        <v>0</v>
      </c>
      <c r="L1544" s="2">
        <v>0</v>
      </c>
      <c r="M1544" s="2">
        <v>0.41228457988742029</v>
      </c>
      <c r="N1544" s="2">
        <v>0.11102985973037462</v>
      </c>
      <c r="O1544" s="10">
        <f t="shared" si="2183"/>
        <v>9.4375806547475349E-7</v>
      </c>
      <c r="Q1544" s="2">
        <v>3.8909689753962323E-7</v>
      </c>
    </row>
    <row r="1545" spans="1:17" x14ac:dyDescent="0.35">
      <c r="H1545" s="2">
        <v>1</v>
      </c>
      <c r="I1545" s="2">
        <v>0</v>
      </c>
      <c r="J1545" s="2">
        <v>0</v>
      </c>
      <c r="L1545" s="2">
        <v>-1</v>
      </c>
      <c r="M1545" s="2">
        <v>-2.2625712570582341</v>
      </c>
      <c r="N1545" s="2">
        <v>2.3785687725774434</v>
      </c>
      <c r="O1545" s="10">
        <f t="shared" si="2183"/>
        <v>0</v>
      </c>
      <c r="Q1545" s="2">
        <v>-2.5528785532342721E-6</v>
      </c>
    </row>
    <row r="1548" spans="1:17" x14ac:dyDescent="0.35">
      <c r="A1548" s="1" t="s">
        <v>9</v>
      </c>
      <c r="B1548" s="2">
        <f t="shared" ref="B1548" si="2187">IF(AND((B1539 = B1530), ABS(B1543-B1534) &lt; 0.001),B1539+0.1,B1539)</f>
        <v>4.3000000000000007</v>
      </c>
    </row>
    <row r="1549" spans="1:17" x14ac:dyDescent="0.35">
      <c r="C1549" s="1" t="s">
        <v>3</v>
      </c>
    </row>
    <row r="1550" spans="1:17" x14ac:dyDescent="0.35">
      <c r="A1550" s="1" t="s">
        <v>1028</v>
      </c>
      <c r="B1550" s="4">
        <f t="shared" ref="B1550:B1551" si="2188">C1550*180/PI()</f>
        <v>264.84974079922313</v>
      </c>
      <c r="C1550" s="2">
        <f t="shared" ref="C1550:C1551" si="2189">C1541+Q1543</f>
        <v>4.6225000000000014</v>
      </c>
      <c r="E1550" s="7" t="s">
        <v>1029</v>
      </c>
      <c r="F1550" s="6">
        <f t="shared" ref="F1550" si="2190">-B1552*COS(B$6)+B$1*COS(C1550)+B$2*COS(C1551)-B$3*COS(C$4)</f>
        <v>-1.8356198722493944E-13</v>
      </c>
      <c r="H1550" s="11" t="s">
        <v>14</v>
      </c>
      <c r="I1550" s="12"/>
      <c r="J1550" s="13"/>
      <c r="L1550" s="11" t="s">
        <v>1030</v>
      </c>
      <c r="M1550" s="12"/>
      <c r="N1550" s="13"/>
      <c r="O1550" s="14" t="s">
        <v>18</v>
      </c>
      <c r="Q1550" s="16" t="s">
        <v>19</v>
      </c>
    </row>
    <row r="1551" spans="1:17" x14ac:dyDescent="0.35">
      <c r="A1551" s="1" t="s">
        <v>1031</v>
      </c>
      <c r="B1551" s="4">
        <f t="shared" si="2188"/>
        <v>66.155790474879538</v>
      </c>
      <c r="C1551" s="2">
        <f t="shared" si="2189"/>
        <v>1.1546363630461509</v>
      </c>
      <c r="E1551" s="7" t="s">
        <v>1032</v>
      </c>
      <c r="F1551" s="6">
        <f t="shared" ref="F1551" si="2191">-B1552*SIN(B$6)+B$1*SIN(C1550)+B$2*SIN(C1551)-B$3*SIN(C$4)</f>
        <v>-4.1566750041965861E-13</v>
      </c>
      <c r="H1551" s="8" t="s">
        <v>16</v>
      </c>
      <c r="I1551" s="8" t="s">
        <v>15</v>
      </c>
      <c r="J1551" s="9" t="s">
        <v>8</v>
      </c>
      <c r="L1551" s="8" t="s">
        <v>16</v>
      </c>
      <c r="M1551" s="8" t="s">
        <v>15</v>
      </c>
      <c r="N1551" s="9" t="s">
        <v>8</v>
      </c>
      <c r="O1551" s="15"/>
      <c r="Q1551" s="17"/>
    </row>
    <row r="1552" spans="1:17" x14ac:dyDescent="0.35">
      <c r="A1552" s="1" t="s">
        <v>8</v>
      </c>
      <c r="B1552" s="4">
        <f t="shared" ref="B1552" si="2192">B1543+Q1545</f>
        <v>2.1562030288712557</v>
      </c>
      <c r="C1552" s="2"/>
      <c r="E1552" s="7" t="s">
        <v>1033</v>
      </c>
      <c r="F1552" s="6">
        <f>C1550-F$3*B1548-0.5*(F$4)*B1548^2</f>
        <v>0</v>
      </c>
      <c r="H1552" s="2">
        <f t="shared" ref="H1552" si="2193">-B$1*SIN(C1550)</f>
        <v>2.9878881154685848</v>
      </c>
      <c r="I1552" s="2">
        <f t="shared" ref="I1552" si="2194">-B$2*SIN(C1551)</f>
        <v>-5.4878881154681691</v>
      </c>
      <c r="J1552" s="2">
        <f t="shared" ref="J1552" si="2195">-COS(B$6)</f>
        <v>-1</v>
      </c>
      <c r="L1552" s="2" cm="1">
        <f t="array" ref="L1552:N1554">MINVERSE(H1552:J1554)</f>
        <v>0</v>
      </c>
      <c r="M1552" s="2">
        <v>1.4862979893757399E-16</v>
      </c>
      <c r="N1552" s="2">
        <v>1</v>
      </c>
      <c r="O1552" s="10">
        <f t="shared" ref="O1552:O1554" si="2196">-F1550</f>
        <v>1.8356198722493944E-13</v>
      </c>
      <c r="Q1552" s="2" cm="1">
        <f t="array" ref="Q1552:Q1554">MMULT(L1552:N1554,O1552:O1554)</f>
        <v>6.178057701225781E-29</v>
      </c>
    </row>
    <row r="1553" spans="1:17" x14ac:dyDescent="0.35">
      <c r="H1553" s="2">
        <f t="shared" ref="H1553" si="2197">B$1*COS(C1550)</f>
        <v>-0.26930393506517464</v>
      </c>
      <c r="I1553" s="2">
        <f t="shared" ref="I1553" si="2198">B$2*COS(C1551)</f>
        <v>2.4255069639362468</v>
      </c>
      <c r="J1553" s="2">
        <f t="shared" ref="J1553" si="2199">-SIN(B$6)</f>
        <v>0</v>
      </c>
      <c r="L1553" s="2">
        <v>0</v>
      </c>
      <c r="M1553" s="2">
        <v>0.41228494284639977</v>
      </c>
      <c r="N1553" s="2">
        <v>0.11102995747665606</v>
      </c>
      <c r="O1553" s="10">
        <f t="shared" si="2196"/>
        <v>4.1566750041965861E-13</v>
      </c>
      <c r="Q1553" s="2">
        <v>1.713734516536248E-13</v>
      </c>
    </row>
    <row r="1554" spans="1:17" x14ac:dyDescent="0.35">
      <c r="H1554" s="2">
        <v>1</v>
      </c>
      <c r="I1554" s="2">
        <v>0</v>
      </c>
      <c r="J1554" s="2">
        <v>0</v>
      </c>
      <c r="L1554" s="2">
        <v>-1</v>
      </c>
      <c r="M1554" s="2">
        <v>-2.2625736380332304</v>
      </c>
      <c r="N1554" s="2">
        <v>2.3785681313715079</v>
      </c>
      <c r="O1554" s="10">
        <f t="shared" si="2196"/>
        <v>0</v>
      </c>
      <c r="Q1554" s="2">
        <v>-1.1240403158616258E-12</v>
      </c>
    </row>
    <row r="1557" spans="1:17" x14ac:dyDescent="0.35">
      <c r="A1557" s="1" t="s">
        <v>9</v>
      </c>
      <c r="B1557" s="2">
        <f t="shared" ref="B1557" si="2200">IF(AND((B1548 = B1539), ABS(B1552-B1543) &lt; 0.001),B1548+0.1,B1548)</f>
        <v>4.4000000000000004</v>
      </c>
    </row>
    <row r="1558" spans="1:17" x14ac:dyDescent="0.35">
      <c r="C1558" s="1" t="s">
        <v>3</v>
      </c>
    </row>
    <row r="1559" spans="1:17" x14ac:dyDescent="0.35">
      <c r="A1559" s="1" t="s">
        <v>1034</v>
      </c>
      <c r="B1559" s="4">
        <f t="shared" ref="B1559:B1560" si="2201">C1559*180/PI()</f>
        <v>264.84974079922313</v>
      </c>
      <c r="C1559" s="2">
        <f t="shared" ref="C1559:C1560" si="2202">C1550+Q1552</f>
        <v>4.6225000000000014</v>
      </c>
      <c r="E1559" s="7" t="s">
        <v>1035</v>
      </c>
      <c r="F1559" s="6">
        <f t="shared" ref="F1559" si="2203">-B1561*COS(B$6)+B$1*COS(C1559)+B$2*COS(C1560)-B$3*COS(C$4)</f>
        <v>-5.9723276671364012E-16</v>
      </c>
      <c r="H1559" s="11" t="s">
        <v>14</v>
      </c>
      <c r="I1559" s="12"/>
      <c r="J1559" s="13"/>
      <c r="L1559" s="11" t="s">
        <v>1036</v>
      </c>
      <c r="M1559" s="12"/>
      <c r="N1559" s="13"/>
      <c r="O1559" s="14" t="s">
        <v>18</v>
      </c>
      <c r="Q1559" s="16" t="s">
        <v>19</v>
      </c>
    </row>
    <row r="1560" spans="1:17" x14ac:dyDescent="0.35">
      <c r="A1560" s="1" t="s">
        <v>1037</v>
      </c>
      <c r="B1560" s="4">
        <f t="shared" si="2201"/>
        <v>66.155790474889358</v>
      </c>
      <c r="C1560" s="2">
        <f t="shared" si="2202"/>
        <v>1.1546363630463223</v>
      </c>
      <c r="E1560" s="7" t="s">
        <v>1038</v>
      </c>
      <c r="F1560" s="6">
        <f t="shared" ref="F1560" si="2204">-B1561*SIN(B$6)+B$1*SIN(C1559)+B$2*SIN(C1560)-B$3*SIN(C$4)</f>
        <v>0</v>
      </c>
      <c r="H1560" s="8" t="s">
        <v>16</v>
      </c>
      <c r="I1560" s="8" t="s">
        <v>15</v>
      </c>
      <c r="J1560" s="9" t="s">
        <v>8</v>
      </c>
      <c r="L1560" s="8" t="s">
        <v>16</v>
      </c>
      <c r="M1560" s="8" t="s">
        <v>15</v>
      </c>
      <c r="N1560" s="9" t="s">
        <v>8</v>
      </c>
      <c r="O1560" s="15"/>
      <c r="Q1560" s="17"/>
    </row>
    <row r="1561" spans="1:17" x14ac:dyDescent="0.35">
      <c r="A1561" s="1" t="s">
        <v>8</v>
      </c>
      <c r="B1561" s="4">
        <f t="shared" ref="B1561" si="2205">B1552+Q1554</f>
        <v>2.1562030288701317</v>
      </c>
      <c r="C1561" s="2"/>
      <c r="E1561" s="7" t="s">
        <v>1039</v>
      </c>
      <c r="F1561" s="6">
        <f>C1559-F$3*B1557-0.5*(F$4)*B1557^2</f>
        <v>-0.21749999999999936</v>
      </c>
      <c r="H1561" s="2">
        <f t="shared" ref="H1561" si="2206">-B$1*SIN(C1559)</f>
        <v>2.9878881154685848</v>
      </c>
      <c r="I1561" s="2">
        <f t="shared" ref="I1561" si="2207">-B$2*SIN(C1560)</f>
        <v>-5.4878881154685848</v>
      </c>
      <c r="J1561" s="2">
        <f t="shared" ref="J1561" si="2208">-COS(B$6)</f>
        <v>-1</v>
      </c>
      <c r="L1561" s="2" cm="1">
        <f t="array" ref="L1561:N1563">MINVERSE(H1561:J1563)</f>
        <v>0</v>
      </c>
      <c r="M1561" s="2">
        <v>1.4862979893757399E-16</v>
      </c>
      <c r="N1561" s="2">
        <v>1</v>
      </c>
      <c r="O1561" s="10">
        <f t="shared" ref="O1561:O1563" si="2209">-F1559</f>
        <v>5.9723276671364012E-16</v>
      </c>
      <c r="Q1561" s="2" cm="1">
        <f t="array" ref="Q1561:Q1563">MMULT(L1561:N1563,O1561:O1563)</f>
        <v>0.21749999999999936</v>
      </c>
    </row>
    <row r="1562" spans="1:17" x14ac:dyDescent="0.35">
      <c r="H1562" s="2">
        <f t="shared" ref="H1562" si="2210">B$1*COS(C1559)</f>
        <v>-0.26930393506517464</v>
      </c>
      <c r="I1562" s="2">
        <f t="shared" ref="I1562" si="2211">B$2*COS(C1560)</f>
        <v>2.4255069639353057</v>
      </c>
      <c r="J1562" s="2">
        <f t="shared" ref="J1562" si="2212">-SIN(B$6)</f>
        <v>0</v>
      </c>
      <c r="L1562" s="2">
        <v>0</v>
      </c>
      <c r="M1562" s="2">
        <v>0.4122849428465597</v>
      </c>
      <c r="N1562" s="2">
        <v>0.11102995747669914</v>
      </c>
      <c r="O1562" s="10">
        <f t="shared" si="2209"/>
        <v>0</v>
      </c>
      <c r="Q1562" s="2">
        <v>2.4149015751181991E-2</v>
      </c>
    </row>
    <row r="1563" spans="1:17" x14ac:dyDescent="0.35">
      <c r="H1563" s="2">
        <v>1</v>
      </c>
      <c r="I1563" s="2">
        <v>0</v>
      </c>
      <c r="J1563" s="2">
        <v>0</v>
      </c>
      <c r="L1563" s="2">
        <v>-1</v>
      </c>
      <c r="M1563" s="2">
        <v>-2.2625736380342794</v>
      </c>
      <c r="N1563" s="2">
        <v>2.378568131371225</v>
      </c>
      <c r="O1563" s="10">
        <f t="shared" si="2209"/>
        <v>0.21749999999999936</v>
      </c>
      <c r="Q1563" s="2">
        <v>0.51733856857323934</v>
      </c>
    </row>
    <row r="1566" spans="1:17" x14ac:dyDescent="0.35">
      <c r="A1566" s="1" t="s">
        <v>9</v>
      </c>
      <c r="B1566" s="2">
        <f t="shared" ref="B1566" si="2213">IF(AND((B1557 = B1548), ABS(B1561-B1552) &lt; 0.001),B1557+0.1,B1557)</f>
        <v>4.4000000000000004</v>
      </c>
    </row>
    <row r="1567" spans="1:17" x14ac:dyDescent="0.35">
      <c r="C1567" s="1" t="s">
        <v>3</v>
      </c>
    </row>
    <row r="1568" spans="1:17" x14ac:dyDescent="0.35">
      <c r="A1568" s="1" t="s">
        <v>1040</v>
      </c>
      <c r="B1568" s="4">
        <f t="shared" ref="B1568:B1569" si="2214">C1568*180/PI()</f>
        <v>277.31157284331852</v>
      </c>
      <c r="C1568" s="2">
        <f t="shared" ref="C1568:C1569" si="2215">C1559+Q1561</f>
        <v>4.8400000000000007</v>
      </c>
      <c r="E1568" s="7" t="s">
        <v>1041</v>
      </c>
      <c r="F1568" s="6">
        <f t="shared" ref="F1568" si="2216">-B1570*COS(B$6)+B$1*COS(C1568)+B$2*COS(C1569)-B$3*COS(C$4)</f>
        <v>5.3879665970620006E-4</v>
      </c>
      <c r="H1568" s="11" t="s">
        <v>14</v>
      </c>
      <c r="I1568" s="12"/>
      <c r="J1568" s="13"/>
      <c r="L1568" s="11" t="s">
        <v>1042</v>
      </c>
      <c r="M1568" s="12"/>
      <c r="N1568" s="13"/>
      <c r="O1568" s="14" t="s">
        <v>18</v>
      </c>
      <c r="Q1568" s="16" t="s">
        <v>19</v>
      </c>
    </row>
    <row r="1569" spans="1:17" x14ac:dyDescent="0.35">
      <c r="A1569" s="1" t="s">
        <v>1043</v>
      </c>
      <c r="B1569" s="4">
        <f t="shared" si="2214"/>
        <v>67.539427156827031</v>
      </c>
      <c r="C1569" s="2">
        <f t="shared" si="2215"/>
        <v>1.1787853787975042</v>
      </c>
      <c r="E1569" s="7" t="s">
        <v>1044</v>
      </c>
      <c r="F1569" s="6">
        <f t="shared" ref="F1569" si="2217">-B1570*SIN(B$6)+B$1*SIN(C1568)+B$2*SIN(C1569)-B$3*SIN(C$4)</f>
        <v>6.9249634762390322E-2</v>
      </c>
      <c r="H1569" s="8" t="s">
        <v>16</v>
      </c>
      <c r="I1569" s="8" t="s">
        <v>15</v>
      </c>
      <c r="J1569" s="9" t="s">
        <v>8</v>
      </c>
      <c r="L1569" s="8" t="s">
        <v>16</v>
      </c>
      <c r="M1569" s="8" t="s">
        <v>15</v>
      </c>
      <c r="N1569" s="9" t="s">
        <v>8</v>
      </c>
      <c r="O1569" s="15"/>
      <c r="Q1569" s="17"/>
    </row>
    <row r="1570" spans="1:17" x14ac:dyDescent="0.35">
      <c r="A1570" s="1" t="s">
        <v>8</v>
      </c>
      <c r="B1570" s="4">
        <f t="shared" ref="B1570" si="2218">B1561+Q1563</f>
        <v>2.6735415974433709</v>
      </c>
      <c r="C1570" s="2"/>
      <c r="E1570" s="7" t="s">
        <v>1045</v>
      </c>
      <c r="F1570" s="6">
        <f>C1568-F$3*B1566-0.5*(F$4)*B1566^2</f>
        <v>0</v>
      </c>
      <c r="H1570" s="2">
        <f t="shared" ref="H1570" si="2219">-B$1*SIN(C1568)</f>
        <v>2.9756062719327376</v>
      </c>
      <c r="I1570" s="2">
        <f t="shared" ref="I1570" si="2220">-B$2*SIN(C1569)</f>
        <v>-5.544855906695128</v>
      </c>
      <c r="J1570" s="2">
        <f t="shared" ref="J1570" si="2221">-COS(B$6)</f>
        <v>-1</v>
      </c>
      <c r="L1570" s="2" cm="1">
        <f t="array" ref="L1570:N1572">MINVERSE(H1570:J1572)</f>
        <v>0</v>
      </c>
      <c r="M1570" s="2">
        <v>0</v>
      </c>
      <c r="N1570" s="2">
        <v>1</v>
      </c>
      <c r="O1570" s="10">
        <f t="shared" ref="O1570:O1572" si="2222">-F1568</f>
        <v>-5.3879665970620006E-4</v>
      </c>
      <c r="Q1570" s="2" cm="1">
        <f t="array" ref="Q1570:Q1572">MMULT(L1570:N1572,O1570:O1572)</f>
        <v>0</v>
      </c>
    </row>
    <row r="1571" spans="1:17" x14ac:dyDescent="0.35">
      <c r="H1571" s="2">
        <f t="shared" ref="H1571" si="2223">B$1*COS(C1568)</f>
        <v>0.38179485909917105</v>
      </c>
      <c r="I1571" s="2">
        <f t="shared" ref="I1571" si="2224">B$2*COS(C1569)</f>
        <v>2.2922855350039062</v>
      </c>
      <c r="J1571" s="2">
        <f t="shared" ref="J1571" si="2225">-SIN(B$6)</f>
        <v>0</v>
      </c>
      <c r="L1571" s="2">
        <v>0</v>
      </c>
      <c r="M1571" s="2">
        <v>0.43624582746332946</v>
      </c>
      <c r="N1571" s="2">
        <v>-0.16655641422896314</v>
      </c>
      <c r="O1571" s="10">
        <f t="shared" si="2222"/>
        <v>-6.9249634762390322E-2</v>
      </c>
      <c r="Q1571" s="2">
        <v>-3.0209864218452311E-2</v>
      </c>
    </row>
    <row r="1572" spans="1:17" x14ac:dyDescent="0.35">
      <c r="H1572" s="2">
        <v>1</v>
      </c>
      <c r="I1572" s="2">
        <v>0</v>
      </c>
      <c r="J1572" s="2">
        <v>0</v>
      </c>
      <c r="L1572" s="2">
        <v>-1</v>
      </c>
      <c r="M1572" s="2">
        <v>-2.4189202531811462</v>
      </c>
      <c r="N1572" s="2">
        <v>3.8991375891681646</v>
      </c>
      <c r="O1572" s="10">
        <f t="shared" si="2222"/>
        <v>0</v>
      </c>
      <c r="Q1572" s="2">
        <v>0.16804814071184929</v>
      </c>
    </row>
    <row r="1575" spans="1:17" x14ac:dyDescent="0.35">
      <c r="A1575" s="1" t="s">
        <v>9</v>
      </c>
      <c r="B1575" s="2">
        <f t="shared" ref="B1575" si="2226">IF(AND((B1566 = B1557), ABS(B1570-B1561) &lt; 0.001),B1566+0.1,B1566)</f>
        <v>4.4000000000000004</v>
      </c>
    </row>
    <row r="1576" spans="1:17" x14ac:dyDescent="0.35">
      <c r="C1576" s="1" t="s">
        <v>3</v>
      </c>
    </row>
    <row r="1577" spans="1:17" x14ac:dyDescent="0.35">
      <c r="A1577" s="1" t="s">
        <v>1046</v>
      </c>
      <c r="B1577" s="4">
        <f t="shared" ref="B1577:B1578" si="2227">C1577*180/PI()</f>
        <v>277.31157284331852</v>
      </c>
      <c r="C1577" s="2">
        <f t="shared" ref="C1577:C1578" si="2228">C1568+Q1570</f>
        <v>4.8400000000000007</v>
      </c>
      <c r="E1577" s="7" t="s">
        <v>1047</v>
      </c>
      <c r="F1577" s="6">
        <f t="shared" ref="F1577" si="2229">-B1579*COS(B$6)+B$1*COS(C1577)+B$2*COS(C1578)-B$3*COS(C$4)</f>
        <v>-1.0714094925773775E-3</v>
      </c>
      <c r="H1577" s="11" t="s">
        <v>14</v>
      </c>
      <c r="I1577" s="12"/>
      <c r="J1577" s="13"/>
      <c r="L1577" s="11" t="s">
        <v>1048</v>
      </c>
      <c r="M1577" s="12"/>
      <c r="N1577" s="13"/>
      <c r="O1577" s="14" t="s">
        <v>18</v>
      </c>
      <c r="Q1577" s="16" t="s">
        <v>19</v>
      </c>
    </row>
    <row r="1578" spans="1:17" x14ac:dyDescent="0.35">
      <c r="A1578" s="1" t="s">
        <v>1049</v>
      </c>
      <c r="B1578" s="4">
        <f t="shared" si="2227"/>
        <v>65.808529437446424</v>
      </c>
      <c r="C1578" s="2">
        <f t="shared" si="2228"/>
        <v>1.1485755145790519</v>
      </c>
      <c r="E1578" s="7" t="s">
        <v>1050</v>
      </c>
      <c r="F1578" s="6">
        <f t="shared" ref="F1578" si="2230">-B1579*SIN(B$6)+B$1*SIN(C1577)+B$2*SIN(C1578)-B$3*SIN(C$4)</f>
        <v>-2.5194920417259681E-3</v>
      </c>
      <c r="H1578" s="8" t="s">
        <v>16</v>
      </c>
      <c r="I1578" s="8" t="s">
        <v>15</v>
      </c>
      <c r="J1578" s="9" t="s">
        <v>8</v>
      </c>
      <c r="L1578" s="8" t="s">
        <v>16</v>
      </c>
      <c r="M1578" s="8" t="s">
        <v>15</v>
      </c>
      <c r="N1578" s="9" t="s">
        <v>8</v>
      </c>
      <c r="O1578" s="15"/>
      <c r="Q1578" s="17"/>
    </row>
    <row r="1579" spans="1:17" x14ac:dyDescent="0.35">
      <c r="A1579" s="1" t="s">
        <v>8</v>
      </c>
      <c r="B1579" s="4">
        <f t="shared" ref="B1579" si="2231">B1570+Q1572</f>
        <v>2.8415897381552204</v>
      </c>
      <c r="C1579" s="2"/>
      <c r="E1579" s="7" t="s">
        <v>1051</v>
      </c>
      <c r="F1579" s="6">
        <f>C1577-F$3*B1575-0.5*(F$4)*B1575^2</f>
        <v>0</v>
      </c>
      <c r="H1579" s="2">
        <f t="shared" ref="H1579" si="2232">-B$1*SIN(C1577)</f>
        <v>2.9756062719327376</v>
      </c>
      <c r="I1579" s="2">
        <f t="shared" ref="I1579" si="2233">-B$2*SIN(C1578)</f>
        <v>-5.4730867798910117</v>
      </c>
      <c r="J1579" s="2">
        <f t="shared" ref="J1579" si="2234">-COS(B$6)</f>
        <v>-1</v>
      </c>
      <c r="L1579" s="2" cm="1">
        <f t="array" ref="L1579:N1581">MINVERSE(H1579:J1581)</f>
        <v>0</v>
      </c>
      <c r="M1579" s="2">
        <v>0</v>
      </c>
      <c r="N1579" s="2">
        <v>1</v>
      </c>
      <c r="O1579" s="10">
        <f t="shared" ref="O1579:O1581" si="2235">-F1577</f>
        <v>1.0714094925773775E-3</v>
      </c>
      <c r="Q1579" s="2" cm="1">
        <f t="array" ref="Q1579:Q1581">MMULT(L1579:N1581,O1579:O1581)</f>
        <v>0</v>
      </c>
    </row>
    <row r="1580" spans="1:17" x14ac:dyDescent="0.35">
      <c r="H1580" s="2">
        <f t="shared" ref="H1580" si="2236">B$1*COS(C1577)</f>
        <v>0.38179485909917105</v>
      </c>
      <c r="I1580" s="2">
        <f t="shared" ref="I1580" si="2237">B$2*COS(C1578)</f>
        <v>2.4587234695634721</v>
      </c>
      <c r="J1580" s="2">
        <f t="shared" ref="J1580" si="2238">-SIN(B$6)</f>
        <v>0</v>
      </c>
      <c r="L1580" s="2">
        <v>0</v>
      </c>
      <c r="M1580" s="2">
        <v>0.40671511553820344</v>
      </c>
      <c r="N1580" s="2">
        <v>-0.15528174023041147</v>
      </c>
      <c r="O1580" s="10">
        <f t="shared" si="2235"/>
        <v>2.5194920417259681E-3</v>
      </c>
      <c r="Q1580" s="2">
        <v>1.0247154968481612E-3</v>
      </c>
    </row>
    <row r="1581" spans="1:17" x14ac:dyDescent="0.35">
      <c r="H1581" s="2">
        <v>1</v>
      </c>
      <c r="I1581" s="2">
        <v>0</v>
      </c>
      <c r="J1581" s="2">
        <v>0</v>
      </c>
      <c r="L1581" s="2">
        <v>-1</v>
      </c>
      <c r="M1581" s="2">
        <v>-2.2259871220339869</v>
      </c>
      <c r="N1581" s="2">
        <v>3.8254767115462727</v>
      </c>
      <c r="O1581" s="10">
        <f t="shared" si="2235"/>
        <v>0</v>
      </c>
      <c r="Q1581" s="2">
        <v>-6.6797663315264991E-3</v>
      </c>
    </row>
    <row r="1584" spans="1:17" x14ac:dyDescent="0.35">
      <c r="A1584" s="1" t="s">
        <v>9</v>
      </c>
      <c r="B1584" s="2">
        <f t="shared" ref="B1584" si="2239">IF(AND((B1575 = B1566), ABS(B1579-B1570) &lt; 0.001),B1575+0.1,B1575)</f>
        <v>4.4000000000000004</v>
      </c>
    </row>
    <row r="1585" spans="1:17" x14ac:dyDescent="0.35">
      <c r="C1585" s="1" t="s">
        <v>3</v>
      </c>
    </row>
    <row r="1586" spans="1:17" x14ac:dyDescent="0.35">
      <c r="A1586" s="1" t="s">
        <v>1052</v>
      </c>
      <c r="B1586" s="4">
        <f t="shared" ref="B1586:B1587" si="2240">C1586*180/PI()</f>
        <v>277.31157284331852</v>
      </c>
      <c r="C1586" s="2">
        <f t="shared" ref="C1586:C1587" si="2241">C1577+Q1579</f>
        <v>4.8400000000000007</v>
      </c>
      <c r="E1586" s="7" t="s">
        <v>1053</v>
      </c>
      <c r="F1586" s="6">
        <f t="shared" ref="F1586" si="2242">-B1588*COS(B$6)+B$1*COS(C1586)+B$2*COS(C1587)-B$3*COS(C$4)</f>
        <v>-1.2898996552412217E-6</v>
      </c>
      <c r="H1586" s="11" t="s">
        <v>14</v>
      </c>
      <c r="I1586" s="12"/>
      <c r="J1586" s="13"/>
      <c r="L1586" s="11" t="s">
        <v>1054</v>
      </c>
      <c r="M1586" s="12"/>
      <c r="N1586" s="13"/>
      <c r="O1586" s="14" t="s">
        <v>18</v>
      </c>
      <c r="Q1586" s="16" t="s">
        <v>19</v>
      </c>
    </row>
    <row r="1587" spans="1:17" x14ac:dyDescent="0.35">
      <c r="A1587" s="1" t="s">
        <v>1055</v>
      </c>
      <c r="B1587" s="4">
        <f t="shared" si="2240"/>
        <v>65.867241310617487</v>
      </c>
      <c r="C1587" s="2">
        <f t="shared" si="2241"/>
        <v>1.1496002300759001</v>
      </c>
      <c r="E1587" s="7" t="s">
        <v>1056</v>
      </c>
      <c r="F1587" s="6">
        <f t="shared" ref="F1587" si="2243">-B1588*SIN(B$6)+B$1*SIN(C1586)+B$2*SIN(C1587)-B$3*SIN(C$4)</f>
        <v>-2.8739257595944423E-6</v>
      </c>
      <c r="H1587" s="8" t="s">
        <v>16</v>
      </c>
      <c r="I1587" s="8" t="s">
        <v>15</v>
      </c>
      <c r="J1587" s="9" t="s">
        <v>8</v>
      </c>
      <c r="L1587" s="8" t="s">
        <v>16</v>
      </c>
      <c r="M1587" s="8" t="s">
        <v>15</v>
      </c>
      <c r="N1587" s="9" t="s">
        <v>8</v>
      </c>
      <c r="O1587" s="15"/>
      <c r="Q1587" s="17"/>
    </row>
    <row r="1588" spans="1:17" x14ac:dyDescent="0.35">
      <c r="A1588" s="1" t="s">
        <v>8</v>
      </c>
      <c r="B1588" s="4">
        <f t="shared" ref="B1588" si="2244">B1579+Q1581</f>
        <v>2.8349099718236941</v>
      </c>
      <c r="C1588" s="2"/>
      <c r="E1588" s="7" t="s">
        <v>1057</v>
      </c>
      <c r="F1588" s="6">
        <f>C1586-F$3*B1584-0.5*(F$4)*B1584^2</f>
        <v>0</v>
      </c>
      <c r="H1588" s="2">
        <f t="shared" ref="H1588" si="2245">-B$1*SIN(C1586)</f>
        <v>2.9756062719327376</v>
      </c>
      <c r="I1588" s="2">
        <f t="shared" ref="I1588" si="2246">-B$2*SIN(C1587)</f>
        <v>-5.475603398006978</v>
      </c>
      <c r="J1588" s="2">
        <f t="shared" ref="J1588" si="2247">-COS(B$6)</f>
        <v>-1</v>
      </c>
      <c r="L1588" s="2" cm="1">
        <f t="array" ref="L1588:N1590">MINVERSE(H1588:J1590)</f>
        <v>0</v>
      </c>
      <c r="M1588" s="2">
        <v>1.4924326986366195E-16</v>
      </c>
      <c r="N1588" s="2">
        <v>0.99999999999999989</v>
      </c>
      <c r="O1588" s="10">
        <f t="shared" ref="O1588:O1590" si="2248">-F1586</f>
        <v>1.2898996552412217E-6</v>
      </c>
      <c r="Q1588" s="2" cm="1">
        <f t="array" ref="Q1588:Q1590">MMULT(L1588:N1590,O1588:O1590)</f>
        <v>4.2891407770728304E-22</v>
      </c>
    </row>
    <row r="1589" spans="1:17" x14ac:dyDescent="0.35">
      <c r="H1589" s="2">
        <f t="shared" ref="H1589" si="2249">B$1*COS(C1586)</f>
        <v>0.38179485909917105</v>
      </c>
      <c r="I1589" s="2">
        <f t="shared" ref="I1589" si="2250">B$2*COS(C1587)</f>
        <v>2.4531138228248679</v>
      </c>
      <c r="J1589" s="2">
        <f t="shared" ref="J1589" si="2251">-SIN(B$6)</f>
        <v>0</v>
      </c>
      <c r="L1589" s="2">
        <v>0</v>
      </c>
      <c r="M1589" s="2">
        <v>0.40764516945587803</v>
      </c>
      <c r="N1589" s="2">
        <v>-0.15563683003486464</v>
      </c>
      <c r="O1589" s="10">
        <f t="shared" si="2248"/>
        <v>2.8739257595944423E-6</v>
      </c>
      <c r="Q1589" s="2">
        <v>1.1715419532734893E-6</v>
      </c>
    </row>
    <row r="1590" spans="1:17" x14ac:dyDescent="0.35">
      <c r="H1590" s="2">
        <v>1</v>
      </c>
      <c r="I1590" s="2">
        <v>0</v>
      </c>
      <c r="J1590" s="2">
        <v>0</v>
      </c>
      <c r="L1590" s="2">
        <v>-1</v>
      </c>
      <c r="M1590" s="2">
        <v>-2.2321032750537357</v>
      </c>
      <c r="N1590" s="2">
        <v>3.8278118273266766</v>
      </c>
      <c r="O1590" s="10">
        <f t="shared" si="2248"/>
        <v>0</v>
      </c>
      <c r="Q1590" s="2">
        <v>-7.7047987554932723E-6</v>
      </c>
    </row>
    <row r="1593" spans="1:17" x14ac:dyDescent="0.35">
      <c r="A1593" s="1" t="s">
        <v>9</v>
      </c>
      <c r="B1593" s="2">
        <f t="shared" ref="B1593" si="2252">IF(AND((B1584 = B1575), ABS(B1588-B1579) &lt; 0.001),B1584+0.1,B1584)</f>
        <v>4.4000000000000004</v>
      </c>
    </row>
    <row r="1594" spans="1:17" x14ac:dyDescent="0.35">
      <c r="C1594" s="1" t="s">
        <v>3</v>
      </c>
    </row>
    <row r="1595" spans="1:17" x14ac:dyDescent="0.35">
      <c r="A1595" s="1" t="s">
        <v>1058</v>
      </c>
      <c r="B1595" s="4">
        <f t="shared" ref="B1595:B1596" si="2253">C1595*180/PI()</f>
        <v>277.31157284331852</v>
      </c>
      <c r="C1595" s="2">
        <f t="shared" ref="C1595:C1596" si="2254">C1586+Q1588</f>
        <v>4.8400000000000007</v>
      </c>
      <c r="E1595" s="7" t="s">
        <v>1059</v>
      </c>
      <c r="F1595" s="6">
        <f t="shared" ref="F1595" si="2255">-B1597*COS(B$6)+B$1*COS(C1595)+B$2*COS(C1596)-B$3*COS(C$4)</f>
        <v>-1.6832512488886009E-12</v>
      </c>
      <c r="H1595" s="11" t="s">
        <v>14</v>
      </c>
      <c r="I1595" s="12"/>
      <c r="J1595" s="13"/>
      <c r="L1595" s="11" t="s">
        <v>1060</v>
      </c>
      <c r="M1595" s="12"/>
      <c r="N1595" s="13"/>
      <c r="O1595" s="14" t="s">
        <v>18</v>
      </c>
      <c r="Q1595" s="16" t="s">
        <v>19</v>
      </c>
    </row>
    <row r="1596" spans="1:17" x14ac:dyDescent="0.35">
      <c r="A1596" s="1" t="s">
        <v>1061</v>
      </c>
      <c r="B1596" s="4">
        <f t="shared" si="2253"/>
        <v>65.867308435026928</v>
      </c>
      <c r="C1596" s="2">
        <f t="shared" si="2254"/>
        <v>1.1496014016178533</v>
      </c>
      <c r="E1596" s="7" t="s">
        <v>1062</v>
      </c>
      <c r="F1596" s="6">
        <f t="shared" ref="F1596" si="2256">-B1597*SIN(B$6)+B$1*SIN(C1595)+B$2*SIN(C1596)-B$3*SIN(C$4)</f>
        <v>-3.7578828937512299E-12</v>
      </c>
      <c r="H1596" s="8" t="s">
        <v>16</v>
      </c>
      <c r="I1596" s="8" t="s">
        <v>15</v>
      </c>
      <c r="J1596" s="9" t="s">
        <v>8</v>
      </c>
      <c r="L1596" s="8" t="s">
        <v>16</v>
      </c>
      <c r="M1596" s="8" t="s">
        <v>15</v>
      </c>
      <c r="N1596" s="9" t="s">
        <v>8</v>
      </c>
      <c r="O1596" s="15"/>
      <c r="Q1596" s="17"/>
    </row>
    <row r="1597" spans="1:17" x14ac:dyDescent="0.35">
      <c r="A1597" s="1" t="s">
        <v>8</v>
      </c>
      <c r="B1597" s="4">
        <f t="shared" ref="B1597" si="2257">B1588+Q1590</f>
        <v>2.8349022670249386</v>
      </c>
      <c r="C1597" s="2"/>
      <c r="E1597" s="7" t="s">
        <v>1063</v>
      </c>
      <c r="F1597" s="6">
        <f>C1595-F$3*B1593-0.5*(F$4)*B1593^2</f>
        <v>0</v>
      </c>
      <c r="H1597" s="2">
        <f t="shared" ref="H1597" si="2258">-B$1*SIN(C1595)</f>
        <v>2.9756062719327376</v>
      </c>
      <c r="I1597" s="2">
        <f t="shared" ref="I1597" si="2259">-B$2*SIN(C1596)</f>
        <v>-5.4756062719289798</v>
      </c>
      <c r="J1597" s="2">
        <f t="shared" ref="J1597" si="2260">-COS(B$6)</f>
        <v>-1</v>
      </c>
      <c r="L1597" s="2" cm="1">
        <f t="array" ref="L1597:N1599">MINVERSE(H1597:J1599)</f>
        <v>0</v>
      </c>
      <c r="M1597" s="2">
        <v>0</v>
      </c>
      <c r="N1597" s="2">
        <v>1</v>
      </c>
      <c r="O1597" s="10">
        <f t="shared" ref="O1597:O1599" si="2261">-F1595</f>
        <v>1.6832512488886009E-12</v>
      </c>
      <c r="Q1597" s="2" cm="1">
        <f t="array" ref="Q1597:Q1599">MMULT(L1597:N1599,O1597:O1599)</f>
        <v>0</v>
      </c>
    </row>
    <row r="1598" spans="1:17" x14ac:dyDescent="0.35">
      <c r="H1598" s="2">
        <f t="shared" ref="H1598" si="2262">B$1*COS(C1595)</f>
        <v>0.38179485909917105</v>
      </c>
      <c r="I1598" s="2">
        <f t="shared" ref="I1598" si="2263">B$2*COS(C1596)</f>
        <v>2.4531074079240844</v>
      </c>
      <c r="J1598" s="2">
        <f t="shared" ref="J1598" si="2264">-SIN(B$6)</f>
        <v>0</v>
      </c>
      <c r="L1598" s="2">
        <v>0</v>
      </c>
      <c r="M1598" s="2">
        <v>0.40764623545213585</v>
      </c>
      <c r="N1598" s="2">
        <v>-0.15563723702675575</v>
      </c>
      <c r="O1598" s="10">
        <f t="shared" si="2261"/>
        <v>3.7578828937512299E-12</v>
      </c>
      <c r="Q1598" s="2">
        <v>1.5318868149076675E-12</v>
      </c>
    </row>
    <row r="1599" spans="1:17" x14ac:dyDescent="0.35">
      <c r="H1599" s="2">
        <v>1</v>
      </c>
      <c r="I1599" s="2">
        <v>0</v>
      </c>
      <c r="J1599" s="2">
        <v>0</v>
      </c>
      <c r="L1599" s="2">
        <v>-1</v>
      </c>
      <c r="M1599" s="2">
        <v>-2.2321102835699529</v>
      </c>
      <c r="N1599" s="2">
        <v>3.8278145031421387</v>
      </c>
      <c r="O1599" s="10">
        <f t="shared" si="2261"/>
        <v>0</v>
      </c>
      <c r="Q1599" s="2">
        <v>-1.0071260300482333E-11</v>
      </c>
    </row>
    <row r="1602" spans="1:17" x14ac:dyDescent="0.35">
      <c r="A1602" s="1" t="s">
        <v>9</v>
      </c>
      <c r="B1602" s="2">
        <f t="shared" ref="B1602" si="2265">IF(AND((B1593 = B1584), ABS(B1597-B1588) &lt; 0.001),B1593+0.1,B1593)</f>
        <v>4.5</v>
      </c>
    </row>
    <row r="1603" spans="1:17" x14ac:dyDescent="0.35">
      <c r="C1603" s="1" t="s">
        <v>3</v>
      </c>
    </row>
    <row r="1604" spans="1:17" x14ac:dyDescent="0.35">
      <c r="A1604" s="1" t="s">
        <v>1064</v>
      </c>
      <c r="B1604" s="4">
        <f t="shared" ref="B1604:B1605" si="2266">C1604*180/PI()</f>
        <v>277.31157284331852</v>
      </c>
      <c r="C1604" s="2">
        <f t="shared" ref="C1604:C1605" si="2267">C1595+Q1597</f>
        <v>4.8400000000000007</v>
      </c>
      <c r="E1604" s="7" t="s">
        <v>1065</v>
      </c>
      <c r="F1604" s="6">
        <f t="shared" ref="F1604" si="2268">-B1606*COS(B$6)+B$1*COS(C1604)+B$2*COS(C1605)-B$3*COS(C$4)</f>
        <v>-1.531435568635775E-16</v>
      </c>
      <c r="H1604" s="11" t="s">
        <v>14</v>
      </c>
      <c r="I1604" s="12"/>
      <c r="J1604" s="13"/>
      <c r="L1604" s="11" t="s">
        <v>1066</v>
      </c>
      <c r="M1604" s="12"/>
      <c r="N1604" s="13"/>
      <c r="O1604" s="14" t="s">
        <v>18</v>
      </c>
      <c r="Q1604" s="16" t="s">
        <v>19</v>
      </c>
    </row>
    <row r="1605" spans="1:17" x14ac:dyDescent="0.35">
      <c r="A1605" s="1" t="s">
        <v>1067</v>
      </c>
      <c r="B1605" s="4">
        <f t="shared" si="2266"/>
        <v>65.867308435114694</v>
      </c>
      <c r="C1605" s="2">
        <f t="shared" si="2267"/>
        <v>1.1496014016193852</v>
      </c>
      <c r="E1605" s="7" t="s">
        <v>1068</v>
      </c>
      <c r="F1605" s="6">
        <f t="shared" ref="F1605" si="2269">-B1606*SIN(B$6)+B$1*SIN(C1604)+B$2*SIN(C1605)-B$3*SIN(C$4)</f>
        <v>0</v>
      </c>
      <c r="H1605" s="8" t="s">
        <v>16</v>
      </c>
      <c r="I1605" s="8" t="s">
        <v>15</v>
      </c>
      <c r="J1605" s="9" t="s">
        <v>8</v>
      </c>
      <c r="L1605" s="8" t="s">
        <v>16</v>
      </c>
      <c r="M1605" s="8" t="s">
        <v>15</v>
      </c>
      <c r="N1605" s="9" t="s">
        <v>8</v>
      </c>
      <c r="O1605" s="15"/>
      <c r="Q1605" s="17"/>
    </row>
    <row r="1606" spans="1:17" x14ac:dyDescent="0.35">
      <c r="A1606" s="1" t="s">
        <v>8</v>
      </c>
      <c r="B1606" s="4">
        <f t="shared" ref="B1606" si="2270">B1597+Q1599</f>
        <v>2.8349022670148676</v>
      </c>
      <c r="C1606" s="2"/>
      <c r="E1606" s="7" t="s">
        <v>1069</v>
      </c>
      <c r="F1606" s="6">
        <f>C1604-F$3*B1602-0.5*(F$4)*B1602^2</f>
        <v>-0.22249999999999925</v>
      </c>
      <c r="H1606" s="2">
        <f t="shared" ref="H1606" si="2271">-B$1*SIN(C1604)</f>
        <v>2.9756062719327376</v>
      </c>
      <c r="I1606" s="2">
        <f t="shared" ref="I1606" si="2272">-B$2*SIN(C1605)</f>
        <v>-5.4756062719327376</v>
      </c>
      <c r="J1606" s="2">
        <f t="shared" ref="J1606" si="2273">-COS(B$6)</f>
        <v>-1</v>
      </c>
      <c r="L1606" s="2" cm="1">
        <f t="array" ref="L1606:N1608">MINVERSE(H1606:J1608)</f>
        <v>0</v>
      </c>
      <c r="M1606" s="2">
        <v>0</v>
      </c>
      <c r="N1606" s="2">
        <v>1</v>
      </c>
      <c r="O1606" s="10">
        <f t="shared" ref="O1606:O1608" si="2274">-F1604</f>
        <v>1.531435568635775E-16</v>
      </c>
      <c r="Q1606" s="2" cm="1">
        <f t="array" ref="Q1606:Q1608">MMULT(L1606:N1608,O1606:O1608)</f>
        <v>0.22249999999999925</v>
      </c>
    </row>
    <row r="1607" spans="1:17" x14ac:dyDescent="0.35">
      <c r="H1607" s="2">
        <f t="shared" ref="H1607" si="2275">B$1*COS(C1604)</f>
        <v>0.38179485909917105</v>
      </c>
      <c r="I1607" s="2">
        <f t="shared" ref="I1607" si="2276">B$2*COS(C1605)</f>
        <v>2.4531074079156965</v>
      </c>
      <c r="J1607" s="2">
        <f t="shared" ref="J1607" si="2277">-SIN(B$6)</f>
        <v>0</v>
      </c>
      <c r="L1607" s="2">
        <v>0</v>
      </c>
      <c r="M1607" s="2">
        <v>0.40764623545352974</v>
      </c>
      <c r="N1607" s="2">
        <v>-0.15563723702728791</v>
      </c>
      <c r="O1607" s="10">
        <f t="shared" si="2274"/>
        <v>0</v>
      </c>
      <c r="Q1607" s="2">
        <v>-3.4629285238571443E-2</v>
      </c>
    </row>
    <row r="1608" spans="1:17" x14ac:dyDescent="0.35">
      <c r="H1608" s="2">
        <v>1</v>
      </c>
      <c r="I1608" s="2">
        <v>0</v>
      </c>
      <c r="J1608" s="2">
        <v>0</v>
      </c>
      <c r="L1608" s="2">
        <v>-1</v>
      </c>
      <c r="M1608" s="2">
        <v>-2.2321102835791171</v>
      </c>
      <c r="N1608" s="2">
        <v>3.8278145031456376</v>
      </c>
      <c r="O1608" s="10">
        <f t="shared" si="2274"/>
        <v>0.22249999999999925</v>
      </c>
      <c r="Q1608" s="2">
        <v>0.85168872694990139</v>
      </c>
    </row>
    <row r="1611" spans="1:17" x14ac:dyDescent="0.35">
      <c r="A1611" s="1" t="s">
        <v>9</v>
      </c>
      <c r="B1611" s="2">
        <f t="shared" ref="B1611" si="2278">IF(AND((B1602 = B1593), ABS(B1606-B1597) &lt; 0.001),B1602+0.1,B1602)</f>
        <v>4.5</v>
      </c>
    </row>
    <row r="1612" spans="1:17" x14ac:dyDescent="0.35">
      <c r="C1612" s="1" t="s">
        <v>3</v>
      </c>
    </row>
    <row r="1613" spans="1:17" x14ac:dyDescent="0.35">
      <c r="A1613" s="1" t="s">
        <v>1070</v>
      </c>
      <c r="B1613" s="4">
        <f t="shared" ref="B1613:B1614" si="2279">C1613*180/PI()</f>
        <v>290.05988378497926</v>
      </c>
      <c r="C1613" s="2">
        <f t="shared" ref="C1613:C1614" si="2280">C1604+Q1606</f>
        <v>5.0625</v>
      </c>
      <c r="E1613" s="7" t="s">
        <v>1071</v>
      </c>
      <c r="F1613" s="6">
        <f t="shared" ref="F1613" si="2281">-B1615*COS(B$6)+B$1*COS(C1613)+B$2*COS(C1614)-B$3*COS(C$4)</f>
        <v>-1.636958826107475E-2</v>
      </c>
      <c r="H1613" s="11" t="s">
        <v>14</v>
      </c>
      <c r="I1613" s="12"/>
      <c r="J1613" s="13"/>
      <c r="L1613" s="11" t="s">
        <v>1072</v>
      </c>
      <c r="M1613" s="12"/>
      <c r="N1613" s="13"/>
      <c r="O1613" s="14" t="s">
        <v>18</v>
      </c>
      <c r="Q1613" s="16" t="s">
        <v>19</v>
      </c>
    </row>
    <row r="1614" spans="1:17" x14ac:dyDescent="0.35">
      <c r="A1614" s="1" t="s">
        <v>1073</v>
      </c>
      <c r="B1614" s="4">
        <f t="shared" si="2279"/>
        <v>63.883196543389865</v>
      </c>
      <c r="C1614" s="2">
        <f t="shared" si="2280"/>
        <v>1.1149721163808137</v>
      </c>
      <c r="E1614" s="7" t="s">
        <v>1074</v>
      </c>
      <c r="F1614" s="6">
        <f t="shared" ref="F1614" si="2282">-B1615*SIN(B$6)+B$1*SIN(C1613)+B$2*SIN(C1614)-B$3*SIN(C$4)</f>
        <v>6.9387166168910053E-2</v>
      </c>
      <c r="H1614" s="8" t="s">
        <v>16</v>
      </c>
      <c r="I1614" s="8" t="s">
        <v>15</v>
      </c>
      <c r="J1614" s="9" t="s">
        <v>8</v>
      </c>
      <c r="L1614" s="8" t="s">
        <v>16</v>
      </c>
      <c r="M1614" s="8" t="s">
        <v>15</v>
      </c>
      <c r="N1614" s="9" t="s">
        <v>8</v>
      </c>
      <c r="O1614" s="15"/>
      <c r="Q1614" s="17"/>
    </row>
    <row r="1615" spans="1:17" x14ac:dyDescent="0.35">
      <c r="A1615" s="1" t="s">
        <v>8</v>
      </c>
      <c r="B1615" s="4">
        <f t="shared" ref="B1615" si="2283">B1606+Q1608</f>
        <v>3.686590993964769</v>
      </c>
      <c r="C1615" s="2"/>
      <c r="E1615" s="7" t="s">
        <v>1075</v>
      </c>
      <c r="F1615" s="6">
        <f>C1613-F$3*B1611-0.5*(F$4)*B1611^2</f>
        <v>0</v>
      </c>
      <c r="H1615" s="2">
        <f t="shared" ref="H1615" si="2284">-B$1*SIN(C1613)</f>
        <v>2.818003916027195</v>
      </c>
      <c r="I1615" s="2">
        <f t="shared" ref="I1615" si="2285">-B$2*SIN(C1614)</f>
        <v>-5.3873910821961051</v>
      </c>
      <c r="J1615" s="2">
        <f t="shared" ref="J1615" si="2286">-COS(B$6)</f>
        <v>-1</v>
      </c>
      <c r="L1615" s="2" cm="1">
        <f t="array" ref="L1615:N1617">MINVERSE(H1615:J1617)</f>
        <v>0</v>
      </c>
      <c r="M1615" s="2">
        <v>0</v>
      </c>
      <c r="N1615" s="2">
        <v>1.0000000000000002</v>
      </c>
      <c r="O1615" s="10">
        <f t="shared" ref="O1615:O1617" si="2287">-F1613</f>
        <v>1.636958826107475E-2</v>
      </c>
      <c r="Q1615" s="2" cm="1">
        <f t="array" ref="Q1615:Q1617">MMULT(L1615:N1617,O1615:O1617)</f>
        <v>0</v>
      </c>
    </row>
    <row r="1616" spans="1:17" x14ac:dyDescent="0.35">
      <c r="H1616" s="2">
        <f t="shared" ref="H1616" si="2288">B$1*COS(C1613)</f>
        <v>1.029006282417845</v>
      </c>
      <c r="I1616" s="2">
        <f t="shared" ref="I1616" si="2289">B$2*COS(C1614)</f>
        <v>2.6412151232858494</v>
      </c>
      <c r="J1616" s="2">
        <f t="shared" ref="J1616" si="2290">-SIN(B$6)</f>
        <v>0</v>
      </c>
      <c r="L1616" s="2">
        <v>0</v>
      </c>
      <c r="M1616" s="2">
        <v>0.37861361279649669</v>
      </c>
      <c r="N1616" s="2">
        <v>-0.38959578617651258</v>
      </c>
      <c r="O1616" s="10">
        <f t="shared" si="2287"/>
        <v>-6.9387166168910053E-2</v>
      </c>
      <c r="Q1616" s="2">
        <v>-2.6270925664921885E-2</v>
      </c>
    </row>
    <row r="1617" spans="1:17" x14ac:dyDescent="0.35">
      <c r="H1617" s="2">
        <v>1</v>
      </c>
      <c r="I1617" s="2">
        <v>0</v>
      </c>
      <c r="J1617" s="2">
        <v>0</v>
      </c>
      <c r="L1617" s="2">
        <v>-1</v>
      </c>
      <c r="M1617" s="2">
        <v>-2.0397396011778954</v>
      </c>
      <c r="N1617" s="2">
        <v>4.9169087801357199</v>
      </c>
      <c r="O1617" s="10">
        <f t="shared" si="2287"/>
        <v>0</v>
      </c>
      <c r="Q1617" s="2">
        <v>0.12516216238716221</v>
      </c>
    </row>
    <row r="1620" spans="1:17" x14ac:dyDescent="0.35">
      <c r="A1620" s="1" t="s">
        <v>9</v>
      </c>
      <c r="B1620" s="2">
        <f t="shared" ref="B1620" si="2291">IF(AND((B1611 = B1602), ABS(B1615-B1606) &lt; 0.001),B1611+0.1,B1611)</f>
        <v>4.5</v>
      </c>
    </row>
    <row r="1621" spans="1:17" x14ac:dyDescent="0.35">
      <c r="C1621" s="1" t="s">
        <v>3</v>
      </c>
    </row>
    <row r="1622" spans="1:17" x14ac:dyDescent="0.35">
      <c r="A1622" s="1" t="s">
        <v>1076</v>
      </c>
      <c r="B1622" s="4">
        <f t="shared" ref="B1622:B1623" si="2292">C1622*180/PI()</f>
        <v>290.05988378497926</v>
      </c>
      <c r="C1622" s="2">
        <f t="shared" ref="C1622:C1623" si="2293">C1613+Q1615</f>
        <v>5.0625</v>
      </c>
      <c r="E1622" s="7" t="s">
        <v>1077</v>
      </c>
      <c r="F1622" s="6">
        <f t="shared" ref="F1622" si="2294">-B1624*COS(B$6)+B$1*COS(C1622)+B$2*COS(C1623)-B$3*COS(C$4)</f>
        <v>-9.2765952376676385E-4</v>
      </c>
      <c r="H1622" s="11" t="s">
        <v>14</v>
      </c>
      <c r="I1622" s="12"/>
      <c r="J1622" s="13"/>
      <c r="L1622" s="11" t="s">
        <v>1078</v>
      </c>
      <c r="M1622" s="12"/>
      <c r="N1622" s="13"/>
      <c r="O1622" s="14" t="s">
        <v>18</v>
      </c>
      <c r="Q1622" s="16" t="s">
        <v>19</v>
      </c>
    </row>
    <row r="1623" spans="1:17" x14ac:dyDescent="0.35">
      <c r="A1623" s="1" t="s">
        <v>1079</v>
      </c>
      <c r="B1623" s="4">
        <f t="shared" si="2292"/>
        <v>62.377983378887926</v>
      </c>
      <c r="C1623" s="2">
        <f t="shared" si="2293"/>
        <v>1.0887011907158919</v>
      </c>
      <c r="E1623" s="7" t="s">
        <v>1080</v>
      </c>
      <c r="F1623" s="6">
        <f t="shared" ref="F1623" si="2295">-B1624*SIN(B$6)+B$1*SIN(C1622)+B$2*SIN(C1623)-B$3*SIN(C$4)</f>
        <v>-1.8509970135265341E-3</v>
      </c>
      <c r="H1623" s="8" t="s">
        <v>16</v>
      </c>
      <c r="I1623" s="8" t="s">
        <v>15</v>
      </c>
      <c r="J1623" s="9" t="s">
        <v>8</v>
      </c>
      <c r="L1623" s="8" t="s">
        <v>16</v>
      </c>
      <c r="M1623" s="8" t="s">
        <v>15</v>
      </c>
      <c r="N1623" s="9" t="s">
        <v>8</v>
      </c>
      <c r="O1623" s="15"/>
      <c r="Q1623" s="17"/>
    </row>
    <row r="1624" spans="1:17" x14ac:dyDescent="0.35">
      <c r="A1624" s="1" t="s">
        <v>8</v>
      </c>
      <c r="B1624" s="4">
        <f t="shared" ref="B1624" si="2296">B1615+Q1617</f>
        <v>3.8117531563519313</v>
      </c>
      <c r="C1624" s="2"/>
      <c r="E1624" s="7" t="s">
        <v>1081</v>
      </c>
      <c r="F1624" s="6">
        <f>C1622-F$3*B1620-0.5*(F$4)*B1620^2</f>
        <v>0</v>
      </c>
      <c r="H1624" s="2">
        <f t="shared" ref="H1624" si="2297">-B$1*SIN(C1622)</f>
        <v>2.818003916027195</v>
      </c>
      <c r="I1624" s="2">
        <f t="shared" ref="I1624" si="2298">-B$2*SIN(C1623)</f>
        <v>-5.3161529190136685</v>
      </c>
      <c r="J1624" s="2">
        <f t="shared" ref="J1624" si="2299">-COS(B$6)</f>
        <v>-1</v>
      </c>
      <c r="L1624" s="2" cm="1">
        <f t="array" ref="L1624:N1626">MINVERSE(H1624:J1626)</f>
        <v>0</v>
      </c>
      <c r="M1624" s="2">
        <v>7.8794995160286522E-17</v>
      </c>
      <c r="N1624" s="2">
        <v>1</v>
      </c>
      <c r="O1624" s="10">
        <f t="shared" ref="O1624:O1626" si="2300">-F1622</f>
        <v>9.2765952376676385E-4</v>
      </c>
      <c r="Q1624" s="2" cm="1">
        <f t="array" ref="Q1624:Q1626">MMULT(L1624:N1626,O1624:O1626)</f>
        <v>1.4584930072252807E-19</v>
      </c>
    </row>
    <row r="1625" spans="1:17" x14ac:dyDescent="0.35">
      <c r="H1625" s="2">
        <f t="shared" ref="H1625" si="2301">B$1*COS(C1622)</f>
        <v>1.029006282417845</v>
      </c>
      <c r="I1625" s="2">
        <f t="shared" ref="I1625" si="2302">B$2*COS(C1623)</f>
        <v>2.7818192144103198</v>
      </c>
      <c r="J1625" s="2">
        <f t="shared" ref="J1625" si="2303">-SIN(B$6)</f>
        <v>0</v>
      </c>
      <c r="L1625" s="2">
        <v>0</v>
      </c>
      <c r="M1625" s="2">
        <v>0.35947699074757328</v>
      </c>
      <c r="N1625" s="2">
        <v>-0.36990408186391444</v>
      </c>
      <c r="O1625" s="10">
        <f t="shared" si="2300"/>
        <v>1.8509970135265341E-3</v>
      </c>
      <c r="Q1625" s="2">
        <v>6.6539083630526373E-4</v>
      </c>
    </row>
    <row r="1626" spans="1:17" x14ac:dyDescent="0.35">
      <c r="H1626" s="2">
        <v>1</v>
      </c>
      <c r="I1626" s="2">
        <v>0</v>
      </c>
      <c r="J1626" s="2">
        <v>0</v>
      </c>
      <c r="L1626" s="2">
        <v>-1</v>
      </c>
      <c r="M1626" s="2">
        <v>-1.911034653680961</v>
      </c>
      <c r="N1626" s="2">
        <v>4.7844705805831147</v>
      </c>
      <c r="O1626" s="10">
        <f t="shared" si="2300"/>
        <v>0</v>
      </c>
      <c r="Q1626" s="2">
        <v>-4.4649789604759372E-3</v>
      </c>
    </row>
    <row r="1629" spans="1:17" x14ac:dyDescent="0.35">
      <c r="A1629" s="1" t="s">
        <v>9</v>
      </c>
      <c r="B1629" s="2">
        <f t="shared" ref="B1629" si="2304">IF(AND((B1620 = B1611), ABS(B1624-B1615) &lt; 0.001),B1620+0.1,B1620)</f>
        <v>4.5</v>
      </c>
    </row>
    <row r="1630" spans="1:17" x14ac:dyDescent="0.35">
      <c r="C1630" s="1" t="s">
        <v>3</v>
      </c>
    </row>
    <row r="1631" spans="1:17" x14ac:dyDescent="0.35">
      <c r="A1631" s="1" t="s">
        <v>1082</v>
      </c>
      <c r="B1631" s="4">
        <f t="shared" ref="B1631:B1632" si="2305">C1631*180/PI()</f>
        <v>290.05988378497926</v>
      </c>
      <c r="C1631" s="2">
        <f t="shared" ref="C1631:C1632" si="2306">C1622+Q1624</f>
        <v>5.0625</v>
      </c>
      <c r="E1631" s="7" t="s">
        <v>1083</v>
      </c>
      <c r="F1631" s="6">
        <f t="shared" ref="F1631" si="2307">-B1633*COS(B$6)+B$1*COS(C1631)+B$2*COS(C1632)-B$3*COS(C$4)</f>
        <v>-6.1555718049215386E-7</v>
      </c>
      <c r="H1631" s="11" t="s">
        <v>14</v>
      </c>
      <c r="I1631" s="12"/>
      <c r="J1631" s="13"/>
      <c r="L1631" s="11" t="s">
        <v>1084</v>
      </c>
      <c r="M1631" s="12"/>
      <c r="N1631" s="13"/>
      <c r="O1631" s="14" t="s">
        <v>18</v>
      </c>
      <c r="Q1631" s="16" t="s">
        <v>19</v>
      </c>
    </row>
    <row r="1632" spans="1:17" x14ac:dyDescent="0.35">
      <c r="A1632" s="1" t="s">
        <v>1085</v>
      </c>
      <c r="B1632" s="4">
        <f t="shared" si="2305"/>
        <v>62.416107465534907</v>
      </c>
      <c r="C1632" s="2">
        <f t="shared" si="2306"/>
        <v>1.0893665815521971</v>
      </c>
      <c r="E1632" s="7" t="s">
        <v>1086</v>
      </c>
      <c r="F1632" s="6">
        <f t="shared" ref="F1632" si="2308">-B1633*SIN(B$6)+B$1*SIN(C1631)+B$2*SIN(C1632)-B$3*SIN(C$4)</f>
        <v>-1.1769865122523981E-6</v>
      </c>
      <c r="H1632" s="8" t="s">
        <v>16</v>
      </c>
      <c r="I1632" s="8" t="s">
        <v>15</v>
      </c>
      <c r="J1632" s="9" t="s">
        <v>8</v>
      </c>
      <c r="L1632" s="8" t="s">
        <v>16</v>
      </c>
      <c r="M1632" s="8" t="s">
        <v>15</v>
      </c>
      <c r="N1632" s="9" t="s">
        <v>8</v>
      </c>
      <c r="O1632" s="15"/>
      <c r="Q1632" s="17"/>
    </row>
    <row r="1633" spans="1:17" x14ac:dyDescent="0.35">
      <c r="A1633" s="1" t="s">
        <v>8</v>
      </c>
      <c r="B1633" s="4">
        <f t="shared" ref="B1633" si="2309">B1624+Q1626</f>
        <v>3.8072881773914555</v>
      </c>
      <c r="C1633" s="2"/>
      <c r="E1633" s="7" t="s">
        <v>1087</v>
      </c>
      <c r="F1633" s="6">
        <f>C1631-F$3*B1629-0.5*(F$4)*B1629^2</f>
        <v>0</v>
      </c>
      <c r="H1633" s="2">
        <f t="shared" ref="H1633" si="2310">-B$1*SIN(C1631)</f>
        <v>2.818003916027195</v>
      </c>
      <c r="I1633" s="2">
        <f t="shared" ref="I1633" si="2311">-B$2*SIN(C1632)</f>
        <v>-5.3180027390406828</v>
      </c>
      <c r="J1633" s="2">
        <f t="shared" ref="J1633" si="2312">-COS(B$6)</f>
        <v>-1</v>
      </c>
      <c r="L1633" s="2" cm="1">
        <f t="array" ref="L1633:N1635">MINVERSE(H1633:J1635)</f>
        <v>0</v>
      </c>
      <c r="M1633" s="2">
        <v>0</v>
      </c>
      <c r="N1633" s="2">
        <v>1.0000000000000002</v>
      </c>
      <c r="O1633" s="10">
        <f t="shared" ref="O1633:O1635" si="2313">-F1631</f>
        <v>6.1555718049215386E-7</v>
      </c>
      <c r="Q1633" s="2" cm="1">
        <f t="array" ref="Q1633:Q1635">MMULT(L1633:N1635,O1633:O1635)</f>
        <v>0</v>
      </c>
    </row>
    <row r="1634" spans="1:17" x14ac:dyDescent="0.35">
      <c r="H1634" s="2">
        <f t="shared" ref="H1634" si="2314">B$1*COS(C1631)</f>
        <v>1.029006282417845</v>
      </c>
      <c r="I1634" s="2">
        <f t="shared" ref="I1634" si="2315">B$2*COS(C1632)</f>
        <v>2.7782812794164302</v>
      </c>
      <c r="J1634" s="2">
        <f t="shared" ref="J1634" si="2316">-SIN(B$6)</f>
        <v>0</v>
      </c>
      <c r="L1634" s="2">
        <v>0</v>
      </c>
      <c r="M1634" s="2">
        <v>0.35993475801343161</v>
      </c>
      <c r="N1634" s="2">
        <v>-0.37037512725636795</v>
      </c>
      <c r="O1634" s="10">
        <f t="shared" si="2313"/>
        <v>1.1769865122523981E-6</v>
      </c>
      <c r="Q1634" s="2">
        <v>4.2363835547263979E-7</v>
      </c>
    </row>
    <row r="1635" spans="1:17" x14ac:dyDescent="0.35">
      <c r="H1635" s="2">
        <v>1</v>
      </c>
      <c r="I1635" s="2">
        <v>0</v>
      </c>
      <c r="J1635" s="2">
        <v>0</v>
      </c>
      <c r="L1635" s="2">
        <v>-1</v>
      </c>
      <c r="M1635" s="2">
        <v>-1.9141340289913746</v>
      </c>
      <c r="N1635" s="2">
        <v>4.7876598572491016</v>
      </c>
      <c r="O1635" s="10">
        <f t="shared" si="2313"/>
        <v>0</v>
      </c>
      <c r="Q1635" s="2">
        <v>-2.8684671152583425E-6</v>
      </c>
    </row>
    <row r="1638" spans="1:17" x14ac:dyDescent="0.35">
      <c r="A1638" s="1" t="s">
        <v>9</v>
      </c>
      <c r="B1638" s="2">
        <f t="shared" ref="B1638" si="2317">IF(AND((B1629 = B1620), ABS(B1633-B1624) &lt; 0.001),B1629+0.1,B1629)</f>
        <v>4.5</v>
      </c>
    </row>
    <row r="1639" spans="1:17" x14ac:dyDescent="0.35">
      <c r="C1639" s="1" t="s">
        <v>3</v>
      </c>
    </row>
    <row r="1640" spans="1:17" x14ac:dyDescent="0.35">
      <c r="A1640" s="1" t="s">
        <v>1088</v>
      </c>
      <c r="B1640" s="4">
        <f t="shared" ref="B1640:B1641" si="2318">C1640*180/PI()</f>
        <v>290.05988378497926</v>
      </c>
      <c r="C1640" s="2">
        <f t="shared" ref="C1640:C1641" si="2319">C1631+Q1633</f>
        <v>5.0625</v>
      </c>
      <c r="E1640" s="7" t="s">
        <v>1089</v>
      </c>
      <c r="F1640" s="6">
        <f t="shared" ref="F1640" si="2320">-B1642*COS(B$6)+B$1*COS(C1640)+B$2*COS(C1641)-B$3*COS(C$4)</f>
        <v>-2.4973127949259877E-13</v>
      </c>
      <c r="H1640" s="11" t="s">
        <v>14</v>
      </c>
      <c r="I1640" s="12"/>
      <c r="J1640" s="13"/>
      <c r="L1640" s="11" t="s">
        <v>1090</v>
      </c>
      <c r="M1640" s="12"/>
      <c r="N1640" s="13"/>
      <c r="O1640" s="14" t="s">
        <v>18</v>
      </c>
      <c r="Q1640" s="16" t="s">
        <v>19</v>
      </c>
    </row>
    <row r="1641" spans="1:17" x14ac:dyDescent="0.35">
      <c r="A1641" s="1" t="s">
        <v>1091</v>
      </c>
      <c r="B1641" s="4">
        <f t="shared" si="2318"/>
        <v>62.416131738224706</v>
      </c>
      <c r="C1641" s="2">
        <f t="shared" si="2319"/>
        <v>1.0893670051905526</v>
      </c>
      <c r="E1641" s="7" t="s">
        <v>1092</v>
      </c>
      <c r="F1641" s="6">
        <f t="shared" ref="F1641" si="2321">-B1642*SIN(B$6)+B$1*SIN(C1640)+B$2*SIN(C1641)-B$3*SIN(C$4)</f>
        <v>-4.7650772216911719E-13</v>
      </c>
      <c r="H1641" s="8" t="s">
        <v>16</v>
      </c>
      <c r="I1641" s="8" t="s">
        <v>15</v>
      </c>
      <c r="J1641" s="9" t="s">
        <v>8</v>
      </c>
      <c r="L1641" s="8" t="s">
        <v>16</v>
      </c>
      <c r="M1641" s="8" t="s">
        <v>15</v>
      </c>
      <c r="N1641" s="9" t="s">
        <v>8</v>
      </c>
      <c r="O1641" s="15"/>
      <c r="Q1641" s="17"/>
    </row>
    <row r="1642" spans="1:17" x14ac:dyDescent="0.35">
      <c r="A1642" s="1" t="s">
        <v>8</v>
      </c>
      <c r="B1642" s="4">
        <f t="shared" ref="B1642" si="2322">B1633+Q1635</f>
        <v>3.8072853089243401</v>
      </c>
      <c r="C1642" s="2"/>
      <c r="E1642" s="7" t="s">
        <v>1093</v>
      </c>
      <c r="F1642" s="6">
        <f>C1640-F$3*B1638-0.5*(F$4)*B1638^2</f>
        <v>0</v>
      </c>
      <c r="H1642" s="2">
        <f t="shared" ref="H1642" si="2323">-B$1*SIN(C1640)</f>
        <v>2.818003916027195</v>
      </c>
      <c r="I1642" s="2">
        <f t="shared" ref="I1642" si="2324">-B$2*SIN(C1641)</f>
        <v>-5.3180039160267185</v>
      </c>
      <c r="J1642" s="2">
        <f t="shared" ref="J1642" si="2325">-COS(B$6)</f>
        <v>-1</v>
      </c>
      <c r="L1642" s="2" cm="1">
        <f t="array" ref="L1642:N1644">MINVERSE(H1642:J1644)</f>
        <v>0</v>
      </c>
      <c r="M1642" s="2">
        <v>0</v>
      </c>
      <c r="N1642" s="2">
        <v>1</v>
      </c>
      <c r="O1642" s="10">
        <f t="shared" ref="O1642:O1644" si="2326">-F1640</f>
        <v>2.4973127949259877E-13</v>
      </c>
      <c r="Q1642" s="2" cm="1">
        <f t="array" ref="Q1642:Q1644">MMULT(L1642:N1644,O1642:O1644)</f>
        <v>0</v>
      </c>
    </row>
    <row r="1643" spans="1:17" x14ac:dyDescent="0.35">
      <c r="H1643" s="2">
        <f t="shared" ref="H1643" si="2327">B$1*COS(C1640)</f>
        <v>1.029006282417845</v>
      </c>
      <c r="I1643" s="2">
        <f t="shared" ref="I1643" si="2328">B$2*COS(C1641)</f>
        <v>2.7782790265062456</v>
      </c>
      <c r="J1643" s="2">
        <f t="shared" ref="J1643" si="2329">-SIN(B$6)</f>
        <v>0</v>
      </c>
      <c r="L1643" s="2">
        <v>0</v>
      </c>
      <c r="M1643" s="2">
        <v>0.35993504988500907</v>
      </c>
      <c r="N1643" s="2">
        <v>-0.37037542759405478</v>
      </c>
      <c r="O1643" s="10">
        <f t="shared" si="2326"/>
        <v>4.7650772216911719E-13</v>
      </c>
      <c r="Q1643" s="2">
        <v>1.7151183074953323E-13</v>
      </c>
    </row>
    <row r="1644" spans="1:17" x14ac:dyDescent="0.35">
      <c r="H1644" s="2">
        <v>1</v>
      </c>
      <c r="I1644" s="2">
        <v>0</v>
      </c>
      <c r="J1644" s="2">
        <v>0</v>
      </c>
      <c r="L1644" s="2">
        <v>-1</v>
      </c>
      <c r="M1644" s="2">
        <v>-1.9141360048037506</v>
      </c>
      <c r="N1644" s="2">
        <v>4.7876618903724486</v>
      </c>
      <c r="O1644" s="10">
        <f t="shared" si="2326"/>
        <v>0</v>
      </c>
      <c r="Q1644" s="2">
        <v>-1.1618318670635284E-12</v>
      </c>
    </row>
    <row r="1647" spans="1:17" x14ac:dyDescent="0.35">
      <c r="A1647" s="1" t="s">
        <v>9</v>
      </c>
      <c r="B1647" s="2">
        <f t="shared" ref="B1647" si="2330">IF(AND((B1638 = B1629), ABS(B1642-B1633) &lt; 0.001),B1638+0.1,B1638)</f>
        <v>4.5999999999999996</v>
      </c>
    </row>
    <row r="1648" spans="1:17" x14ac:dyDescent="0.35">
      <c r="C1648" s="1" t="s">
        <v>3</v>
      </c>
    </row>
    <row r="1649" spans="1:17" x14ac:dyDescent="0.35">
      <c r="A1649" s="1" t="s">
        <v>1094</v>
      </c>
      <c r="B1649" s="4">
        <f t="shared" ref="B1649:B1650" si="2331">C1649*180/PI()</f>
        <v>290.05988378497926</v>
      </c>
      <c r="C1649" s="2">
        <f t="shared" ref="C1649:C1650" si="2332">C1640+Q1642</f>
        <v>5.0625</v>
      </c>
      <c r="E1649" s="7" t="s">
        <v>1095</v>
      </c>
      <c r="F1649" s="6">
        <f t="shared" ref="F1649" si="2333">-B1651*COS(B$6)+B$1*COS(C1649)+B$2*COS(C1650)-B$3*COS(C$4)</f>
        <v>7.3503486283654773E-16</v>
      </c>
      <c r="H1649" s="11" t="s">
        <v>14</v>
      </c>
      <c r="I1649" s="12"/>
      <c r="J1649" s="13"/>
      <c r="L1649" s="11" t="s">
        <v>1096</v>
      </c>
      <c r="M1649" s="12"/>
      <c r="N1649" s="13"/>
      <c r="O1649" s="14" t="s">
        <v>18</v>
      </c>
      <c r="Q1649" s="16" t="s">
        <v>19</v>
      </c>
    </row>
    <row r="1650" spans="1:17" x14ac:dyDescent="0.35">
      <c r="A1650" s="1" t="s">
        <v>1097</v>
      </c>
      <c r="B1650" s="4">
        <f t="shared" si="2331"/>
        <v>62.416131738234533</v>
      </c>
      <c r="C1650" s="2">
        <f t="shared" si="2332"/>
        <v>1.089367005190724</v>
      </c>
      <c r="E1650" s="7" t="s">
        <v>1098</v>
      </c>
      <c r="F1650" s="6">
        <f t="shared" ref="F1650" si="2334">-B1651*SIN(B$6)+B$1*SIN(C1649)+B$2*SIN(C1650)-B$3*SIN(C$4)</f>
        <v>0</v>
      </c>
      <c r="H1650" s="8" t="s">
        <v>16</v>
      </c>
      <c r="I1650" s="8" t="s">
        <v>15</v>
      </c>
      <c r="J1650" s="9" t="s">
        <v>8</v>
      </c>
      <c r="L1650" s="8" t="s">
        <v>16</v>
      </c>
      <c r="M1650" s="8" t="s">
        <v>15</v>
      </c>
      <c r="N1650" s="9" t="s">
        <v>8</v>
      </c>
      <c r="O1650" s="15"/>
      <c r="Q1650" s="17"/>
    </row>
    <row r="1651" spans="1:17" x14ac:dyDescent="0.35">
      <c r="A1651" s="1" t="s">
        <v>8</v>
      </c>
      <c r="B1651" s="4">
        <f t="shared" ref="B1651" si="2335">B1642+Q1644</f>
        <v>3.8072853089231784</v>
      </c>
      <c r="C1651" s="2"/>
      <c r="E1651" s="7" t="s">
        <v>1099</v>
      </c>
      <c r="F1651" s="6">
        <f>C1649-F$3*B1647-0.5*(F$4)*B1647^2</f>
        <v>-0.22749999999999915</v>
      </c>
      <c r="H1651" s="2">
        <f t="shared" ref="H1651" si="2336">-B$1*SIN(C1649)</f>
        <v>2.818003916027195</v>
      </c>
      <c r="I1651" s="2">
        <f t="shared" ref="I1651" si="2337">-B$2*SIN(C1650)</f>
        <v>-5.3180039160271946</v>
      </c>
      <c r="J1651" s="2">
        <f t="shared" ref="J1651" si="2338">-COS(B$6)</f>
        <v>-1</v>
      </c>
      <c r="L1651" s="2" cm="1">
        <f t="array" ref="L1651:N1653">MINVERSE(H1651:J1653)</f>
        <v>0</v>
      </c>
      <c r="M1651" s="2">
        <v>0</v>
      </c>
      <c r="N1651" s="2">
        <v>1.0000000000000002</v>
      </c>
      <c r="O1651" s="10">
        <f t="shared" ref="O1651:O1653" si="2339">-F1649</f>
        <v>-7.3503486283654773E-16</v>
      </c>
      <c r="Q1651" s="2" cm="1">
        <f t="array" ref="Q1651:Q1653">MMULT(L1651:N1653,O1651:O1653)</f>
        <v>0.2274999999999992</v>
      </c>
    </row>
    <row r="1652" spans="1:17" x14ac:dyDescent="0.35">
      <c r="H1652" s="2">
        <f t="shared" ref="H1652" si="2340">B$1*COS(C1649)</f>
        <v>1.029006282417845</v>
      </c>
      <c r="I1652" s="2">
        <f t="shared" ref="I1652" si="2341">B$2*COS(C1650)</f>
        <v>2.7782790265053343</v>
      </c>
      <c r="J1652" s="2">
        <f t="shared" ref="J1652" si="2342">-SIN(B$6)</f>
        <v>0</v>
      </c>
      <c r="L1652" s="2">
        <v>0</v>
      </c>
      <c r="M1652" s="2">
        <v>0.3599350498851272</v>
      </c>
      <c r="N1652" s="2">
        <v>-0.37037542759417635</v>
      </c>
      <c r="O1652" s="10">
        <f t="shared" si="2339"/>
        <v>0</v>
      </c>
      <c r="Q1652" s="2">
        <v>-8.4260409777674808E-2</v>
      </c>
    </row>
    <row r="1653" spans="1:17" x14ac:dyDescent="0.35">
      <c r="H1653" s="2">
        <v>1</v>
      </c>
      <c r="I1653" s="2">
        <v>0</v>
      </c>
      <c r="J1653" s="2">
        <v>0</v>
      </c>
      <c r="L1653" s="2">
        <v>-1</v>
      </c>
      <c r="M1653" s="2">
        <v>-1.9141360048045502</v>
      </c>
      <c r="N1653" s="2">
        <v>4.7876618903732719</v>
      </c>
      <c r="O1653" s="10">
        <f t="shared" si="2339"/>
        <v>0.22749999999999915</v>
      </c>
      <c r="Q1653" s="2">
        <v>1.0891930800599159</v>
      </c>
    </row>
    <row r="1656" spans="1:17" x14ac:dyDescent="0.35">
      <c r="A1656" s="1" t="s">
        <v>9</v>
      </c>
      <c r="B1656" s="2">
        <f t="shared" ref="B1656" si="2343">IF(AND((B1647 = B1638), ABS(B1651-B1642) &lt; 0.001),B1647+0.1,B1647)</f>
        <v>4.5999999999999996</v>
      </c>
    </row>
    <row r="1657" spans="1:17" x14ac:dyDescent="0.35">
      <c r="C1657" s="1" t="s">
        <v>3</v>
      </c>
    </row>
    <row r="1658" spans="1:17" x14ac:dyDescent="0.35">
      <c r="A1658" s="1" t="s">
        <v>1100</v>
      </c>
      <c r="B1658" s="4">
        <f t="shared" ref="B1658:B1659" si="2344">C1658*180/PI()</f>
        <v>303.09467362420543</v>
      </c>
      <c r="C1658" s="2">
        <f t="shared" ref="C1658:C1659" si="2345">C1649+Q1651</f>
        <v>5.2899999999999991</v>
      </c>
      <c r="E1658" s="7" t="s">
        <v>1101</v>
      </c>
      <c r="F1658" s="6">
        <f t="shared" ref="F1658" si="2346">-B1660*COS(B$6)+B$1*COS(C1658)+B$2*COS(C1659)-B$3*COS(C$4)</f>
        <v>-4.24167758124782E-2</v>
      </c>
      <c r="H1658" s="11" t="s">
        <v>14</v>
      </c>
      <c r="I1658" s="12"/>
      <c r="J1658" s="13"/>
      <c r="L1658" s="11" t="s">
        <v>1102</v>
      </c>
      <c r="M1658" s="12"/>
      <c r="N1658" s="13"/>
      <c r="O1658" s="14" t="s">
        <v>18</v>
      </c>
      <c r="Q1658" s="16" t="s">
        <v>19</v>
      </c>
    </row>
    <row r="1659" spans="1:17" x14ac:dyDescent="0.35">
      <c r="A1659" s="1" t="s">
        <v>1103</v>
      </c>
      <c r="B1659" s="4">
        <f t="shared" si="2344"/>
        <v>57.588365877930904</v>
      </c>
      <c r="C1659" s="2">
        <f t="shared" si="2345"/>
        <v>1.0051065954130491</v>
      </c>
      <c r="E1659" s="7" t="s">
        <v>1104</v>
      </c>
      <c r="F1659" s="6">
        <f t="shared" ref="F1659" si="2347">-B1660*SIN(B$6)+B$1*SIN(C1658)+B$2*SIN(C1659)-B$3*SIN(C$4)</f>
        <v>5.2006198289881844E-2</v>
      </c>
      <c r="H1659" s="8" t="s">
        <v>16</v>
      </c>
      <c r="I1659" s="8" t="s">
        <v>15</v>
      </c>
      <c r="J1659" s="9" t="s">
        <v>8</v>
      </c>
      <c r="L1659" s="8" t="s">
        <v>16</v>
      </c>
      <c r="M1659" s="8" t="s">
        <v>15</v>
      </c>
      <c r="N1659" s="9" t="s">
        <v>8</v>
      </c>
      <c r="O1659" s="15"/>
      <c r="Q1659" s="17"/>
    </row>
    <row r="1660" spans="1:17" x14ac:dyDescent="0.35">
      <c r="A1660" s="1" t="s">
        <v>8</v>
      </c>
      <c r="B1660" s="4">
        <f t="shared" ref="B1660" si="2348">B1651+Q1653</f>
        <v>4.8964783889830947</v>
      </c>
      <c r="C1660" s="2"/>
      <c r="E1660" s="7" t="s">
        <v>1105</v>
      </c>
      <c r="F1660" s="6">
        <f>C1658-F$3*B1656-0.5*(F$4)*B1656^2</f>
        <v>0</v>
      </c>
      <c r="H1660" s="2">
        <f t="shared" ref="H1660" si="2349">-B$1*SIN(C1658)</f>
        <v>2.5133084404952948</v>
      </c>
      <c r="I1660" s="2">
        <f t="shared" ref="I1660" si="2350">-B$2*SIN(C1659)</f>
        <v>-5.0653146387851766</v>
      </c>
      <c r="J1660" s="2">
        <f t="shared" ref="J1660" si="2351">-COS(B$6)</f>
        <v>-1</v>
      </c>
      <c r="L1660" s="2" cm="1">
        <f t="array" ref="L1660:N1662">MINVERSE(H1660:J1662)</f>
        <v>0</v>
      </c>
      <c r="M1660" s="2">
        <v>0</v>
      </c>
      <c r="N1660" s="2">
        <v>0.99999999999999967</v>
      </c>
      <c r="O1660" s="10">
        <f t="shared" ref="O1660:O1662" si="2352">-F1658</f>
        <v>4.24167758124782E-2</v>
      </c>
      <c r="Q1660" s="2" cm="1">
        <f t="array" ref="Q1660:Q1662">MMULT(L1660:N1662,O1660:O1662)</f>
        <v>0</v>
      </c>
    </row>
    <row r="1661" spans="1:17" x14ac:dyDescent="0.35">
      <c r="H1661" s="2">
        <f t="shared" ref="H1661" si="2353">B$1*COS(C1658)</f>
        <v>1.6380722459449428</v>
      </c>
      <c r="I1661" s="2">
        <f t="shared" ref="I1661" si="2354">B$2*COS(C1659)</f>
        <v>3.2159893672256739</v>
      </c>
      <c r="J1661" s="2">
        <f t="shared" ref="J1661" si="2355">-SIN(B$6)</f>
        <v>0</v>
      </c>
      <c r="L1661" s="2">
        <v>0</v>
      </c>
      <c r="M1661" s="2">
        <v>0.3109463016858996</v>
      </c>
      <c r="N1661" s="2">
        <v>-0.50935250677089539</v>
      </c>
      <c r="O1661" s="10">
        <f t="shared" si="2352"/>
        <v>-5.2006198289881844E-2</v>
      </c>
      <c r="Q1661" s="2">
        <v>-1.6171135022982317E-2</v>
      </c>
    </row>
    <row r="1662" spans="1:17" x14ac:dyDescent="0.35">
      <c r="H1662" s="2">
        <v>1</v>
      </c>
      <c r="I1662" s="2">
        <v>0</v>
      </c>
      <c r="J1662" s="2">
        <v>0</v>
      </c>
      <c r="L1662" s="2">
        <v>-1</v>
      </c>
      <c r="M1662" s="2">
        <v>-1.575040853805699</v>
      </c>
      <c r="N1662" s="2">
        <v>5.0933391493438362</v>
      </c>
      <c r="O1662" s="10">
        <f t="shared" si="2352"/>
        <v>0</v>
      </c>
      <c r="Q1662" s="2">
        <v>3.9495111145205791E-2</v>
      </c>
    </row>
    <row r="1665" spans="1:17" x14ac:dyDescent="0.35">
      <c r="A1665" s="1" t="s">
        <v>9</v>
      </c>
      <c r="B1665" s="2">
        <f t="shared" ref="B1665" si="2356">IF(AND((B1656 = B1647), ABS(B1660-B1651) &lt; 0.001),B1656+0.1,B1656)</f>
        <v>4.5999999999999996</v>
      </c>
    </row>
    <row r="1666" spans="1:17" x14ac:dyDescent="0.35">
      <c r="C1666" s="1" t="s">
        <v>3</v>
      </c>
    </row>
    <row r="1667" spans="1:17" x14ac:dyDescent="0.35">
      <c r="A1667" s="1" t="s">
        <v>1106</v>
      </c>
      <c r="B1667" s="4">
        <f t="shared" ref="B1667:B1668" si="2357">C1667*180/PI()</f>
        <v>303.09467362420543</v>
      </c>
      <c r="C1667" s="2">
        <f t="shared" ref="C1667:C1668" si="2358">C1658+Q1660</f>
        <v>5.2899999999999991</v>
      </c>
      <c r="E1667" s="7" t="s">
        <v>1107</v>
      </c>
      <c r="F1667" s="6">
        <f t="shared" ref="F1667" si="2359">-B1669*COS(B$6)+B$1*COS(C1667)+B$2*COS(C1668)-B$3*COS(C$4)</f>
        <v>-4.2406048673730761E-4</v>
      </c>
      <c r="H1667" s="11" t="s">
        <v>14</v>
      </c>
      <c r="I1667" s="12"/>
      <c r="J1667" s="13"/>
      <c r="L1667" s="11" t="s">
        <v>1108</v>
      </c>
      <c r="M1667" s="12"/>
      <c r="N1667" s="13"/>
      <c r="O1667" s="14" t="s">
        <v>18</v>
      </c>
      <c r="Q1667" s="16" t="s">
        <v>19</v>
      </c>
    </row>
    <row r="1668" spans="1:17" x14ac:dyDescent="0.35">
      <c r="A1668" s="1" t="s">
        <v>1109</v>
      </c>
      <c r="B1668" s="4">
        <f t="shared" si="2357"/>
        <v>56.661828091177831</v>
      </c>
      <c r="C1668" s="2">
        <f t="shared" si="2358"/>
        <v>0.98893546039006686</v>
      </c>
      <c r="E1668" s="7" t="s">
        <v>1110</v>
      </c>
      <c r="F1668" s="6">
        <f t="shared" ref="F1668" si="2360">-B1669*SIN(B$6)+B$1*SIN(C1667)+B$2*SIN(C1668)-B$3*SIN(C$4)</f>
        <v>-6.6002303664980388E-4</v>
      </c>
      <c r="H1668" s="8" t="s">
        <v>16</v>
      </c>
      <c r="I1668" s="8" t="s">
        <v>15</v>
      </c>
      <c r="J1668" s="9" t="s">
        <v>8</v>
      </c>
      <c r="L1668" s="8" t="s">
        <v>16</v>
      </c>
      <c r="M1668" s="8" t="s">
        <v>15</v>
      </c>
      <c r="N1668" s="9" t="s">
        <v>8</v>
      </c>
      <c r="O1668" s="15"/>
      <c r="Q1668" s="17"/>
    </row>
    <row r="1669" spans="1:17" x14ac:dyDescent="0.35">
      <c r="A1669" s="1" t="s">
        <v>8</v>
      </c>
      <c r="B1669" s="4">
        <f t="shared" ref="B1669" si="2361">B1660+Q1662</f>
        <v>4.9359735001283003</v>
      </c>
      <c r="C1669" s="2"/>
      <c r="E1669" s="7" t="s">
        <v>1111</v>
      </c>
      <c r="F1669" s="6">
        <f>C1667-F$3*B1665-0.5*(F$4)*B1665^2</f>
        <v>0</v>
      </c>
      <c r="H1669" s="2">
        <f t="shared" ref="H1669" si="2362">-B$1*SIN(C1667)</f>
        <v>2.5133084404952948</v>
      </c>
      <c r="I1669" s="2">
        <f t="shared" ref="I1669" si="2363">-B$2*SIN(C1668)</f>
        <v>-5.012648417458645</v>
      </c>
      <c r="J1669" s="2">
        <f t="shared" ref="J1669" si="2364">-COS(B$6)</f>
        <v>-1</v>
      </c>
      <c r="L1669" s="2" cm="1">
        <f t="array" ref="L1669:N1671">MINVERSE(H1669:J1671)</f>
        <v>0</v>
      </c>
      <c r="M1669" s="2">
        <v>0</v>
      </c>
      <c r="N1669" s="2">
        <v>1</v>
      </c>
      <c r="O1669" s="10">
        <f t="shared" ref="O1669:O1671" si="2365">-F1667</f>
        <v>4.2406048673730761E-4</v>
      </c>
      <c r="Q1669" s="2" cm="1">
        <f t="array" ref="Q1669:Q1671">MMULT(L1669:N1671,O1669:O1671)</f>
        <v>0</v>
      </c>
    </row>
    <row r="1670" spans="1:17" x14ac:dyDescent="0.35">
      <c r="H1670" s="2">
        <f t="shared" ref="H1670" si="2366">B$1*COS(C1667)</f>
        <v>1.6380722459449428</v>
      </c>
      <c r="I1670" s="2">
        <f t="shared" ref="I1670" si="2367">B$2*COS(C1668)</f>
        <v>3.2974771936966203</v>
      </c>
      <c r="J1670" s="2">
        <f t="shared" ref="J1670" si="2368">-SIN(B$6)</f>
        <v>0</v>
      </c>
      <c r="L1670" s="2">
        <v>0</v>
      </c>
      <c r="M1670" s="2">
        <v>0.30326214292295228</v>
      </c>
      <c r="N1670" s="2">
        <v>-0.49676529956787668</v>
      </c>
      <c r="O1670" s="10">
        <f t="shared" si="2365"/>
        <v>6.6002303664980388E-4</v>
      </c>
      <c r="Q1670" s="2">
        <v>2.0016000047293379E-4</v>
      </c>
    </row>
    <row r="1671" spans="1:17" x14ac:dyDescent="0.35">
      <c r="H1671" s="2">
        <v>1</v>
      </c>
      <c r="I1671" s="2">
        <v>0</v>
      </c>
      <c r="J1671" s="2">
        <v>0</v>
      </c>
      <c r="L1671" s="2">
        <v>-1</v>
      </c>
      <c r="M1671" s="2">
        <v>-1.5201465007978541</v>
      </c>
      <c r="N1671" s="2">
        <v>5.0034182332225816</v>
      </c>
      <c r="O1671" s="10">
        <f t="shared" si="2365"/>
        <v>0</v>
      </c>
      <c r="Q1671" s="2">
        <v>-1.4273921963464807E-3</v>
      </c>
    </row>
    <row r="1674" spans="1:17" x14ac:dyDescent="0.35">
      <c r="A1674" s="1" t="s">
        <v>9</v>
      </c>
      <c r="B1674" s="2">
        <f t="shared" ref="B1674" si="2369">IF(AND((B1665 = B1656), ABS(B1669-B1660) &lt; 0.001),B1665+0.1,B1665)</f>
        <v>4.5999999999999996</v>
      </c>
    </row>
    <row r="1675" spans="1:17" x14ac:dyDescent="0.35">
      <c r="C1675" s="1" t="s">
        <v>3</v>
      </c>
    </row>
    <row r="1676" spans="1:17" x14ac:dyDescent="0.35">
      <c r="A1676" s="1" t="s">
        <v>1112</v>
      </c>
      <c r="B1676" s="4">
        <f t="shared" ref="B1676:B1677" si="2370">C1676*180/PI()</f>
        <v>303.09467362420543</v>
      </c>
      <c r="C1676" s="2">
        <f t="shared" ref="C1676:C1677" si="2371">C1667+Q1669</f>
        <v>5.2899999999999991</v>
      </c>
      <c r="E1676" s="7" t="s">
        <v>1113</v>
      </c>
      <c r="F1676" s="6">
        <f t="shared" ref="F1676" si="2372">-B1678*COS(B$6)+B$1*COS(C1676)+B$2*COS(C1677)-B$3*COS(C$4)</f>
        <v>-6.6048406008811181E-8</v>
      </c>
      <c r="H1676" s="11" t="s">
        <v>14</v>
      </c>
      <c r="I1676" s="12"/>
      <c r="J1676" s="13"/>
      <c r="L1676" s="11" t="s">
        <v>1114</v>
      </c>
      <c r="M1676" s="12"/>
      <c r="N1676" s="13"/>
      <c r="O1676" s="14" t="s">
        <v>18</v>
      </c>
      <c r="Q1676" s="16" t="s">
        <v>19</v>
      </c>
    </row>
    <row r="1677" spans="1:17" x14ac:dyDescent="0.35">
      <c r="A1677" s="1" t="s">
        <v>1115</v>
      </c>
      <c r="B1677" s="4">
        <f t="shared" si="2370"/>
        <v>56.673296414432265</v>
      </c>
      <c r="C1677" s="2">
        <f t="shared" si="2371"/>
        <v>0.98913562039053982</v>
      </c>
      <c r="E1677" s="7" t="s">
        <v>1116</v>
      </c>
      <c r="F1677" s="6">
        <f t="shared" ref="F1677" si="2373">-B1678*SIN(B$6)+B$1*SIN(C1676)+B$2*SIN(C1677)-B$3*SIN(C$4)</f>
        <v>-1.0041784381797925E-7</v>
      </c>
      <c r="H1677" s="8" t="s">
        <v>16</v>
      </c>
      <c r="I1677" s="8" t="s">
        <v>15</v>
      </c>
      <c r="J1677" s="9" t="s">
        <v>8</v>
      </c>
      <c r="L1677" s="8" t="s">
        <v>16</v>
      </c>
      <c r="M1677" s="8" t="s">
        <v>15</v>
      </c>
      <c r="N1677" s="9" t="s">
        <v>8</v>
      </c>
      <c r="O1677" s="15"/>
      <c r="Q1677" s="17"/>
    </row>
    <row r="1678" spans="1:17" x14ac:dyDescent="0.35">
      <c r="A1678" s="1" t="s">
        <v>8</v>
      </c>
      <c r="B1678" s="4">
        <f t="shared" ref="B1678" si="2374">B1669+Q1671</f>
        <v>4.9345461079319541</v>
      </c>
      <c r="C1678" s="2"/>
      <c r="E1678" s="7" t="s">
        <v>1117</v>
      </c>
      <c r="F1678" s="6">
        <f>C1676-F$3*B1674-0.5*(F$4)*B1674^2</f>
        <v>0</v>
      </c>
      <c r="H1678" s="2">
        <f t="shared" ref="H1678" si="2375">-B$1*SIN(C1676)</f>
        <v>2.5133084404952948</v>
      </c>
      <c r="I1678" s="2">
        <f t="shared" ref="I1678" si="2376">-B$2*SIN(C1677)</f>
        <v>-5.013308340077451</v>
      </c>
      <c r="J1678" s="2">
        <f t="shared" ref="J1678" si="2377">-COS(B$6)</f>
        <v>-1</v>
      </c>
      <c r="L1678" s="2" cm="1">
        <f t="array" ref="L1678:N1680">MINVERSE(H1678:J1680)</f>
        <v>0</v>
      </c>
      <c r="M1678" s="2">
        <v>8.8347534806063534E-17</v>
      </c>
      <c r="N1678" s="2">
        <v>0.99999999999999978</v>
      </c>
      <c r="O1678" s="10">
        <f t="shared" ref="O1678:O1680" si="2378">-F1676</f>
        <v>6.6048406008811181E-8</v>
      </c>
      <c r="Q1678" s="2" cm="1">
        <f t="array" ref="Q1678:Q1680">MMULT(L1678:N1680,O1678:O1680)</f>
        <v>8.8716689518587729E-24</v>
      </c>
    </row>
    <row r="1679" spans="1:17" x14ac:dyDescent="0.35">
      <c r="H1679" s="2">
        <f t="shared" ref="H1679" si="2379">B$1*COS(C1676)</f>
        <v>1.6380722459449428</v>
      </c>
      <c r="I1679" s="2">
        <f t="shared" ref="I1679" si="2380">B$2*COS(C1677)</f>
        <v>3.2964737959386055</v>
      </c>
      <c r="J1679" s="2">
        <f t="shared" ref="J1679" si="2381">-SIN(B$6)</f>
        <v>0</v>
      </c>
      <c r="L1679" s="2">
        <v>0</v>
      </c>
      <c r="M1679" s="2">
        <v>0.30335445142383421</v>
      </c>
      <c r="N1679" s="2">
        <v>-0.49691650756123606</v>
      </c>
      <c r="O1679" s="10">
        <f t="shared" si="2378"/>
        <v>1.0041784381797925E-7</v>
      </c>
      <c r="Q1679" s="2">
        <v>3.0462199924567358E-8</v>
      </c>
    </row>
    <row r="1680" spans="1:17" x14ac:dyDescent="0.35">
      <c r="H1680" s="2">
        <v>1</v>
      </c>
      <c r="I1680" s="2">
        <v>0</v>
      </c>
      <c r="J1680" s="2">
        <v>0</v>
      </c>
      <c r="L1680" s="2">
        <v>-1</v>
      </c>
      <c r="M1680" s="2">
        <v>-1.5208094013227278</v>
      </c>
      <c r="N1680" s="2">
        <v>5.0045041121741987</v>
      </c>
      <c r="O1680" s="10">
        <f t="shared" si="2378"/>
        <v>0</v>
      </c>
      <c r="Q1680" s="2">
        <v>-2.1876480694775138E-7</v>
      </c>
    </row>
    <row r="1683" spans="1:17" x14ac:dyDescent="0.35">
      <c r="A1683" s="1" t="s">
        <v>9</v>
      </c>
      <c r="B1683" s="2">
        <f t="shared" ref="B1683" si="2382">IF(AND((B1674 = B1665), ABS(B1678-B1669) &lt; 0.001),B1674+0.1,B1674)</f>
        <v>4.5999999999999996</v>
      </c>
    </row>
    <row r="1684" spans="1:17" x14ac:dyDescent="0.35">
      <c r="C1684" s="1" t="s">
        <v>3</v>
      </c>
    </row>
    <row r="1685" spans="1:17" x14ac:dyDescent="0.35">
      <c r="A1685" s="1" t="s">
        <v>1118</v>
      </c>
      <c r="B1685" s="4">
        <f t="shared" ref="B1685:B1686" si="2383">C1685*180/PI()</f>
        <v>303.09467362420543</v>
      </c>
      <c r="C1685" s="2">
        <f t="shared" ref="C1685:C1686" si="2384">C1676+Q1678</f>
        <v>5.2899999999999991</v>
      </c>
      <c r="E1685" s="7" t="s">
        <v>1119</v>
      </c>
      <c r="F1685" s="6">
        <f t="shared" ref="F1685" si="2385">-B1687*COS(B$6)+B$1*COS(C1685)+B$2*COS(C1686)-B$3*COS(C$4)</f>
        <v>-1.0413219765637027E-15</v>
      </c>
      <c r="H1685" s="11" t="s">
        <v>14</v>
      </c>
      <c r="I1685" s="12"/>
      <c r="J1685" s="13"/>
      <c r="L1685" s="11" t="s">
        <v>1120</v>
      </c>
      <c r="M1685" s="12"/>
      <c r="N1685" s="13"/>
      <c r="O1685" s="14" t="s">
        <v>18</v>
      </c>
      <c r="Q1685" s="16" t="s">
        <v>19</v>
      </c>
    </row>
    <row r="1686" spans="1:17" x14ac:dyDescent="0.35">
      <c r="A1686" s="1" t="s">
        <v>1121</v>
      </c>
      <c r="B1686" s="4">
        <f t="shared" si="2383"/>
        <v>56.673298159787755</v>
      </c>
      <c r="C1686" s="2">
        <f t="shared" si="2384"/>
        <v>0.98913565085273969</v>
      </c>
      <c r="E1686" s="7" t="s">
        <v>1122</v>
      </c>
      <c r="F1686" s="6">
        <f t="shared" ref="F1686" si="2386">-B1687*SIN(B$6)+B$1*SIN(C1685)+B$2*SIN(C1686)-B$3*SIN(C$4)</f>
        <v>0</v>
      </c>
      <c r="H1686" s="8" t="s">
        <v>16</v>
      </c>
      <c r="I1686" s="8" t="s">
        <v>15</v>
      </c>
      <c r="J1686" s="9" t="s">
        <v>8</v>
      </c>
      <c r="L1686" s="8" t="s">
        <v>16</v>
      </c>
      <c r="M1686" s="8" t="s">
        <v>15</v>
      </c>
      <c r="N1686" s="9" t="s">
        <v>8</v>
      </c>
      <c r="O1686" s="15"/>
      <c r="Q1686" s="17"/>
    </row>
    <row r="1687" spans="1:17" x14ac:dyDescent="0.35">
      <c r="A1687" s="1" t="s">
        <v>8</v>
      </c>
      <c r="B1687" s="4">
        <f t="shared" ref="B1687" si="2387">B1678+Q1680</f>
        <v>4.934545889167147</v>
      </c>
      <c r="C1687" s="2"/>
      <c r="E1687" s="7" t="s">
        <v>1123</v>
      </c>
      <c r="F1687" s="6">
        <f>C1685-F$3*B1683-0.5*(F$4)*B1683^2</f>
        <v>0</v>
      </c>
      <c r="H1687" s="2">
        <f t="shared" ref="H1687" si="2388">-B$1*SIN(C1685)</f>
        <v>2.5133084404952948</v>
      </c>
      <c r="I1687" s="2">
        <f t="shared" ref="I1687" si="2389">-B$2*SIN(C1686)</f>
        <v>-5.0133084404952921</v>
      </c>
      <c r="J1687" s="2">
        <f t="shared" ref="J1687" si="2390">-COS(B$6)</f>
        <v>-1</v>
      </c>
      <c r="L1687" s="2" cm="1">
        <f t="array" ref="L1687:N1689">MINVERSE(H1687:J1689)</f>
        <v>0</v>
      </c>
      <c r="M1687" s="2">
        <v>-8.8347534806063534E-17</v>
      </c>
      <c r="N1687" s="2">
        <v>1</v>
      </c>
      <c r="O1687" s="10">
        <f t="shared" ref="O1687:O1689" si="2391">-F1685</f>
        <v>1.0413219765637027E-15</v>
      </c>
      <c r="Q1687" s="2" cm="1">
        <f t="array" ref="Q1687:Q1689">MMULT(L1687:N1689,O1687:O1689)</f>
        <v>0</v>
      </c>
    </row>
    <row r="1688" spans="1:17" x14ac:dyDescent="0.35">
      <c r="H1688" s="2">
        <f t="shared" ref="H1688" si="2392">B$1*COS(C1685)</f>
        <v>1.6380722459449428</v>
      </c>
      <c r="I1688" s="2">
        <f t="shared" ref="I1688" si="2393">B$2*COS(C1686)</f>
        <v>3.2964736432222033</v>
      </c>
      <c r="J1688" s="2">
        <f t="shared" ref="J1688" si="2394">-SIN(B$6)</f>
        <v>0</v>
      </c>
      <c r="L1688" s="2">
        <v>0</v>
      </c>
      <c r="M1688" s="2">
        <v>0.30335446547739731</v>
      </c>
      <c r="N1688" s="2">
        <v>-0.49691653058198793</v>
      </c>
      <c r="O1688" s="10">
        <f t="shared" si="2391"/>
        <v>0</v>
      </c>
      <c r="Q1688" s="2">
        <v>0</v>
      </c>
    </row>
    <row r="1689" spans="1:17" x14ac:dyDescent="0.35">
      <c r="H1689" s="2">
        <v>1</v>
      </c>
      <c r="I1689" s="2">
        <v>0</v>
      </c>
      <c r="J1689" s="2">
        <v>0</v>
      </c>
      <c r="L1689" s="2">
        <v>-1</v>
      </c>
      <c r="M1689" s="2">
        <v>-1.5208095022397738</v>
      </c>
      <c r="N1689" s="2">
        <v>5.0045042774836119</v>
      </c>
      <c r="O1689" s="10">
        <f t="shared" si="2391"/>
        <v>0</v>
      </c>
      <c r="Q1689" s="2">
        <v>-1.0413219765637027E-15</v>
      </c>
    </row>
    <row r="1692" spans="1:17" x14ac:dyDescent="0.35">
      <c r="A1692" s="1" t="s">
        <v>9</v>
      </c>
      <c r="B1692" s="2">
        <f t="shared" ref="B1692" si="2395">IF(AND((B1683 = B1674), ABS(B1687-B1678) &lt; 0.001),B1683+0.1,B1683)</f>
        <v>4.6999999999999993</v>
      </c>
    </row>
    <row r="1693" spans="1:17" x14ac:dyDescent="0.35">
      <c r="C1693" s="1" t="s">
        <v>3</v>
      </c>
    </row>
    <row r="1694" spans="1:17" x14ac:dyDescent="0.35">
      <c r="A1694" s="1" t="s">
        <v>1124</v>
      </c>
      <c r="B1694" s="4">
        <f t="shared" ref="B1694:B1695" si="2396">C1694*180/PI()</f>
        <v>303.09467362420543</v>
      </c>
      <c r="C1694" s="2">
        <f t="shared" ref="C1694:C1695" si="2397">C1685+Q1687</f>
        <v>5.2899999999999991</v>
      </c>
      <c r="E1694" s="7" t="s">
        <v>1125</v>
      </c>
      <c r="F1694" s="6">
        <f t="shared" ref="F1694" si="2398">-B1696*COS(B$6)+B$1*COS(C1694)+B$2*COS(C1695)-B$3*COS(C$4)</f>
        <v>-1.531435568635775E-16</v>
      </c>
      <c r="H1694" s="11" t="s">
        <v>14</v>
      </c>
      <c r="I1694" s="12"/>
      <c r="J1694" s="13"/>
      <c r="L1694" s="11" t="s">
        <v>1126</v>
      </c>
      <c r="M1694" s="12"/>
      <c r="N1694" s="13"/>
      <c r="O1694" s="14" t="s">
        <v>18</v>
      </c>
      <c r="Q1694" s="16" t="s">
        <v>19</v>
      </c>
    </row>
    <row r="1695" spans="1:17" x14ac:dyDescent="0.35">
      <c r="A1695" s="1" t="s">
        <v>1127</v>
      </c>
      <c r="B1695" s="4">
        <f t="shared" si="2396"/>
        <v>56.673298159787755</v>
      </c>
      <c r="C1695" s="2">
        <f t="shared" si="2397"/>
        <v>0.98913565085273969</v>
      </c>
      <c r="E1695" s="7" t="s">
        <v>1128</v>
      </c>
      <c r="F1695" s="6">
        <f t="shared" ref="F1695" si="2399">-B1696*SIN(B$6)+B$1*SIN(C1694)+B$2*SIN(C1695)-B$3*SIN(C$4)</f>
        <v>0</v>
      </c>
      <c r="H1695" s="8" t="s">
        <v>16</v>
      </c>
      <c r="I1695" s="8" t="s">
        <v>15</v>
      </c>
      <c r="J1695" s="9" t="s">
        <v>8</v>
      </c>
      <c r="L1695" s="8" t="s">
        <v>16</v>
      </c>
      <c r="M1695" s="8" t="s">
        <v>15</v>
      </c>
      <c r="N1695" s="9" t="s">
        <v>8</v>
      </c>
      <c r="O1695" s="15"/>
      <c r="Q1695" s="17"/>
    </row>
    <row r="1696" spans="1:17" x14ac:dyDescent="0.35">
      <c r="A1696" s="1" t="s">
        <v>8</v>
      </c>
      <c r="B1696" s="4">
        <f t="shared" ref="B1696" si="2400">B1687+Q1689</f>
        <v>4.9345458891671461</v>
      </c>
      <c r="C1696" s="2"/>
      <c r="E1696" s="7" t="s">
        <v>1129</v>
      </c>
      <c r="F1696" s="6">
        <f>C1694-F$3*B1692-0.5*(F$4)*B1692^2</f>
        <v>-0.23249999999999904</v>
      </c>
      <c r="H1696" s="2">
        <f t="shared" ref="H1696" si="2401">-B$1*SIN(C1694)</f>
        <v>2.5133084404952948</v>
      </c>
      <c r="I1696" s="2">
        <f t="shared" ref="I1696" si="2402">-B$2*SIN(C1695)</f>
        <v>-5.0133084404952921</v>
      </c>
      <c r="J1696" s="2">
        <f t="shared" ref="J1696" si="2403">-COS(B$6)</f>
        <v>-1</v>
      </c>
      <c r="L1696" s="2" cm="1">
        <f t="array" ref="L1696:N1698">MINVERSE(H1696:J1698)</f>
        <v>0</v>
      </c>
      <c r="M1696" s="2">
        <v>-8.8347534806063534E-17</v>
      </c>
      <c r="N1696" s="2">
        <v>1</v>
      </c>
      <c r="O1696" s="10">
        <f t="shared" ref="O1696:O1698" si="2404">-F1694</f>
        <v>1.531435568635775E-16</v>
      </c>
      <c r="Q1696" s="2" cm="1">
        <f t="array" ref="Q1696:Q1698">MMULT(L1696:N1698,O1696:O1698)</f>
        <v>0.23249999999999904</v>
      </c>
    </row>
    <row r="1697" spans="1:17" x14ac:dyDescent="0.35">
      <c r="H1697" s="2">
        <f t="shared" ref="H1697" si="2405">B$1*COS(C1694)</f>
        <v>1.6380722459449428</v>
      </c>
      <c r="I1697" s="2">
        <f t="shared" ref="I1697" si="2406">B$2*COS(C1695)</f>
        <v>3.2964736432222033</v>
      </c>
      <c r="J1697" s="2">
        <f t="shared" ref="J1697" si="2407">-SIN(B$6)</f>
        <v>0</v>
      </c>
      <c r="L1697" s="2">
        <v>0</v>
      </c>
      <c r="M1697" s="2">
        <v>0.30335446547739731</v>
      </c>
      <c r="N1697" s="2">
        <v>-0.49691653058198793</v>
      </c>
      <c r="O1697" s="10">
        <f t="shared" si="2404"/>
        <v>0</v>
      </c>
      <c r="Q1697" s="2">
        <v>-0.11553309336031171</v>
      </c>
    </row>
    <row r="1698" spans="1:17" x14ac:dyDescent="0.35">
      <c r="H1698" s="2">
        <v>1</v>
      </c>
      <c r="I1698" s="2">
        <v>0</v>
      </c>
      <c r="J1698" s="2">
        <v>0</v>
      </c>
      <c r="L1698" s="2">
        <v>-1</v>
      </c>
      <c r="M1698" s="2">
        <v>-1.5208095022397738</v>
      </c>
      <c r="N1698" s="2">
        <v>5.0045042774836119</v>
      </c>
      <c r="O1698" s="10">
        <f t="shared" si="2404"/>
        <v>0.23249999999999904</v>
      </c>
      <c r="Q1698" s="2">
        <v>1.1635472445149349</v>
      </c>
    </row>
    <row r="1701" spans="1:17" x14ac:dyDescent="0.35">
      <c r="A1701" s="1" t="s">
        <v>9</v>
      </c>
      <c r="B1701" s="2">
        <f t="shared" ref="B1701" si="2408">IF(AND((B1692 = B1683), ABS(B1696-B1687) &lt; 0.001),B1692+0.1,B1692)</f>
        <v>4.6999999999999993</v>
      </c>
    </row>
    <row r="1702" spans="1:17" x14ac:dyDescent="0.35">
      <c r="C1702" s="1" t="s">
        <v>3</v>
      </c>
    </row>
    <row r="1703" spans="1:17" x14ac:dyDescent="0.35">
      <c r="A1703" s="1" t="s">
        <v>1130</v>
      </c>
      <c r="B1703" s="4">
        <f t="shared" ref="B1703:B1704" si="2409">C1703*180/PI()</f>
        <v>316.41594236099706</v>
      </c>
      <c r="C1703" s="2">
        <f t="shared" ref="C1703:C1704" si="2410">C1694+Q1696</f>
        <v>5.5224999999999982</v>
      </c>
      <c r="E1703" s="7" t="s">
        <v>1131</v>
      </c>
      <c r="F1703" s="6">
        <f t="shared" ref="F1703" si="2411">-B1705*COS(B$6)+B$1*COS(C1703)+B$2*COS(C1704)-B$3*COS(C$4)</f>
        <v>-7.2589001329477362E-2</v>
      </c>
      <c r="H1703" s="11" t="s">
        <v>14</v>
      </c>
      <c r="I1703" s="12"/>
      <c r="J1703" s="13"/>
      <c r="L1703" s="11" t="s">
        <v>1132</v>
      </c>
      <c r="M1703" s="12"/>
      <c r="N1703" s="13"/>
      <c r="O1703" s="14" t="s">
        <v>18</v>
      </c>
      <c r="Q1703" s="16" t="s">
        <v>19</v>
      </c>
    </row>
    <row r="1704" spans="1:17" x14ac:dyDescent="0.35">
      <c r="A1704" s="1" t="s">
        <v>1133</v>
      </c>
      <c r="B1704" s="4">
        <f t="shared" si="2409"/>
        <v>50.053739516150976</v>
      </c>
      <c r="C1704" s="2">
        <f t="shared" si="2410"/>
        <v>0.87360255749242799</v>
      </c>
      <c r="E1704" s="7" t="s">
        <v>1134</v>
      </c>
      <c r="F1704" s="6">
        <f t="shared" ref="F1704" si="2412">-B1705*SIN(B$6)+B$1*SIN(C1703)+B$2*SIN(C1704)-B$3*SIN(C$4)</f>
        <v>3.1627925085643049E-2</v>
      </c>
      <c r="H1704" s="8" t="s">
        <v>16</v>
      </c>
      <c r="I1704" s="8" t="s">
        <v>15</v>
      </c>
      <c r="J1704" s="9" t="s">
        <v>8</v>
      </c>
      <c r="L1704" s="8" t="s">
        <v>16</v>
      </c>
      <c r="M1704" s="8" t="s">
        <v>15</v>
      </c>
      <c r="N1704" s="9" t="s">
        <v>8</v>
      </c>
      <c r="O1704" s="15"/>
      <c r="Q1704" s="17"/>
    </row>
    <row r="1705" spans="1:17" x14ac:dyDescent="0.35">
      <c r="A1705" s="1" t="s">
        <v>8</v>
      </c>
      <c r="B1705" s="4">
        <f t="shared" ref="B1705" si="2413">B1696+Q1698</f>
        <v>6.0980931336820809</v>
      </c>
      <c r="C1705" s="2"/>
      <c r="E1705" s="7" t="s">
        <v>1135</v>
      </c>
      <c r="F1705" s="6">
        <f>C1703-F$3*B1701-0.5*(F$4)*B1701^2</f>
        <v>0</v>
      </c>
      <c r="H1705" s="2">
        <f t="shared" ref="H1705" si="2414">-B$1*SIN(C1703)</f>
        <v>2.068254055857853</v>
      </c>
      <c r="I1705" s="2">
        <f t="shared" ref="I1705" si="2415">-B$2*SIN(C1704)</f>
        <v>-4.5998819809434961</v>
      </c>
      <c r="J1705" s="2">
        <f t="shared" ref="J1705" si="2416">-COS(B$6)</f>
        <v>-1</v>
      </c>
      <c r="L1705" s="2" cm="1">
        <f t="array" ref="L1705:N1707">MINVERSE(H1705:J1707)</f>
        <v>0</v>
      </c>
      <c r="M1705" s="2">
        <v>5.1089574542406143E-17</v>
      </c>
      <c r="N1705" s="2">
        <v>1</v>
      </c>
      <c r="O1705" s="10">
        <f t="shared" ref="O1705:O1707" si="2417">-F1703</f>
        <v>7.2589001329477362E-2</v>
      </c>
      <c r="Q1705" s="2" cm="1">
        <f t="array" ref="Q1705:Q1707">MMULT(L1705:N1707,O1705:O1707)</f>
        <v>-1.6158572362845978E-18</v>
      </c>
    </row>
    <row r="1706" spans="1:17" x14ac:dyDescent="0.35">
      <c r="H1706" s="2">
        <f t="shared" ref="H1706" si="2418">B$1*COS(C1703)</f>
        <v>2.173091153271657</v>
      </c>
      <c r="I1706" s="2">
        <f t="shared" ref="I1706" si="2419">B$2*COS(C1704)</f>
        <v>3.8524129790809467</v>
      </c>
      <c r="J1706" s="2">
        <f t="shared" ref="J1706" si="2420">-SIN(B$6)</f>
        <v>0</v>
      </c>
      <c r="L1706" s="2">
        <v>0</v>
      </c>
      <c r="M1706" s="2">
        <v>0.25957757006585663</v>
      </c>
      <c r="N1706" s="2">
        <v>-0.56408572109786681</v>
      </c>
      <c r="O1706" s="10">
        <f t="shared" si="2417"/>
        <v>-3.1627925085643049E-2</v>
      </c>
      <c r="Q1706" s="2">
        <v>-8.2098999399561733E-3</v>
      </c>
    </row>
    <row r="1707" spans="1:17" x14ac:dyDescent="0.35">
      <c r="H1707" s="2">
        <v>1</v>
      </c>
      <c r="I1707" s="2">
        <v>0</v>
      </c>
      <c r="J1707" s="2">
        <v>0</v>
      </c>
      <c r="L1707" s="2">
        <v>-1</v>
      </c>
      <c r="M1707" s="2">
        <v>-1.1940261872030316</v>
      </c>
      <c r="N1707" s="2">
        <v>4.6629818000434486</v>
      </c>
      <c r="O1707" s="10">
        <f t="shared" si="2417"/>
        <v>0</v>
      </c>
      <c r="Q1707" s="2">
        <v>-3.4824430530323879E-2</v>
      </c>
    </row>
    <row r="1710" spans="1:17" x14ac:dyDescent="0.35">
      <c r="A1710" s="1" t="s">
        <v>9</v>
      </c>
      <c r="B1710" s="2">
        <f t="shared" ref="B1710" si="2421">IF(AND((B1701 = B1692), ABS(B1705-B1696) &lt; 0.001),B1701+0.1,B1701)</f>
        <v>4.6999999999999993</v>
      </c>
    </row>
    <row r="1711" spans="1:17" x14ac:dyDescent="0.35">
      <c r="C1711" s="1" t="s">
        <v>3</v>
      </c>
    </row>
    <row r="1712" spans="1:17" x14ac:dyDescent="0.35">
      <c r="A1712" s="1" t="s">
        <v>1136</v>
      </c>
      <c r="B1712" s="4">
        <f t="shared" ref="B1712:B1713" si="2422">C1712*180/PI()</f>
        <v>316.41594236099706</v>
      </c>
      <c r="C1712" s="2">
        <f t="shared" ref="C1712:C1713" si="2423">C1703+Q1705</f>
        <v>5.5224999999999982</v>
      </c>
      <c r="E1712" s="7" t="s">
        <v>1137</v>
      </c>
      <c r="F1712" s="6">
        <f t="shared" ref="F1712" si="2424">-B1714*COS(B$6)+B$1*COS(C1712)+B$2*COS(C1713)-B$3*COS(C$4)</f>
        <v>-1.3025455693520309E-4</v>
      </c>
      <c r="H1712" s="11" t="s">
        <v>14</v>
      </c>
      <c r="I1712" s="12"/>
      <c r="J1712" s="13"/>
      <c r="L1712" s="11" t="s">
        <v>1138</v>
      </c>
      <c r="M1712" s="12"/>
      <c r="N1712" s="13"/>
      <c r="O1712" s="14" t="s">
        <v>18</v>
      </c>
      <c r="Q1712" s="16" t="s">
        <v>19</v>
      </c>
    </row>
    <row r="1713" spans="1:17" x14ac:dyDescent="0.35">
      <c r="A1713" s="1" t="s">
        <v>1139</v>
      </c>
      <c r="B1713" s="4">
        <f t="shared" si="2422"/>
        <v>49.583346899366781</v>
      </c>
      <c r="C1713" s="2">
        <f t="shared" si="2423"/>
        <v>0.86539265755247186</v>
      </c>
      <c r="E1713" s="7" t="s">
        <v>1140</v>
      </c>
      <c r="F1713" s="6">
        <f t="shared" ref="F1713" si="2425">-B1714*SIN(B$6)+B$1*SIN(C1712)+B$2*SIN(C1713)-B$3*SIN(C$4)</f>
        <v>-1.5466550425280445E-4</v>
      </c>
      <c r="H1713" s="8" t="s">
        <v>16</v>
      </c>
      <c r="I1713" s="8" t="s">
        <v>15</v>
      </c>
      <c r="J1713" s="9" t="s">
        <v>8</v>
      </c>
      <c r="L1713" s="8" t="s">
        <v>16</v>
      </c>
      <c r="M1713" s="8" t="s">
        <v>15</v>
      </c>
      <c r="N1713" s="9" t="s">
        <v>8</v>
      </c>
      <c r="O1713" s="15"/>
      <c r="Q1713" s="17"/>
    </row>
    <row r="1714" spans="1:17" x14ac:dyDescent="0.35">
      <c r="A1714" s="1" t="s">
        <v>8</v>
      </c>
      <c r="B1714" s="4">
        <f t="shared" ref="B1714" si="2426">B1705+Q1707</f>
        <v>6.0632687031517571</v>
      </c>
      <c r="C1714" s="2"/>
      <c r="E1714" s="7" t="s">
        <v>1141</v>
      </c>
      <c r="F1714" s="6">
        <f>C1712-F$3*B1710-0.5*(F$4)*B1710^2</f>
        <v>0</v>
      </c>
      <c r="H1714" s="2">
        <f t="shared" ref="H1714" si="2427">-B$1*SIN(C1712)</f>
        <v>2.068254055857853</v>
      </c>
      <c r="I1714" s="2">
        <f t="shared" ref="I1714" si="2428">-B$2*SIN(C1713)</f>
        <v>-4.5680993903536002</v>
      </c>
      <c r="J1714" s="2">
        <f t="shared" ref="J1714" si="2429">-COS(B$6)</f>
        <v>-1</v>
      </c>
      <c r="L1714" s="2" cm="1">
        <f t="array" ref="L1714:N1716">MINVERSE(H1714:J1716)</f>
        <v>0</v>
      </c>
      <c r="M1714" s="2">
        <v>-1.0217914908481229E-16</v>
      </c>
      <c r="N1714" s="2">
        <v>1.0000000000000002</v>
      </c>
      <c r="O1714" s="10">
        <f t="shared" ref="O1714:O1716" si="2430">-F1712</f>
        <v>1.3025455693520309E-4</v>
      </c>
      <c r="Q1714" s="2" cm="1">
        <f t="array" ref="Q1714:Q1716">MMULT(L1714:N1716,O1714:O1716)</f>
        <v>-1.5803589617324973E-20</v>
      </c>
    </row>
    <row r="1715" spans="1:17" x14ac:dyDescent="0.35">
      <c r="H1715" s="2">
        <f t="shared" ref="H1715" si="2431">B$1*COS(C1712)</f>
        <v>2.173091153271657</v>
      </c>
      <c r="I1715" s="2">
        <f t="shared" ref="I1715" si="2432">B$2*COS(C1713)</f>
        <v>3.8900472953231651</v>
      </c>
      <c r="J1715" s="2">
        <f t="shared" ref="J1715" si="2433">-SIN(B$6)</f>
        <v>0</v>
      </c>
      <c r="L1715" s="2">
        <v>0</v>
      </c>
      <c r="M1715" s="2">
        <v>0.25706628328201991</v>
      </c>
      <c r="N1715" s="2">
        <v>-0.55862846600458316</v>
      </c>
      <c r="O1715" s="10">
        <f t="shared" si="2430"/>
        <v>1.5466550425280445E-4</v>
      </c>
      <c r="Q1715" s="2">
        <v>3.9759286330207886E-5</v>
      </c>
    </row>
    <row r="1716" spans="1:17" x14ac:dyDescent="0.35">
      <c r="H1716" s="2">
        <v>1</v>
      </c>
      <c r="I1716" s="2">
        <v>0</v>
      </c>
      <c r="J1716" s="2">
        <v>0</v>
      </c>
      <c r="L1716" s="2">
        <v>-1</v>
      </c>
      <c r="M1716" s="2">
        <v>-1.1743043319410613</v>
      </c>
      <c r="N1716" s="2">
        <v>4.6201244108475565</v>
      </c>
      <c r="O1716" s="10">
        <f t="shared" si="2430"/>
        <v>0</v>
      </c>
      <c r="Q1716" s="2">
        <v>-3.1187892858112001E-4</v>
      </c>
    </row>
    <row r="1719" spans="1:17" x14ac:dyDescent="0.35">
      <c r="A1719" s="1" t="s">
        <v>9</v>
      </c>
      <c r="B1719" s="2">
        <f t="shared" ref="B1719" si="2434">IF(AND((B1710 = B1701), ABS(B1714-B1705) &lt; 0.001),B1710+0.1,B1710)</f>
        <v>4.6999999999999993</v>
      </c>
    </row>
    <row r="1720" spans="1:17" x14ac:dyDescent="0.35">
      <c r="C1720" s="1" t="s">
        <v>3</v>
      </c>
    </row>
    <row r="1721" spans="1:17" x14ac:dyDescent="0.35">
      <c r="A1721" s="1" t="s">
        <v>1142</v>
      </c>
      <c r="B1721" s="4">
        <f t="shared" ref="B1721:B1722" si="2435">C1721*180/PI()</f>
        <v>316.41594236099706</v>
      </c>
      <c r="C1721" s="2">
        <f t="shared" ref="C1721:C1722" si="2436">C1712+Q1714</f>
        <v>5.5224999999999982</v>
      </c>
      <c r="E1721" s="7" t="s">
        <v>1143</v>
      </c>
      <c r="F1721" s="6">
        <f t="shared" ref="F1721" si="2437">-B1723*COS(B$6)+B$1*COS(C1721)+B$2*COS(C1722)-B$3*COS(C$4)</f>
        <v>-3.0746464684699472E-9</v>
      </c>
      <c r="H1721" s="11" t="s">
        <v>14</v>
      </c>
      <c r="I1721" s="12"/>
      <c r="J1721" s="13"/>
      <c r="L1721" s="11" t="s">
        <v>1144</v>
      </c>
      <c r="M1721" s="12"/>
      <c r="N1721" s="13"/>
      <c r="O1721" s="14" t="s">
        <v>18</v>
      </c>
      <c r="Q1721" s="16" t="s">
        <v>19</v>
      </c>
    </row>
    <row r="1722" spans="1:17" x14ac:dyDescent="0.35">
      <c r="A1722" s="1" t="s">
        <v>1145</v>
      </c>
      <c r="B1722" s="4">
        <f t="shared" si="2435"/>
        <v>49.585624938669952</v>
      </c>
      <c r="C1722" s="2">
        <f t="shared" si="2436"/>
        <v>0.86543241683880201</v>
      </c>
      <c r="E1722" s="7" t="s">
        <v>1146</v>
      </c>
      <c r="F1722" s="6">
        <f t="shared" ref="F1722" si="2438">-B1723*SIN(B$6)+B$1*SIN(C1721)+B$2*SIN(C1722)-B$3*SIN(C$4)</f>
        <v>-3.6106690970427735E-9</v>
      </c>
      <c r="H1722" s="8" t="s">
        <v>16</v>
      </c>
      <c r="I1722" s="8" t="s">
        <v>15</v>
      </c>
      <c r="J1722" s="9" t="s">
        <v>8</v>
      </c>
      <c r="L1722" s="8" t="s">
        <v>16</v>
      </c>
      <c r="M1722" s="8" t="s">
        <v>15</v>
      </c>
      <c r="N1722" s="9" t="s">
        <v>8</v>
      </c>
      <c r="O1722" s="15"/>
      <c r="Q1722" s="17"/>
    </row>
    <row r="1723" spans="1:17" x14ac:dyDescent="0.35">
      <c r="A1723" s="1" t="s">
        <v>8</v>
      </c>
      <c r="B1723" s="4">
        <f t="shared" ref="B1723" si="2439">B1714+Q1716</f>
        <v>6.0629568242231757</v>
      </c>
      <c r="C1723" s="2"/>
      <c r="E1723" s="7" t="s">
        <v>1147</v>
      </c>
      <c r="F1723" s="6">
        <f>C1721-F$3*B1719-0.5*(F$4)*B1719^2</f>
        <v>0</v>
      </c>
      <c r="H1723" s="2">
        <f t="shared" ref="H1723" si="2440">-B$1*SIN(C1721)</f>
        <v>2.068254055857853</v>
      </c>
      <c r="I1723" s="2">
        <f t="shared" ref="I1723" si="2441">-B$2*SIN(C1722)</f>
        <v>-4.5682540522471839</v>
      </c>
      <c r="J1723" s="2">
        <f t="shared" ref="J1723" si="2442">-COS(B$6)</f>
        <v>-1</v>
      </c>
      <c r="L1723" s="2" cm="1">
        <f t="array" ref="L1723:N1725">MINVERSE(H1723:J1725)</f>
        <v>0</v>
      </c>
      <c r="M1723" s="2">
        <v>-1.0217914908481229E-16</v>
      </c>
      <c r="N1723" s="2">
        <v>1</v>
      </c>
      <c r="O1723" s="10">
        <f t="shared" ref="O1723:O1725" si="2443">-F1721</f>
        <v>3.0746464684699472E-9</v>
      </c>
      <c r="Q1723" s="2" cm="1">
        <f t="array" ref="Q1723:Q1725">MMULT(L1723:N1725,O1723:O1725)</f>
        <v>-3.6893509596265813E-25</v>
      </c>
    </row>
    <row r="1724" spans="1:17" x14ac:dyDescent="0.35">
      <c r="H1724" s="2">
        <f t="shared" ref="H1724" si="2444">B$1*COS(C1721)</f>
        <v>2.173091153271657</v>
      </c>
      <c r="I1724" s="2">
        <f t="shared" ref="I1724" si="2445">B$2*COS(C1722)</f>
        <v>3.8898656678768724</v>
      </c>
      <c r="J1724" s="2">
        <f t="shared" ref="J1724" si="2446">-SIN(B$6)</f>
        <v>0</v>
      </c>
      <c r="L1724" s="2">
        <v>0</v>
      </c>
      <c r="M1724" s="2">
        <v>0.25707828634242019</v>
      </c>
      <c r="N1724" s="2">
        <v>-0.55865454974895112</v>
      </c>
      <c r="O1724" s="10">
        <f t="shared" si="2443"/>
        <v>3.6106690970427735E-9</v>
      </c>
      <c r="Q1724" s="2">
        <v>9.2822462401728984E-10</v>
      </c>
    </row>
    <row r="1725" spans="1:17" x14ac:dyDescent="0.35">
      <c r="H1725" s="2">
        <v>1</v>
      </c>
      <c r="I1725" s="2">
        <v>0</v>
      </c>
      <c r="J1725" s="2">
        <v>0</v>
      </c>
      <c r="L1725" s="2">
        <v>-1</v>
      </c>
      <c r="M1725" s="2">
        <v>-1.1743989233285228</v>
      </c>
      <c r="N1725" s="2">
        <v>4.6203299665548254</v>
      </c>
      <c r="O1725" s="10">
        <f t="shared" si="2443"/>
        <v>0</v>
      </c>
      <c r="Q1725" s="2">
        <v>-7.3150123685325501E-9</v>
      </c>
    </row>
    <row r="1728" spans="1:17" x14ac:dyDescent="0.35">
      <c r="A1728" s="1" t="s">
        <v>9</v>
      </c>
      <c r="B1728" s="2">
        <f t="shared" ref="B1728" si="2447">IF(AND((B1719 = B1710), ABS(B1723-B1714) &lt; 0.001),B1719+0.1,B1719)</f>
        <v>4.7999999999999989</v>
      </c>
    </row>
    <row r="1729" spans="1:17" x14ac:dyDescent="0.35">
      <c r="C1729" s="1" t="s">
        <v>3</v>
      </c>
    </row>
    <row r="1730" spans="1:17" x14ac:dyDescent="0.35">
      <c r="A1730" s="1" t="s">
        <v>1148</v>
      </c>
      <c r="B1730" s="4">
        <f t="shared" ref="B1730:B1731" si="2448">C1730*180/PI()</f>
        <v>316.41594236099706</v>
      </c>
      <c r="C1730" s="2">
        <f t="shared" ref="C1730:C1731" si="2449">C1721+Q1723</f>
        <v>5.5224999999999982</v>
      </c>
      <c r="E1730" s="7" t="s">
        <v>1149</v>
      </c>
      <c r="F1730" s="6">
        <f t="shared" ref="F1730" si="2450">-B1732*COS(B$6)+B$1*COS(C1730)+B$2*COS(C1731)-B$3*COS(C$4)</f>
        <v>-1.531435568635775E-16</v>
      </c>
      <c r="H1730" s="11" t="s">
        <v>14</v>
      </c>
      <c r="I1730" s="12"/>
      <c r="J1730" s="13"/>
      <c r="L1730" s="11" t="s">
        <v>1150</v>
      </c>
      <c r="M1730" s="12"/>
      <c r="N1730" s="13"/>
      <c r="O1730" s="14" t="s">
        <v>18</v>
      </c>
      <c r="Q1730" s="16" t="s">
        <v>19</v>
      </c>
    </row>
    <row r="1731" spans="1:17" x14ac:dyDescent="0.35">
      <c r="A1731" s="1" t="s">
        <v>1151</v>
      </c>
      <c r="B1731" s="4">
        <f t="shared" si="2448"/>
        <v>49.585624991853308</v>
      </c>
      <c r="C1731" s="2">
        <f t="shared" si="2449"/>
        <v>0.86543241776702662</v>
      </c>
      <c r="E1731" s="7" t="s">
        <v>1152</v>
      </c>
      <c r="F1731" s="6">
        <f t="shared" ref="F1731" si="2451">-B1732*SIN(B$6)+B$1*SIN(C1730)+B$2*SIN(C1731)-B$3*SIN(C$4)</f>
        <v>0</v>
      </c>
      <c r="H1731" s="8" t="s">
        <v>16</v>
      </c>
      <c r="I1731" s="8" t="s">
        <v>15</v>
      </c>
      <c r="J1731" s="9" t="s">
        <v>8</v>
      </c>
      <c r="L1731" s="8" t="s">
        <v>16</v>
      </c>
      <c r="M1731" s="8" t="s">
        <v>15</v>
      </c>
      <c r="N1731" s="9" t="s">
        <v>8</v>
      </c>
      <c r="O1731" s="15"/>
      <c r="Q1731" s="17"/>
    </row>
    <row r="1732" spans="1:17" x14ac:dyDescent="0.35">
      <c r="A1732" s="1" t="s">
        <v>8</v>
      </c>
      <c r="B1732" s="4">
        <f t="shared" ref="B1732" si="2452">B1723+Q1725</f>
        <v>6.0629568169081631</v>
      </c>
      <c r="C1732" s="2"/>
      <c r="E1732" s="7" t="s">
        <v>1153</v>
      </c>
      <c r="F1732" s="6">
        <f>C1730-F$3*B1728-0.5*(F$4)*B1728^2</f>
        <v>-0.23749999999999893</v>
      </c>
      <c r="H1732" s="2">
        <f t="shared" ref="H1732" si="2453">-B$1*SIN(C1730)</f>
        <v>2.068254055857853</v>
      </c>
      <c r="I1732" s="2">
        <f t="shared" ref="I1732" si="2454">-B$2*SIN(C1731)</f>
        <v>-4.568254055857853</v>
      </c>
      <c r="J1732" s="2">
        <f t="shared" ref="J1732" si="2455">-COS(B$6)</f>
        <v>-1</v>
      </c>
      <c r="L1732" s="2" cm="1">
        <f t="array" ref="L1732:N1734">MINVERSE(H1732:J1734)</f>
        <v>0</v>
      </c>
      <c r="M1732" s="2">
        <v>5.1089574542406143E-17</v>
      </c>
      <c r="N1732" s="2">
        <v>1</v>
      </c>
      <c r="O1732" s="10">
        <f t="shared" ref="O1732:O1734" si="2456">-F1730</f>
        <v>1.531435568635775E-16</v>
      </c>
      <c r="Q1732" s="2" cm="1">
        <f t="array" ref="Q1732:Q1734">MMULT(L1732:N1734,O1732:O1734)</f>
        <v>0.23749999999999893</v>
      </c>
    </row>
    <row r="1733" spans="1:17" x14ac:dyDescent="0.35">
      <c r="H1733" s="2">
        <f t="shared" ref="H1733" si="2457">B$1*COS(C1730)</f>
        <v>2.173091153271657</v>
      </c>
      <c r="I1733" s="2">
        <f t="shared" ref="I1733" si="2458">B$2*COS(C1731)</f>
        <v>3.8898656636365061</v>
      </c>
      <c r="J1733" s="2">
        <f t="shared" ref="J1733" si="2459">-SIN(B$6)</f>
        <v>0</v>
      </c>
      <c r="L1733" s="2">
        <v>0</v>
      </c>
      <c r="M1733" s="2">
        <v>0.25707828662266274</v>
      </c>
      <c r="N1733" s="2">
        <v>-0.55865455035794387</v>
      </c>
      <c r="O1733" s="10">
        <f t="shared" si="2456"/>
        <v>0</v>
      </c>
      <c r="Q1733" s="2">
        <v>-0.13268045571001108</v>
      </c>
    </row>
    <row r="1734" spans="1:17" x14ac:dyDescent="0.35">
      <c r="H1734" s="2">
        <v>1</v>
      </c>
      <c r="I1734" s="2">
        <v>0</v>
      </c>
      <c r="J1734" s="2">
        <v>0</v>
      </c>
      <c r="L1734" s="2">
        <v>-1</v>
      </c>
      <c r="M1734" s="2">
        <v>-1.1743989255369667</v>
      </c>
      <c r="N1734" s="2">
        <v>4.6203299713539749</v>
      </c>
      <c r="O1734" s="10">
        <f t="shared" si="2456"/>
        <v>0.23749999999999893</v>
      </c>
      <c r="Q1734" s="2">
        <v>1.097328368196564</v>
      </c>
    </row>
    <row r="1737" spans="1:17" x14ac:dyDescent="0.35">
      <c r="A1737" s="1" t="s">
        <v>9</v>
      </c>
      <c r="B1737" s="2">
        <f t="shared" ref="B1737" si="2460">IF(AND((B1728 = B1719), ABS(B1732-B1723) &lt; 0.001),B1728+0.1,B1728)</f>
        <v>4.7999999999999989</v>
      </c>
    </row>
    <row r="1738" spans="1:17" x14ac:dyDescent="0.35">
      <c r="C1738" s="1" t="s">
        <v>3</v>
      </c>
    </row>
    <row r="1739" spans="1:17" x14ac:dyDescent="0.35">
      <c r="A1739" s="1" t="s">
        <v>1154</v>
      </c>
      <c r="B1739" s="4">
        <f t="shared" ref="B1739:B1740" si="2461">C1739*180/PI()</f>
        <v>330.023689995354</v>
      </c>
      <c r="C1739" s="2">
        <f t="shared" ref="C1739:C1740" si="2462">C1730+Q1732</f>
        <v>5.7599999999999971</v>
      </c>
      <c r="E1739" s="7" t="s">
        <v>1155</v>
      </c>
      <c r="F1739" s="6">
        <f t="shared" ref="F1739" si="2463">-B1741*COS(B$6)+B$1*COS(C1739)+B$2*COS(C1740)-B$3*COS(C$4)</f>
        <v>-0.10157069511326015</v>
      </c>
      <c r="H1739" s="11" t="s">
        <v>14</v>
      </c>
      <c r="I1739" s="12"/>
      <c r="J1739" s="13"/>
      <c r="L1739" s="11" t="s">
        <v>1156</v>
      </c>
      <c r="M1739" s="12"/>
      <c r="N1739" s="13"/>
      <c r="O1739" s="14" t="s">
        <v>18</v>
      </c>
      <c r="Q1739" s="16" t="s">
        <v>19</v>
      </c>
    </row>
    <row r="1740" spans="1:17" x14ac:dyDescent="0.35">
      <c r="A1740" s="1" t="s">
        <v>1157</v>
      </c>
      <c r="B1740" s="4">
        <f t="shared" si="2461"/>
        <v>41.983594855797229</v>
      </c>
      <c r="C1740" s="2">
        <f t="shared" si="2462"/>
        <v>0.73275196205701554</v>
      </c>
      <c r="E1740" s="7" t="s">
        <v>1158</v>
      </c>
      <c r="F1740" s="6">
        <f t="shared" ref="F1740" si="2464">-B1741*SIN(B$6)+B$1*SIN(C1739)+B$2*SIN(C1740)-B$3*SIN(C$4)</f>
        <v>1.45811440354775E-2</v>
      </c>
      <c r="H1740" s="8" t="s">
        <v>16</v>
      </c>
      <c r="I1740" s="8" t="s">
        <v>15</v>
      </c>
      <c r="J1740" s="9" t="s">
        <v>8</v>
      </c>
      <c r="L1740" s="8" t="s">
        <v>16</v>
      </c>
      <c r="M1740" s="8" t="s">
        <v>15</v>
      </c>
      <c r="N1740" s="9" t="s">
        <v>8</v>
      </c>
      <c r="O1740" s="15"/>
      <c r="Q1740" s="17"/>
    </row>
    <row r="1741" spans="1:17" x14ac:dyDescent="0.35">
      <c r="A1741" s="1" t="s">
        <v>8</v>
      </c>
      <c r="B1741" s="4">
        <f t="shared" ref="B1741" si="2465">B1732+Q1734</f>
        <v>7.1602851851047271</v>
      </c>
      <c r="C1741" s="2"/>
      <c r="E1741" s="7" t="s">
        <v>1159</v>
      </c>
      <c r="F1741" s="6">
        <f>C1739-F$3*B1737-0.5*(F$4)*B1737^2</f>
        <v>0</v>
      </c>
      <c r="H1741" s="2">
        <f t="shared" ref="H1741" si="2466">-B$1*SIN(C1739)</f>
        <v>1.4989256493507144</v>
      </c>
      <c r="I1741" s="2">
        <f t="shared" ref="I1741" si="2467">-B$2*SIN(C1740)</f>
        <v>-4.0135067933861919</v>
      </c>
      <c r="J1741" s="2">
        <f t="shared" ref="J1741" si="2468">-COS(B$6)</f>
        <v>-1</v>
      </c>
      <c r="L1741" s="2" cm="1">
        <f t="array" ref="L1741:N1743">MINVERSE(H1741:J1743)</f>
        <v>0</v>
      </c>
      <c r="M1741" s="2">
        <v>0</v>
      </c>
      <c r="N1741" s="2">
        <v>1</v>
      </c>
      <c r="O1741" s="10">
        <f t="shared" ref="O1741:O1743" si="2469">-F1739</f>
        <v>0.10157069511326015</v>
      </c>
      <c r="Q1741" s="2" cm="1">
        <f t="array" ref="Q1741:Q1743">MMULT(L1741:N1743,O1741:O1743)</f>
        <v>0</v>
      </c>
    </row>
    <row r="1742" spans="1:17" x14ac:dyDescent="0.35">
      <c r="H1742" s="2">
        <f t="shared" ref="H1742" si="2470">B$1*COS(C1739)</f>
        <v>2.598696191885181</v>
      </c>
      <c r="I1742" s="2">
        <f t="shared" ref="I1742" si="2471">B$2*COS(C1740)</f>
        <v>4.4600182981062861</v>
      </c>
      <c r="J1742" s="2">
        <f t="shared" ref="J1742" si="2472">-SIN(B$6)</f>
        <v>0</v>
      </c>
      <c r="L1742" s="2">
        <v>0</v>
      </c>
      <c r="M1742" s="2">
        <v>0.22421432674942116</v>
      </c>
      <c r="N1742" s="2">
        <v>-0.58266491708982038</v>
      </c>
      <c r="O1742" s="10">
        <f t="shared" si="2469"/>
        <v>-1.45811440354775E-2</v>
      </c>
      <c r="Q1742" s="2">
        <v>-3.2693013931509255E-3</v>
      </c>
    </row>
    <row r="1743" spans="1:17" x14ac:dyDescent="0.35">
      <c r="H1743" s="2">
        <v>1</v>
      </c>
      <c r="I1743" s="2">
        <v>0</v>
      </c>
      <c r="J1743" s="2">
        <v>0</v>
      </c>
      <c r="L1743" s="2">
        <v>-1</v>
      </c>
      <c r="M1743" s="2">
        <v>-0.8998857235833132</v>
      </c>
      <c r="N1743" s="2">
        <v>3.8374552523585108</v>
      </c>
      <c r="O1743" s="10">
        <f t="shared" si="2469"/>
        <v>0</v>
      </c>
      <c r="Q1743" s="2">
        <v>-8.8449331762221972E-2</v>
      </c>
    </row>
    <row r="1746" spans="1:17" x14ac:dyDescent="0.35">
      <c r="A1746" s="1" t="s">
        <v>9</v>
      </c>
      <c r="B1746" s="2">
        <f t="shared" ref="B1746" si="2473">IF(AND((B1737 = B1728), ABS(B1741-B1732) &lt; 0.001),B1737+0.1,B1737)</f>
        <v>4.7999999999999989</v>
      </c>
    </row>
    <row r="1747" spans="1:17" x14ac:dyDescent="0.35">
      <c r="C1747" s="1" t="s">
        <v>3</v>
      </c>
    </row>
    <row r="1748" spans="1:17" x14ac:dyDescent="0.35">
      <c r="A1748" s="1" t="s">
        <v>1160</v>
      </c>
      <c r="B1748" s="4">
        <f t="shared" ref="B1748:B1749" si="2474">C1748*180/PI()</f>
        <v>330.023689995354</v>
      </c>
      <c r="C1748" s="2">
        <f t="shared" ref="C1748:C1749" si="2475">C1739+Q1741</f>
        <v>5.7599999999999971</v>
      </c>
      <c r="E1748" s="7" t="s">
        <v>1161</v>
      </c>
      <c r="F1748" s="6">
        <f t="shared" ref="F1748" si="2476">-B1750*COS(B$6)+B$1*COS(C1748)+B$2*COS(C1749)-B$3*COS(C$4)</f>
        <v>-2.3858430260024143E-5</v>
      </c>
      <c r="H1748" s="11" t="s">
        <v>14</v>
      </c>
      <c r="I1748" s="12"/>
      <c r="J1748" s="13"/>
      <c r="L1748" s="11" t="s">
        <v>1162</v>
      </c>
      <c r="M1748" s="12"/>
      <c r="N1748" s="13"/>
      <c r="O1748" s="14" t="s">
        <v>18</v>
      </c>
      <c r="Q1748" s="16" t="s">
        <v>19</v>
      </c>
    </row>
    <row r="1749" spans="1:17" x14ac:dyDescent="0.35">
      <c r="A1749" s="1" t="s">
        <v>1163</v>
      </c>
      <c r="B1749" s="4">
        <f t="shared" si="2474"/>
        <v>41.79627768401344</v>
      </c>
      <c r="C1749" s="2">
        <f t="shared" si="2475"/>
        <v>0.72948266066386458</v>
      </c>
      <c r="E1749" s="7" t="s">
        <v>1164</v>
      </c>
      <c r="F1749" s="6">
        <f t="shared" ref="F1749" si="2477">-B1750*SIN(B$6)+B$1*SIN(C1748)+B$2*SIN(C1749)-B$3*SIN(C$4)</f>
        <v>-2.142285196748972E-5</v>
      </c>
      <c r="H1749" s="8" t="s">
        <v>16</v>
      </c>
      <c r="I1749" s="8" t="s">
        <v>15</v>
      </c>
      <c r="J1749" s="9" t="s">
        <v>8</v>
      </c>
      <c r="L1749" s="8" t="s">
        <v>16</v>
      </c>
      <c r="M1749" s="8" t="s">
        <v>15</v>
      </c>
      <c r="N1749" s="9" t="s">
        <v>8</v>
      </c>
      <c r="O1749" s="15"/>
      <c r="Q1749" s="17"/>
    </row>
    <row r="1750" spans="1:17" x14ac:dyDescent="0.35">
      <c r="A1750" s="1" t="s">
        <v>8</v>
      </c>
      <c r="B1750" s="4">
        <f t="shared" ref="B1750" si="2478">B1741+Q1743</f>
        <v>7.0718358533425052</v>
      </c>
      <c r="C1750" s="2"/>
      <c r="E1750" s="7" t="s">
        <v>1165</v>
      </c>
      <c r="F1750" s="6">
        <f>C1748-F$3*B1746-0.5*(F$4)*B1746^2</f>
        <v>0</v>
      </c>
      <c r="H1750" s="2">
        <f t="shared" ref="H1750" si="2479">-B$1*SIN(C1748)</f>
        <v>1.4989256493507144</v>
      </c>
      <c r="I1750" s="2">
        <f t="shared" ref="I1750" si="2480">-B$2*SIN(C1749)</f>
        <v>-3.9989042264987469</v>
      </c>
      <c r="J1750" s="2">
        <f t="shared" ref="J1750" si="2481">-COS(B$6)</f>
        <v>-1</v>
      </c>
      <c r="L1750" s="2" cm="1">
        <f t="array" ref="L1750:N1752">MINVERSE(H1750:J1752)</f>
        <v>0</v>
      </c>
      <c r="M1750" s="2">
        <v>4.2722309290789534E-17</v>
      </c>
      <c r="N1750" s="2">
        <v>1</v>
      </c>
      <c r="O1750" s="10">
        <f t="shared" ref="O1750:O1752" si="2482">-F1748</f>
        <v>2.3858430260024143E-5</v>
      </c>
      <c r="Q1750" s="2" cm="1">
        <f t="array" ref="Q1750:Q1752">MMULT(L1750:N1752,O1750:O1752)</f>
        <v>9.1523370764589489E-22</v>
      </c>
    </row>
    <row r="1751" spans="1:17" x14ac:dyDescent="0.35">
      <c r="H1751" s="2">
        <f t="shared" ref="H1751" si="2483">B$1*COS(C1748)</f>
        <v>2.598696191885181</v>
      </c>
      <c r="I1751" s="2">
        <f t="shared" ref="I1751" si="2484">B$2*COS(C1749)</f>
        <v>4.4731158030270644</v>
      </c>
      <c r="J1751" s="2">
        <f t="shared" ref="J1751" si="2485">-SIN(B$6)</f>
        <v>0</v>
      </c>
      <c r="L1751" s="2">
        <v>0</v>
      </c>
      <c r="M1751" s="2">
        <v>0.22355781608052178</v>
      </c>
      <c r="N1751" s="2">
        <v>-0.58095884531461961</v>
      </c>
      <c r="O1751" s="10">
        <f t="shared" si="2482"/>
        <v>2.142285196748972E-5</v>
      </c>
      <c r="Q1751" s="2">
        <v>4.7892460000683105E-6</v>
      </c>
    </row>
    <row r="1752" spans="1:17" x14ac:dyDescent="0.35">
      <c r="H1752" s="2">
        <v>1</v>
      </c>
      <c r="I1752" s="2">
        <v>0</v>
      </c>
      <c r="J1752" s="2">
        <v>0</v>
      </c>
      <c r="L1752" s="2">
        <v>-1</v>
      </c>
      <c r="M1752" s="2">
        <v>-0.89398629559122811</v>
      </c>
      <c r="N1752" s="2">
        <v>3.8221244313011784</v>
      </c>
      <c r="O1752" s="10">
        <f t="shared" si="2482"/>
        <v>0</v>
      </c>
      <c r="Q1752" s="2">
        <v>-4.3010166331439531E-5</v>
      </c>
    </row>
    <row r="1755" spans="1:17" x14ac:dyDescent="0.35">
      <c r="A1755" s="1" t="s">
        <v>9</v>
      </c>
      <c r="B1755" s="2">
        <f t="shared" ref="B1755" si="2486">IF(AND((B1746 = B1737), ABS(B1750-B1741) &lt; 0.001),B1746+0.1,B1746)</f>
        <v>4.7999999999999989</v>
      </c>
    </row>
    <row r="1756" spans="1:17" x14ac:dyDescent="0.35">
      <c r="C1756" s="1" t="s">
        <v>3</v>
      </c>
    </row>
    <row r="1757" spans="1:17" x14ac:dyDescent="0.35">
      <c r="A1757" s="1" t="s">
        <v>1166</v>
      </c>
      <c r="B1757" s="4">
        <f t="shared" ref="B1757:B1758" si="2487">C1757*180/PI()</f>
        <v>330.023689995354</v>
      </c>
      <c r="C1757" s="2">
        <f t="shared" ref="C1757:C1758" si="2488">C1748+Q1750</f>
        <v>5.7599999999999971</v>
      </c>
      <c r="E1757" s="7" t="s">
        <v>1167</v>
      </c>
      <c r="F1757" s="6">
        <f t="shared" ref="F1757" si="2489">-B1759*COS(B$6)+B$1*COS(C1757)+B$2*COS(C1758)-B$3*COS(C$4)</f>
        <v>-5.1299562308596697E-11</v>
      </c>
      <c r="H1757" s="11" t="s">
        <v>14</v>
      </c>
      <c r="I1757" s="12"/>
      <c r="J1757" s="13"/>
      <c r="L1757" s="11" t="s">
        <v>1168</v>
      </c>
      <c r="M1757" s="12"/>
      <c r="N1757" s="13"/>
      <c r="O1757" s="14" t="s">
        <v>18</v>
      </c>
      <c r="Q1757" s="16" t="s">
        <v>19</v>
      </c>
    </row>
    <row r="1758" spans="1:17" x14ac:dyDescent="0.35">
      <c r="A1758" s="1" t="s">
        <v>1169</v>
      </c>
      <c r="B1758" s="4">
        <f t="shared" si="2487"/>
        <v>41.796552087596297</v>
      </c>
      <c r="C1758" s="2">
        <f t="shared" si="2488"/>
        <v>0.72948744990986469</v>
      </c>
      <c r="E1758" s="7" t="s">
        <v>1170</v>
      </c>
      <c r="F1758" s="6">
        <f t="shared" ref="F1758" si="2490">-B1759*SIN(B$6)+B$1*SIN(C1757)+B$2*SIN(C1758)-B$3*SIN(C$4)</f>
        <v>-4.5861092701215966E-11</v>
      </c>
      <c r="H1758" s="8" t="s">
        <v>16</v>
      </c>
      <c r="I1758" s="8" t="s">
        <v>15</v>
      </c>
      <c r="J1758" s="9" t="s">
        <v>8</v>
      </c>
      <c r="L1758" s="8" t="s">
        <v>16</v>
      </c>
      <c r="M1758" s="8" t="s">
        <v>15</v>
      </c>
      <c r="N1758" s="9" t="s">
        <v>8</v>
      </c>
      <c r="O1758" s="15"/>
      <c r="Q1758" s="17"/>
    </row>
    <row r="1759" spans="1:17" x14ac:dyDescent="0.35">
      <c r="A1759" s="1" t="s">
        <v>8</v>
      </c>
      <c r="B1759" s="4">
        <f t="shared" ref="B1759" si="2491">B1750+Q1752</f>
        <v>7.0717928431761736</v>
      </c>
      <c r="C1759" s="2"/>
      <c r="E1759" s="7" t="s">
        <v>1171</v>
      </c>
      <c r="F1759" s="6">
        <f>C1757-F$3*B1755-0.5*(F$4)*B1755^2</f>
        <v>0</v>
      </c>
      <c r="H1759" s="2">
        <f t="shared" ref="H1759" si="2492">-B$1*SIN(C1757)</f>
        <v>1.4989256493507144</v>
      </c>
      <c r="I1759" s="2">
        <f t="shared" ref="I1759" si="2493">-B$2*SIN(C1758)</f>
        <v>-3.9989256493048533</v>
      </c>
      <c r="J1759" s="2">
        <f t="shared" ref="J1759" si="2494">-COS(B$6)</f>
        <v>-1</v>
      </c>
      <c r="L1759" s="2" cm="1">
        <f t="array" ref="L1759:N1761">MINVERSE(H1759:J1761)</f>
        <v>0</v>
      </c>
      <c r="M1759" s="2">
        <v>4.2722309290789534E-17</v>
      </c>
      <c r="N1759" s="2">
        <v>1</v>
      </c>
      <c r="O1759" s="10">
        <f t="shared" ref="O1759:O1761" si="2495">-F1757</f>
        <v>5.1299562308596697E-11</v>
      </c>
      <c r="Q1759" s="2" cm="1">
        <f t="array" ref="Q1759:Q1761">MMULT(L1759:N1761,O1759:O1761)</f>
        <v>1.9592917867949189E-27</v>
      </c>
    </row>
    <row r="1760" spans="1:17" x14ac:dyDescent="0.35">
      <c r="H1760" s="2">
        <f t="shared" ref="H1760" si="2496">B$1*COS(C1757)</f>
        <v>2.598696191885181</v>
      </c>
      <c r="I1760" s="2">
        <f t="shared" ref="I1760" si="2497">B$2*COS(C1758)</f>
        <v>4.4730966512396932</v>
      </c>
      <c r="J1760" s="2">
        <f t="shared" ref="J1760" si="2498">-SIN(B$6)</f>
        <v>0</v>
      </c>
      <c r="L1760" s="2">
        <v>0</v>
      </c>
      <c r="M1760" s="2">
        <v>0.2235587732545094</v>
      </c>
      <c r="N1760" s="2">
        <v>-0.58096133271901629</v>
      </c>
      <c r="O1760" s="10">
        <f t="shared" si="2495"/>
        <v>4.5861092701215966E-11</v>
      </c>
      <c r="Q1760" s="2">
        <v>1.0252649624395176E-11</v>
      </c>
    </row>
    <row r="1761" spans="1:17" x14ac:dyDescent="0.35">
      <c r="H1761" s="2">
        <v>1</v>
      </c>
      <c r="I1761" s="2">
        <v>0</v>
      </c>
      <c r="J1761" s="2">
        <v>0</v>
      </c>
      <c r="L1761" s="2">
        <v>-1</v>
      </c>
      <c r="M1761" s="2">
        <v>-0.89399491249458563</v>
      </c>
      <c r="N1761" s="2">
        <v>3.8221468240151197</v>
      </c>
      <c r="O1761" s="10">
        <f t="shared" si="2495"/>
        <v>0</v>
      </c>
      <c r="Q1761" s="2">
        <v>-9.2299145864926335E-11</v>
      </c>
    </row>
    <row r="1764" spans="1:17" x14ac:dyDescent="0.35">
      <c r="A1764" s="1" t="s">
        <v>9</v>
      </c>
      <c r="B1764" s="2">
        <f t="shared" ref="B1764" si="2499">IF(AND((B1755 = B1746), ABS(B1759-B1750) &lt; 0.001),B1755+0.1,B1755)</f>
        <v>4.8999999999999986</v>
      </c>
    </row>
    <row r="1765" spans="1:17" x14ac:dyDescent="0.35">
      <c r="C1765" s="1" t="s">
        <v>3</v>
      </c>
    </row>
    <row r="1766" spans="1:17" x14ac:dyDescent="0.35">
      <c r="A1766" s="1" t="s">
        <v>1172</v>
      </c>
      <c r="B1766" s="4">
        <f t="shared" ref="B1766:B1767" si="2500">C1766*180/PI()</f>
        <v>330.023689995354</v>
      </c>
      <c r="C1766" s="2">
        <f t="shared" ref="C1766:C1767" si="2501">C1757+Q1759</f>
        <v>5.7599999999999971</v>
      </c>
      <c r="E1766" s="7" t="s">
        <v>1173</v>
      </c>
      <c r="F1766" s="6">
        <f t="shared" ref="F1766" si="2502">-B1768*COS(B$6)+B$1*COS(C1766)+B$2*COS(C1767)-B$3*COS(C$4)</f>
        <v>7.3503486283654773E-16</v>
      </c>
      <c r="H1766" s="11" t="s">
        <v>14</v>
      </c>
      <c r="I1766" s="12"/>
      <c r="J1766" s="13"/>
      <c r="L1766" s="11" t="s">
        <v>1174</v>
      </c>
      <c r="M1766" s="12"/>
      <c r="N1766" s="13"/>
      <c r="O1766" s="14" t="s">
        <v>18</v>
      </c>
      <c r="Q1766" s="16" t="s">
        <v>19</v>
      </c>
    </row>
    <row r="1767" spans="1:17" x14ac:dyDescent="0.35">
      <c r="A1767" s="1" t="s">
        <v>1175</v>
      </c>
      <c r="B1767" s="4">
        <f t="shared" si="2500"/>
        <v>41.796552088183731</v>
      </c>
      <c r="C1767" s="2">
        <f t="shared" si="2501"/>
        <v>0.72948744992011738</v>
      </c>
      <c r="E1767" s="7" t="s">
        <v>1176</v>
      </c>
      <c r="F1767" s="6">
        <f t="shared" ref="F1767" si="2503">-B1768*SIN(B$6)+B$1*SIN(C1766)+B$2*SIN(C1767)-B$3*SIN(C$4)</f>
        <v>0</v>
      </c>
      <c r="H1767" s="8" t="s">
        <v>16</v>
      </c>
      <c r="I1767" s="8" t="s">
        <v>15</v>
      </c>
      <c r="J1767" s="9" t="s">
        <v>8</v>
      </c>
      <c r="L1767" s="8" t="s">
        <v>16</v>
      </c>
      <c r="M1767" s="8" t="s">
        <v>15</v>
      </c>
      <c r="N1767" s="9" t="s">
        <v>8</v>
      </c>
      <c r="O1767" s="15"/>
      <c r="Q1767" s="17"/>
    </row>
    <row r="1768" spans="1:17" x14ac:dyDescent="0.35">
      <c r="A1768" s="1" t="s">
        <v>8</v>
      </c>
      <c r="B1768" s="4">
        <f t="shared" ref="B1768" si="2504">B1759+Q1761</f>
        <v>7.0717928430838741</v>
      </c>
      <c r="C1768" s="2"/>
      <c r="E1768" s="7" t="s">
        <v>1177</v>
      </c>
      <c r="F1768" s="6">
        <f>C1766-F$3*B1764-0.5*(F$4)*B1764^2</f>
        <v>-0.24249999999999972</v>
      </c>
      <c r="H1768" s="2">
        <f t="shared" ref="H1768" si="2505">-B$1*SIN(C1766)</f>
        <v>1.4989256493507144</v>
      </c>
      <c r="I1768" s="2">
        <f t="shared" ref="I1768" si="2506">-B$2*SIN(C1767)</f>
        <v>-3.9989256493507139</v>
      </c>
      <c r="J1768" s="2">
        <f t="shared" ref="J1768" si="2507">-COS(B$6)</f>
        <v>-1</v>
      </c>
      <c r="L1768" s="2" cm="1">
        <f t="array" ref="L1768:N1770">MINVERSE(H1768:J1770)</f>
        <v>0</v>
      </c>
      <c r="M1768" s="2">
        <v>4.2722309290789534E-17</v>
      </c>
      <c r="N1768" s="2">
        <v>1</v>
      </c>
      <c r="O1768" s="10">
        <f t="shared" ref="O1768:O1770" si="2508">-F1766</f>
        <v>-7.3503486283654773E-16</v>
      </c>
      <c r="Q1768" s="2" cm="1">
        <f t="array" ref="Q1768:Q1770">MMULT(L1768:N1770,O1768:O1770)</f>
        <v>0.24249999999999972</v>
      </c>
    </row>
    <row r="1769" spans="1:17" x14ac:dyDescent="0.35">
      <c r="H1769" s="2">
        <f t="shared" ref="H1769" si="2509">B$1*COS(C1766)</f>
        <v>2.598696191885181</v>
      </c>
      <c r="I1769" s="2">
        <f t="shared" ref="I1769" si="2510">B$2*COS(C1767)</f>
        <v>4.473096651198694</v>
      </c>
      <c r="J1769" s="2">
        <f t="shared" ref="J1769" si="2511">-SIN(B$6)</f>
        <v>0</v>
      </c>
      <c r="L1769" s="2">
        <v>0</v>
      </c>
      <c r="M1769" s="2">
        <v>0.22355877325655849</v>
      </c>
      <c r="N1769" s="2">
        <v>-0.58096133272434125</v>
      </c>
      <c r="O1769" s="10">
        <f t="shared" si="2508"/>
        <v>0</v>
      </c>
      <c r="Q1769" s="2">
        <v>-0.14088312318565258</v>
      </c>
    </row>
    <row r="1770" spans="1:17" x14ac:dyDescent="0.35">
      <c r="H1770" s="2">
        <v>1</v>
      </c>
      <c r="I1770" s="2">
        <v>0</v>
      </c>
      <c r="J1770" s="2">
        <v>0</v>
      </c>
      <c r="L1770" s="2">
        <v>-1</v>
      </c>
      <c r="M1770" s="2">
        <v>-0.89399491251303209</v>
      </c>
      <c r="N1770" s="2">
        <v>3.8221468240630565</v>
      </c>
      <c r="O1770" s="10">
        <f t="shared" si="2508"/>
        <v>0.24249999999999972</v>
      </c>
      <c r="Q1770" s="2">
        <v>0.92687060483529093</v>
      </c>
    </row>
    <row r="1773" spans="1:17" x14ac:dyDescent="0.35">
      <c r="A1773" s="1" t="s">
        <v>9</v>
      </c>
      <c r="B1773" s="2">
        <f t="shared" ref="B1773" si="2512">IF(AND((B1764 = B1755), ABS(B1768-B1759) &lt; 0.001),B1764+0.1,B1764)</f>
        <v>4.8999999999999986</v>
      </c>
    </row>
    <row r="1774" spans="1:17" x14ac:dyDescent="0.35">
      <c r="C1774" s="1" t="s">
        <v>3</v>
      </c>
    </row>
    <row r="1775" spans="1:17" x14ac:dyDescent="0.35">
      <c r="A1775" s="1" t="s">
        <v>1178</v>
      </c>
      <c r="B1775" s="4">
        <f t="shared" ref="B1775:B1776" si="2513">C1775*180/PI()</f>
        <v>343.91791652727642</v>
      </c>
      <c r="C1775" s="2">
        <f t="shared" ref="C1775:C1776" si="2514">C1766+Q1768</f>
        <v>6.0024999999999968</v>
      </c>
      <c r="E1775" s="7" t="s">
        <v>1179</v>
      </c>
      <c r="F1775" s="6">
        <f t="shared" ref="F1775" si="2515">-B1777*COS(B$6)+B$1*COS(C1775)+B$2*COS(C1776)-B$3*COS(C$4)</f>
        <v>-0.12576776896072256</v>
      </c>
      <c r="H1775" s="11" t="s">
        <v>14</v>
      </c>
      <c r="I1775" s="12"/>
      <c r="J1775" s="13"/>
      <c r="L1775" s="11" t="s">
        <v>1180</v>
      </c>
      <c r="M1775" s="12"/>
      <c r="N1775" s="13"/>
      <c r="O1775" s="14" t="s">
        <v>18</v>
      </c>
      <c r="Q1775" s="16" t="s">
        <v>19</v>
      </c>
    </row>
    <row r="1776" spans="1:17" x14ac:dyDescent="0.35">
      <c r="A1776" s="1" t="s">
        <v>1181</v>
      </c>
      <c r="B1776" s="4">
        <f t="shared" si="2513"/>
        <v>33.724543725024162</v>
      </c>
      <c r="C1776" s="2">
        <f t="shared" si="2514"/>
        <v>0.58860432673446483</v>
      </c>
      <c r="E1776" s="7" t="s">
        <v>1182</v>
      </c>
      <c r="F1776" s="6">
        <f t="shared" ref="F1776" si="2516">-B1777*SIN(B$6)+B$1*SIN(C1775)+B$2*SIN(C1776)-B$3*SIN(C$4)</f>
        <v>1.6195294719700826E-4</v>
      </c>
      <c r="H1776" s="8" t="s">
        <v>16</v>
      </c>
      <c r="I1776" s="8" t="s">
        <v>15</v>
      </c>
      <c r="J1776" s="9" t="s">
        <v>8</v>
      </c>
      <c r="L1776" s="8" t="s">
        <v>16</v>
      </c>
      <c r="M1776" s="8" t="s">
        <v>15</v>
      </c>
      <c r="N1776" s="9" t="s">
        <v>8</v>
      </c>
      <c r="O1776" s="15"/>
      <c r="Q1776" s="17"/>
    </row>
    <row r="1777" spans="1:17" x14ac:dyDescent="0.35">
      <c r="A1777" s="1" t="s">
        <v>8</v>
      </c>
      <c r="B1777" s="4">
        <f t="shared" ref="B1777" si="2517">B1768+Q1770</f>
        <v>7.9986634479191654</v>
      </c>
      <c r="C1777" s="2"/>
      <c r="E1777" s="7" t="s">
        <v>1183</v>
      </c>
      <c r="F1777" s="6">
        <f>C1775-F$3*B1773-0.5*(F$4)*B1773^2</f>
        <v>0</v>
      </c>
      <c r="H1777" s="2">
        <f t="shared" ref="H1777" si="2518">-B$1*SIN(C1775)</f>
        <v>0.83104260542930586</v>
      </c>
      <c r="I1777" s="2">
        <f t="shared" ref="I1777" si="2519">-B$2*SIN(C1776)</f>
        <v>-3.3312045583765029</v>
      </c>
      <c r="J1777" s="2">
        <f t="shared" ref="J1777" si="2520">-COS(B$6)</f>
        <v>-1</v>
      </c>
      <c r="L1777" s="2" cm="1">
        <f t="array" ref="L1777:N1779">MINVERSE(H1777:J1779)</f>
        <v>0</v>
      </c>
      <c r="M1777" s="2">
        <v>0</v>
      </c>
      <c r="N1777" s="2">
        <v>1</v>
      </c>
      <c r="O1777" s="10">
        <f t="shared" ref="O1777:O1779" si="2521">-F1775</f>
        <v>0.12576776896072256</v>
      </c>
      <c r="Q1777" s="2" cm="1">
        <f t="array" ref="Q1777:Q1779">MMULT(L1777:N1779,O1777:O1779)</f>
        <v>0</v>
      </c>
    </row>
    <row r="1778" spans="1:17" x14ac:dyDescent="0.35">
      <c r="H1778" s="2">
        <f t="shared" ref="H1778" si="2522">B$1*COS(C1775)</f>
        <v>2.8825974724129053</v>
      </c>
      <c r="I1778" s="2">
        <f t="shared" ref="I1778" si="2523">B$2*COS(C1776)</f>
        <v>4.9902982065455372</v>
      </c>
      <c r="J1778" s="2">
        <f t="shared" ref="J1778" si="2524">-SIN(B$6)</f>
        <v>0</v>
      </c>
      <c r="L1778" s="2">
        <v>0</v>
      </c>
      <c r="M1778" s="2">
        <v>0.20038882620047585</v>
      </c>
      <c r="N1778" s="2">
        <v>-0.57764032390528064</v>
      </c>
      <c r="O1778" s="10">
        <f t="shared" si="2521"/>
        <v>-1.6195294719700826E-4</v>
      </c>
      <c r="Q1778" s="2">
        <v>-3.2453560988516128E-5</v>
      </c>
    </row>
    <row r="1779" spans="1:17" x14ac:dyDescent="0.35">
      <c r="H1779" s="2">
        <v>1</v>
      </c>
      <c r="I1779" s="2">
        <v>0</v>
      </c>
      <c r="J1779" s="2">
        <v>0</v>
      </c>
      <c r="L1779" s="2">
        <v>-1</v>
      </c>
      <c r="M1779" s="2">
        <v>-0.66753617128674203</v>
      </c>
      <c r="N1779" s="2">
        <v>2.7552806855246565</v>
      </c>
      <c r="O1779" s="10">
        <f t="shared" si="2521"/>
        <v>0</v>
      </c>
      <c r="Q1779" s="2">
        <v>-0.12565965951042207</v>
      </c>
    </row>
    <row r="1782" spans="1:17" x14ac:dyDescent="0.35">
      <c r="A1782" s="1" t="s">
        <v>9</v>
      </c>
      <c r="B1782" s="2">
        <f t="shared" ref="B1782" si="2525">IF(AND((B1773 = B1764), ABS(B1777-B1768) &lt; 0.001),B1773+0.1,B1773)</f>
        <v>4.8999999999999986</v>
      </c>
    </row>
    <row r="1783" spans="1:17" x14ac:dyDescent="0.35">
      <c r="C1783" s="1" t="s">
        <v>3</v>
      </c>
    </row>
    <row r="1784" spans="1:17" x14ac:dyDescent="0.35">
      <c r="A1784" s="1" t="s">
        <v>1184</v>
      </c>
      <c r="B1784" s="4">
        <f t="shared" ref="B1784:B1785" si="2526">C1784*180/PI()</f>
        <v>343.91791652727642</v>
      </c>
      <c r="C1784" s="2">
        <f t="shared" ref="C1784:C1785" si="2527">C1775+Q1777</f>
        <v>6.0024999999999968</v>
      </c>
      <c r="E1784" s="7" t="s">
        <v>1185</v>
      </c>
      <c r="F1784" s="6">
        <f t="shared" ref="F1784" si="2528">-B1786*COS(B$6)+B$1*COS(C1784)+B$2*COS(C1785)-B$3*COS(C$4)</f>
        <v>-2.62799397570063E-9</v>
      </c>
      <c r="H1784" s="11" t="s">
        <v>14</v>
      </c>
      <c r="I1784" s="12"/>
      <c r="J1784" s="13"/>
      <c r="L1784" s="11" t="s">
        <v>1186</v>
      </c>
      <c r="M1784" s="12"/>
      <c r="N1784" s="13"/>
      <c r="O1784" s="14" t="s">
        <v>18</v>
      </c>
      <c r="Q1784" s="16" t="s">
        <v>19</v>
      </c>
    </row>
    <row r="1785" spans="1:17" x14ac:dyDescent="0.35">
      <c r="A1785" s="1" t="s">
        <v>1187</v>
      </c>
      <c r="B1785" s="4">
        <f t="shared" si="2526"/>
        <v>33.722684272949358</v>
      </c>
      <c r="C1785" s="2">
        <f t="shared" si="2527"/>
        <v>0.58857187317347637</v>
      </c>
      <c r="E1785" s="7" t="s">
        <v>1188</v>
      </c>
      <c r="F1785" s="6">
        <f t="shared" ref="F1785" si="2529">-B1786*SIN(B$6)+B$1*SIN(C1784)+B$2*SIN(C1785)-B$3*SIN(C$4)</f>
        <v>-1.7542394203928779E-9</v>
      </c>
      <c r="H1785" s="8" t="s">
        <v>16</v>
      </c>
      <c r="I1785" s="8" t="s">
        <v>15</v>
      </c>
      <c r="J1785" s="9" t="s">
        <v>8</v>
      </c>
      <c r="L1785" s="8" t="s">
        <v>16</v>
      </c>
      <c r="M1785" s="8" t="s">
        <v>15</v>
      </c>
      <c r="N1785" s="9" t="s">
        <v>8</v>
      </c>
      <c r="O1785" s="15"/>
      <c r="Q1785" s="17"/>
    </row>
    <row r="1786" spans="1:17" x14ac:dyDescent="0.35">
      <c r="A1786" s="1" t="s">
        <v>8</v>
      </c>
      <c r="B1786" s="4">
        <f t="shared" ref="B1786" si="2530">B1777+Q1779</f>
        <v>7.8730037884087434</v>
      </c>
      <c r="C1786" s="2"/>
      <c r="E1786" s="7" t="s">
        <v>1189</v>
      </c>
      <c r="F1786" s="6">
        <f>C1784-F$3*B1782-0.5*(F$4)*B1782^2</f>
        <v>0</v>
      </c>
      <c r="H1786" s="2">
        <f t="shared" ref="H1786" si="2531">-B$1*SIN(C1784)</f>
        <v>0.83104260542930586</v>
      </c>
      <c r="I1786" s="2">
        <f t="shared" ref="I1786" si="2532">-B$2*SIN(C1785)</f>
        <v>-3.3310426036750664</v>
      </c>
      <c r="J1786" s="2">
        <f t="shared" ref="J1786" si="2533">-COS(B$6)</f>
        <v>-1</v>
      </c>
      <c r="L1786" s="2" cm="1">
        <f t="array" ref="L1786:N1788">MINVERSE(H1786:J1788)</f>
        <v>0</v>
      </c>
      <c r="M1786" s="2">
        <v>0</v>
      </c>
      <c r="N1786" s="2">
        <v>1.0000000000000002</v>
      </c>
      <c r="O1786" s="10">
        <f t="shared" ref="O1786:O1788" si="2534">-F1784</f>
        <v>2.62799397570063E-9</v>
      </c>
      <c r="Q1786" s="2" cm="1">
        <f t="array" ref="Q1786:Q1788">MMULT(L1786:N1788,O1786:O1788)</f>
        <v>0</v>
      </c>
    </row>
    <row r="1787" spans="1:17" x14ac:dyDescent="0.35">
      <c r="H1787" s="2">
        <f t="shared" ref="H1787" si="2535">B$1*COS(C1784)</f>
        <v>2.8825974724129053</v>
      </c>
      <c r="I1787" s="2">
        <f t="shared" ref="I1787" si="2536">B$2*COS(C1785)</f>
        <v>4.9904063133678438</v>
      </c>
      <c r="J1787" s="2">
        <f t="shared" ref="J1787" si="2537">-SIN(B$6)</f>
        <v>0</v>
      </c>
      <c r="L1787" s="2">
        <v>0</v>
      </c>
      <c r="M1787" s="2">
        <v>0.20038448519137442</v>
      </c>
      <c r="N1787" s="2">
        <v>-0.57762781052341716</v>
      </c>
      <c r="O1787" s="10">
        <f t="shared" si="2534"/>
        <v>1.7542394203928779E-9</v>
      </c>
      <c r="Q1787" s="2">
        <v>3.5152236315784187E-10</v>
      </c>
    </row>
    <row r="1788" spans="1:17" x14ac:dyDescent="0.35">
      <c r="H1788" s="2">
        <v>1</v>
      </c>
      <c r="I1788" s="2">
        <v>0</v>
      </c>
      <c r="J1788" s="2">
        <v>0</v>
      </c>
      <c r="L1788" s="2">
        <v>-1</v>
      </c>
      <c r="M1788" s="2">
        <v>-0.6674892572879636</v>
      </c>
      <c r="N1788" s="2">
        <v>2.7551454513503573</v>
      </c>
      <c r="O1788" s="10">
        <f t="shared" si="2534"/>
        <v>0</v>
      </c>
      <c r="Q1788" s="2">
        <v>-3.7989299435239399E-9</v>
      </c>
    </row>
    <row r="1791" spans="1:17" x14ac:dyDescent="0.35">
      <c r="A1791" s="1" t="s">
        <v>9</v>
      </c>
      <c r="B1791" s="2">
        <f t="shared" ref="B1791" si="2538">IF(AND((B1782 = B1773), ABS(B1786-B1777) &lt; 0.001),B1782+0.1,B1782)</f>
        <v>4.8999999999999986</v>
      </c>
    </row>
    <row r="1792" spans="1:17" x14ac:dyDescent="0.35">
      <c r="C1792" s="1" t="s">
        <v>3</v>
      </c>
    </row>
    <row r="1793" spans="1:17" x14ac:dyDescent="0.35">
      <c r="A1793" s="1" t="s">
        <v>1190</v>
      </c>
      <c r="B1793" s="4">
        <f t="shared" ref="B1793:B1794" si="2539">C1793*180/PI()</f>
        <v>343.91791652727642</v>
      </c>
      <c r="C1793" s="2">
        <f t="shared" ref="C1793:C1794" si="2540">C1784+Q1786</f>
        <v>6.0024999999999968</v>
      </c>
      <c r="E1793" s="7" t="s">
        <v>1191</v>
      </c>
      <c r="F1793" s="6">
        <f t="shared" ref="F1793" si="2541">-B1795*COS(B$6)+B$1*COS(C1793)+B$2*COS(C1794)-B$3*COS(C$4)</f>
        <v>-1.0413219765637027E-15</v>
      </c>
      <c r="H1793" s="11" t="s">
        <v>14</v>
      </c>
      <c r="I1793" s="12"/>
      <c r="J1793" s="13"/>
      <c r="L1793" s="11" t="s">
        <v>1192</v>
      </c>
      <c r="M1793" s="12"/>
      <c r="N1793" s="13"/>
      <c r="O1793" s="14" t="s">
        <v>18</v>
      </c>
      <c r="Q1793" s="16" t="s">
        <v>19</v>
      </c>
    </row>
    <row r="1794" spans="1:17" x14ac:dyDescent="0.35">
      <c r="A1794" s="1" t="s">
        <v>1193</v>
      </c>
      <c r="B1794" s="4">
        <f t="shared" si="2539"/>
        <v>33.722684293090097</v>
      </c>
      <c r="C1794" s="2">
        <f t="shared" si="2540"/>
        <v>0.58857187352499873</v>
      </c>
      <c r="E1794" s="7" t="s">
        <v>1194</v>
      </c>
      <c r="F1794" s="6">
        <f t="shared" ref="F1794" si="2542">-B1795*SIN(B$6)+B$1*SIN(C1793)+B$2*SIN(C1794)-B$3*SIN(C$4)</f>
        <v>0</v>
      </c>
      <c r="H1794" s="8" t="s">
        <v>16</v>
      </c>
      <c r="I1794" s="8" t="s">
        <v>15</v>
      </c>
      <c r="J1794" s="9" t="s">
        <v>8</v>
      </c>
      <c r="L1794" s="8" t="s">
        <v>16</v>
      </c>
      <c r="M1794" s="8" t="s">
        <v>15</v>
      </c>
      <c r="N1794" s="9" t="s">
        <v>8</v>
      </c>
      <c r="O1794" s="15"/>
      <c r="Q1794" s="17"/>
    </row>
    <row r="1795" spans="1:17" x14ac:dyDescent="0.35">
      <c r="A1795" s="1" t="s">
        <v>8</v>
      </c>
      <c r="B1795" s="4">
        <f t="shared" ref="B1795" si="2543">B1786+Q1788</f>
        <v>7.8730037846098133</v>
      </c>
      <c r="C1795" s="2"/>
      <c r="E1795" s="7" t="s">
        <v>1195</v>
      </c>
      <c r="F1795" s="6">
        <f>C1793-F$3*B1791-0.5*(F$4)*B1791^2</f>
        <v>0</v>
      </c>
      <c r="H1795" s="2">
        <f t="shared" ref="H1795" si="2544">-B$1*SIN(C1793)</f>
        <v>0.83104260542930586</v>
      </c>
      <c r="I1795" s="2">
        <f t="shared" ref="I1795" si="2545">-B$2*SIN(C1794)</f>
        <v>-3.3310426054293059</v>
      </c>
      <c r="J1795" s="2">
        <f t="shared" ref="J1795" si="2546">-COS(B$6)</f>
        <v>-1</v>
      </c>
      <c r="L1795" s="2" cm="1">
        <f t="array" ref="L1795:N1797">MINVERSE(H1795:J1797)</f>
        <v>0</v>
      </c>
      <c r="M1795" s="2">
        <v>0</v>
      </c>
      <c r="N1795" s="2">
        <v>1</v>
      </c>
      <c r="O1795" s="10">
        <f t="shared" ref="O1795:O1797" si="2547">-F1793</f>
        <v>1.0413219765637027E-15</v>
      </c>
      <c r="Q1795" s="2" cm="1">
        <f t="array" ref="Q1795:Q1797">MMULT(L1795:N1797,O1795:O1797)</f>
        <v>0</v>
      </c>
    </row>
    <row r="1796" spans="1:17" x14ac:dyDescent="0.35">
      <c r="H1796" s="2">
        <f t="shared" ref="H1796" si="2548">B$1*COS(C1793)</f>
        <v>2.8825974724129053</v>
      </c>
      <c r="I1796" s="2">
        <f t="shared" ref="I1796" si="2549">B$2*COS(C1794)</f>
        <v>4.9904063121969076</v>
      </c>
      <c r="J1796" s="2">
        <f t="shared" ref="J1796" si="2550">-SIN(B$6)</f>
        <v>0</v>
      </c>
      <c r="L1796" s="2">
        <v>0</v>
      </c>
      <c r="M1796" s="2">
        <v>0.20038448523839211</v>
      </c>
      <c r="N1796" s="2">
        <v>-0.57762781065895019</v>
      </c>
      <c r="O1796" s="10">
        <f t="shared" si="2547"/>
        <v>0</v>
      </c>
      <c r="Q1796" s="2">
        <v>0</v>
      </c>
    </row>
    <row r="1797" spans="1:17" x14ac:dyDescent="0.35">
      <c r="H1797" s="2">
        <v>1</v>
      </c>
      <c r="I1797" s="2">
        <v>0</v>
      </c>
      <c r="J1797" s="2">
        <v>0</v>
      </c>
      <c r="L1797" s="2">
        <v>-1</v>
      </c>
      <c r="M1797" s="2">
        <v>-0.66748925779610402</v>
      </c>
      <c r="N1797" s="2">
        <v>2.7551454528151211</v>
      </c>
      <c r="O1797" s="10">
        <f t="shared" si="2547"/>
        <v>0</v>
      </c>
      <c r="Q1797" s="2">
        <v>-1.0413219765637027E-15</v>
      </c>
    </row>
    <row r="1800" spans="1:17" x14ac:dyDescent="0.35">
      <c r="A1800" s="1" t="s">
        <v>9</v>
      </c>
      <c r="B1800" s="2">
        <f t="shared" ref="B1800" si="2551">IF(AND((B1791 = B1782), ABS(B1795-B1786) &lt; 0.001),B1791+0.1,B1791)</f>
        <v>4.9999999999999982</v>
      </c>
    </row>
    <row r="1801" spans="1:17" x14ac:dyDescent="0.35">
      <c r="C1801" s="1" t="s">
        <v>3</v>
      </c>
    </row>
    <row r="1802" spans="1:17" x14ac:dyDescent="0.35">
      <c r="A1802" s="1" t="s">
        <v>1196</v>
      </c>
      <c r="B1802" s="4">
        <f t="shared" ref="B1802:B1803" si="2552">C1802*180/PI()</f>
        <v>343.91791652727642</v>
      </c>
      <c r="C1802" s="2">
        <f t="shared" ref="C1802:C1803" si="2553">C1793+Q1795</f>
        <v>6.0024999999999968</v>
      </c>
      <c r="E1802" s="7" t="s">
        <v>1197</v>
      </c>
      <c r="F1802" s="6">
        <f t="shared" ref="F1802" si="2554">-B1804*COS(B$6)+B$1*COS(C1802)+B$2*COS(C1803)-B$3*COS(C$4)</f>
        <v>7.3503486283654773E-16</v>
      </c>
      <c r="H1802" s="11" t="s">
        <v>14</v>
      </c>
      <c r="I1802" s="12"/>
      <c r="J1802" s="13"/>
      <c r="L1802" s="11" t="s">
        <v>1198</v>
      </c>
      <c r="M1802" s="12"/>
      <c r="N1802" s="13"/>
      <c r="O1802" s="14" t="s">
        <v>18</v>
      </c>
      <c r="Q1802" s="16" t="s">
        <v>19</v>
      </c>
    </row>
    <row r="1803" spans="1:17" x14ac:dyDescent="0.35">
      <c r="A1803" s="1" t="s">
        <v>1199</v>
      </c>
      <c r="B1803" s="4">
        <f t="shared" si="2552"/>
        <v>33.722684293090097</v>
      </c>
      <c r="C1803" s="2">
        <f t="shared" si="2553"/>
        <v>0.58857187352499873</v>
      </c>
      <c r="E1803" s="7" t="s">
        <v>1200</v>
      </c>
      <c r="F1803" s="6">
        <f t="shared" ref="F1803" si="2555">-B1804*SIN(B$6)+B$1*SIN(C1802)+B$2*SIN(C1803)-B$3*SIN(C$4)</f>
        <v>0</v>
      </c>
      <c r="H1803" s="8" t="s">
        <v>16</v>
      </c>
      <c r="I1803" s="8" t="s">
        <v>15</v>
      </c>
      <c r="J1803" s="9" t="s">
        <v>8</v>
      </c>
      <c r="L1803" s="8" t="s">
        <v>16</v>
      </c>
      <c r="M1803" s="8" t="s">
        <v>15</v>
      </c>
      <c r="N1803" s="9" t="s">
        <v>8</v>
      </c>
      <c r="O1803" s="15"/>
      <c r="Q1803" s="17"/>
    </row>
    <row r="1804" spans="1:17" x14ac:dyDescent="0.35">
      <c r="A1804" s="1" t="s">
        <v>8</v>
      </c>
      <c r="B1804" s="4">
        <f t="shared" ref="B1804" si="2556">B1795+Q1797</f>
        <v>7.8730037846098124</v>
      </c>
      <c r="C1804" s="2"/>
      <c r="E1804" s="7" t="s">
        <v>1201</v>
      </c>
      <c r="F1804" s="6">
        <f>C1802-F$3*B1800-0.5*(F$4)*B1800^2</f>
        <v>-0.24749999999999872</v>
      </c>
      <c r="H1804" s="2">
        <f t="shared" ref="H1804" si="2557">-B$1*SIN(C1802)</f>
        <v>0.83104260542930586</v>
      </c>
      <c r="I1804" s="2">
        <f t="shared" ref="I1804" si="2558">-B$2*SIN(C1803)</f>
        <v>-3.3310426054293059</v>
      </c>
      <c r="J1804" s="2">
        <f t="shared" ref="J1804" si="2559">-COS(B$6)</f>
        <v>-1</v>
      </c>
      <c r="L1804" s="2" cm="1">
        <f t="array" ref="L1804:N1806">MINVERSE(H1804:J1806)</f>
        <v>0</v>
      </c>
      <c r="M1804" s="2">
        <v>0</v>
      </c>
      <c r="N1804" s="2">
        <v>1</v>
      </c>
      <c r="O1804" s="10">
        <f t="shared" ref="O1804:O1806" si="2560">-F1802</f>
        <v>-7.3503486283654773E-16</v>
      </c>
      <c r="Q1804" s="2" cm="1">
        <f t="array" ref="Q1804:Q1806">MMULT(L1804:N1806,O1804:O1806)</f>
        <v>0.24749999999999872</v>
      </c>
    </row>
    <row r="1805" spans="1:17" x14ac:dyDescent="0.35">
      <c r="H1805" s="2">
        <f t="shared" ref="H1805" si="2561">B$1*COS(C1802)</f>
        <v>2.8825974724129053</v>
      </c>
      <c r="I1805" s="2">
        <f t="shared" ref="I1805" si="2562">B$2*COS(C1803)</f>
        <v>4.9904063121969076</v>
      </c>
      <c r="J1805" s="2">
        <f t="shared" ref="J1805" si="2563">-SIN(B$6)</f>
        <v>0</v>
      </c>
      <c r="L1805" s="2">
        <v>0</v>
      </c>
      <c r="M1805" s="2">
        <v>0.20038448523839211</v>
      </c>
      <c r="N1805" s="2">
        <v>-0.57762781065895019</v>
      </c>
      <c r="O1805" s="10">
        <f t="shared" si="2560"/>
        <v>0</v>
      </c>
      <c r="Q1805" s="2">
        <v>-0.14296288313808944</v>
      </c>
    </row>
    <row r="1806" spans="1:17" x14ac:dyDescent="0.35">
      <c r="H1806" s="2">
        <v>1</v>
      </c>
      <c r="I1806" s="2">
        <v>0</v>
      </c>
      <c r="J1806" s="2">
        <v>0</v>
      </c>
      <c r="L1806" s="2">
        <v>-1</v>
      </c>
      <c r="M1806" s="2">
        <v>-0.66748925779610402</v>
      </c>
      <c r="N1806" s="2">
        <v>2.7551454528151211</v>
      </c>
      <c r="O1806" s="10">
        <f t="shared" si="2560"/>
        <v>0.24749999999999872</v>
      </c>
      <c r="Q1806" s="2">
        <v>0.68189849957173976</v>
      </c>
    </row>
    <row r="1809" spans="1:17" x14ac:dyDescent="0.35">
      <c r="A1809" s="1" t="s">
        <v>9</v>
      </c>
      <c r="B1809" s="2">
        <f t="shared" ref="B1809" si="2564">IF(AND((B1800 = B1791), ABS(B1804-B1795) &lt; 0.001),B1800+0.1,B1800)</f>
        <v>4.9999999999999982</v>
      </c>
    </row>
    <row r="1810" spans="1:17" x14ac:dyDescent="0.35">
      <c r="C1810" s="1" t="s">
        <v>3</v>
      </c>
    </row>
    <row r="1811" spans="1:17" x14ac:dyDescent="0.35">
      <c r="A1811" s="1" t="s">
        <v>1202</v>
      </c>
      <c r="B1811" s="4">
        <f t="shared" ref="B1811:B1812" si="2565">C1811*180/PI()</f>
        <v>358.09862195676425</v>
      </c>
      <c r="C1811" s="2">
        <f t="shared" ref="C1811:C1812" si="2566">C1802+Q1804</f>
        <v>6.2499999999999956</v>
      </c>
      <c r="E1811" s="7" t="s">
        <v>1203</v>
      </c>
      <c r="F1811" s="6">
        <f t="shared" ref="F1811" si="2567">-B1813*COS(B$6)+B$1*COS(C1811)+B$2*COS(C1812)-B$3*COS(C$4)</f>
        <v>-0.14246390955217708</v>
      </c>
      <c r="H1811" s="11" t="s">
        <v>14</v>
      </c>
      <c r="I1811" s="12"/>
      <c r="J1811" s="13"/>
      <c r="L1811" s="11" t="s">
        <v>1204</v>
      </c>
      <c r="M1811" s="12"/>
      <c r="N1811" s="13"/>
      <c r="O1811" s="14" t="s">
        <v>18</v>
      </c>
      <c r="Q1811" s="16" t="s">
        <v>19</v>
      </c>
    </row>
    <row r="1812" spans="1:17" x14ac:dyDescent="0.35">
      <c r="A1812" s="1" t="s">
        <v>1205</v>
      </c>
      <c r="B1812" s="4">
        <f t="shared" si="2565"/>
        <v>25.531514462255576</v>
      </c>
      <c r="C1812" s="2">
        <f t="shared" si="2566"/>
        <v>0.44560899038690926</v>
      </c>
      <c r="E1812" s="7" t="s">
        <v>1206</v>
      </c>
      <c r="F1812" s="6">
        <f t="shared" ref="F1812" si="2568">-B1813*SIN(B$6)+B$1*SIN(C1811)+B$2*SIN(C1812)-B$3*SIN(C$4)</f>
        <v>-1.3492759661814624E-2</v>
      </c>
      <c r="H1812" s="8" t="s">
        <v>16</v>
      </c>
      <c r="I1812" s="8" t="s">
        <v>15</v>
      </c>
      <c r="J1812" s="9" t="s">
        <v>8</v>
      </c>
      <c r="L1812" s="8" t="s">
        <v>16</v>
      </c>
      <c r="M1812" s="8" t="s">
        <v>15</v>
      </c>
      <c r="N1812" s="9" t="s">
        <v>8</v>
      </c>
      <c r="O1812" s="15"/>
      <c r="Q1812" s="17"/>
    </row>
    <row r="1813" spans="1:17" x14ac:dyDescent="0.35">
      <c r="A1813" s="1" t="s">
        <v>8</v>
      </c>
      <c r="B1813" s="4">
        <f t="shared" ref="B1813" si="2569">B1804+Q1806</f>
        <v>8.5549022841815514</v>
      </c>
      <c r="C1813" s="2"/>
      <c r="E1813" s="7" t="s">
        <v>1207</v>
      </c>
      <c r="F1813" s="6">
        <f>C1811-F$3*B1809-0.5*(F$4)*B1809^2</f>
        <v>0</v>
      </c>
      <c r="H1813" s="2">
        <f t="shared" ref="H1813" si="2570">-B$1*SIN(C1811)</f>
        <v>9.9537649642683773E-2</v>
      </c>
      <c r="I1813" s="2">
        <f t="shared" ref="I1813" si="2571">-B$2*SIN(C1812)</f>
        <v>-2.5860448899808692</v>
      </c>
      <c r="J1813" s="2">
        <f t="shared" ref="J1813" si="2572">-COS(B$6)</f>
        <v>-1</v>
      </c>
      <c r="L1813" s="2" cm="1">
        <f t="array" ref="L1813:N1815">MINVERSE(H1813:J1815)</f>
        <v>0</v>
      </c>
      <c r="M1813" s="2">
        <v>3.7027820997599663E-17</v>
      </c>
      <c r="N1813" s="2">
        <v>1.0000000000000002</v>
      </c>
      <c r="O1813" s="10">
        <f t="shared" ref="O1813:O1815" si="2573">-F1811</f>
        <v>0.14246390955217708</v>
      </c>
      <c r="Q1813" s="2" cm="1">
        <f t="array" ref="Q1813:Q1815">MMULT(L1813:N1815,O1813:O1815)</f>
        <v>4.9960748952130524E-19</v>
      </c>
    </row>
    <row r="1814" spans="1:17" x14ac:dyDescent="0.35">
      <c r="H1814" s="2">
        <f t="shared" ref="H1814" si="2574">B$1*COS(C1811)</f>
        <v>2.9983482546734979</v>
      </c>
      <c r="I1814" s="2">
        <f t="shared" ref="I1814" si="2575">B$2*COS(C1812)</f>
        <v>5.4140901199558762</v>
      </c>
      <c r="J1814" s="2">
        <f t="shared" ref="J1814" si="2576">-SIN(B$6)</f>
        <v>0</v>
      </c>
      <c r="L1814" s="2">
        <v>0</v>
      </c>
      <c r="M1814" s="2">
        <v>0.18470324243663488</v>
      </c>
      <c r="N1814" s="2">
        <v>-0.55380464459242029</v>
      </c>
      <c r="O1814" s="10">
        <f t="shared" si="2573"/>
        <v>1.3492759661814624E-2</v>
      </c>
      <c r="Q1814" s="2">
        <v>2.4921564589553942E-3</v>
      </c>
    </row>
    <row r="1815" spans="1:17" x14ac:dyDescent="0.35">
      <c r="H1815" s="2">
        <v>1</v>
      </c>
      <c r="I1815" s="2">
        <v>0</v>
      </c>
      <c r="J1815" s="2">
        <v>0</v>
      </c>
      <c r="L1815" s="2">
        <v>-1</v>
      </c>
      <c r="M1815" s="2">
        <v>-0.47765087626615738</v>
      </c>
      <c r="N1815" s="2">
        <v>1.5317013208385837</v>
      </c>
      <c r="O1815" s="10">
        <f t="shared" si="2573"/>
        <v>0</v>
      </c>
      <c r="Q1815" s="2">
        <v>-0.14890873802789151</v>
      </c>
    </row>
    <row r="1818" spans="1:17" x14ac:dyDescent="0.35">
      <c r="A1818" s="1" t="s">
        <v>9</v>
      </c>
      <c r="B1818" s="2">
        <f t="shared" ref="B1818" si="2577">IF(AND((B1809 = B1800), ABS(B1813-B1804) &lt; 0.001),B1809+0.1,B1809)</f>
        <v>4.9999999999999982</v>
      </c>
    </row>
    <row r="1819" spans="1:17" x14ac:dyDescent="0.35">
      <c r="C1819" s="1" t="s">
        <v>3</v>
      </c>
    </row>
    <row r="1820" spans="1:17" x14ac:dyDescent="0.35">
      <c r="A1820" s="1" t="s">
        <v>1208</v>
      </c>
      <c r="B1820" s="4">
        <f t="shared" ref="B1820:B1821" si="2578">C1820*180/PI()</f>
        <v>358.09862195676425</v>
      </c>
      <c r="C1820" s="2">
        <f t="shared" ref="C1820:C1821" si="2579">C1811+Q1813</f>
        <v>6.2499999999999956</v>
      </c>
      <c r="E1820" s="7" t="s">
        <v>1209</v>
      </c>
      <c r="F1820" s="6">
        <f t="shared" ref="F1820" si="2580">-B1822*COS(B$6)+B$1*COS(C1820)+B$2*COS(C1821)-B$3*COS(C$4)</f>
        <v>-1.6806354066798356E-5</v>
      </c>
      <c r="H1820" s="11" t="s">
        <v>14</v>
      </c>
      <c r="I1820" s="12"/>
      <c r="J1820" s="13"/>
      <c r="L1820" s="11" t="s">
        <v>1210</v>
      </c>
      <c r="M1820" s="12"/>
      <c r="N1820" s="13"/>
      <c r="O1820" s="14" t="s">
        <v>18</v>
      </c>
      <c r="Q1820" s="16" t="s">
        <v>19</v>
      </c>
    </row>
    <row r="1821" spans="1:17" x14ac:dyDescent="0.35">
      <c r="A1821" s="1" t="s">
        <v>1211</v>
      </c>
      <c r="B1821" s="4">
        <f t="shared" si="2578"/>
        <v>25.674304509239985</v>
      </c>
      <c r="C1821" s="2">
        <f t="shared" si="2579"/>
        <v>0.44810114684586466</v>
      </c>
      <c r="E1821" s="7" t="s">
        <v>1212</v>
      </c>
      <c r="F1821" s="6">
        <f t="shared" ref="F1821" si="2581">-B1822*SIN(B$6)+B$1*SIN(C1820)+B$2*SIN(C1821)-B$3*SIN(C$4)</f>
        <v>-8.0447231995961488E-6</v>
      </c>
      <c r="H1821" s="8" t="s">
        <v>16</v>
      </c>
      <c r="I1821" s="8" t="s">
        <v>15</v>
      </c>
      <c r="J1821" s="9" t="s">
        <v>8</v>
      </c>
      <c r="L1821" s="8" t="s">
        <v>16</v>
      </c>
      <c r="M1821" s="8" t="s">
        <v>15</v>
      </c>
      <c r="N1821" s="9" t="s">
        <v>8</v>
      </c>
      <c r="O1821" s="15"/>
      <c r="Q1821" s="17"/>
    </row>
    <row r="1822" spans="1:17" x14ac:dyDescent="0.35">
      <c r="A1822" s="1" t="s">
        <v>8</v>
      </c>
      <c r="B1822" s="4">
        <f t="shared" ref="B1822" si="2582">B1813+Q1815</f>
        <v>8.4059935461536597</v>
      </c>
      <c r="C1822" s="2"/>
      <c r="E1822" s="7" t="s">
        <v>1213</v>
      </c>
      <c r="F1822" s="6">
        <f>C1820-F$3*B1818-0.5*(F$4)*B1818^2</f>
        <v>0</v>
      </c>
      <c r="H1822" s="2">
        <f t="shared" ref="H1822" si="2583">-B$1*SIN(C1820)</f>
        <v>9.9537649642683773E-2</v>
      </c>
      <c r="I1822" s="2">
        <f t="shared" ref="I1822" si="2584">-B$2*SIN(C1821)</f>
        <v>-2.5995296049194843</v>
      </c>
      <c r="J1822" s="2">
        <f t="shared" ref="J1822" si="2585">-COS(B$6)</f>
        <v>-1</v>
      </c>
      <c r="L1822" s="2" cm="1">
        <f t="array" ref="L1822:N1824">MINVERSE(H1822:J1824)</f>
        <v>0</v>
      </c>
      <c r="M1822" s="2">
        <v>-7.4055641995199325E-17</v>
      </c>
      <c r="N1822" s="2">
        <v>1.0000000000000002</v>
      </c>
      <c r="O1822" s="10">
        <f t="shared" ref="O1822:O1824" si="2586">-F1820</f>
        <v>1.6806354066798356E-5</v>
      </c>
      <c r="Q1822" s="2" cm="1">
        <f t="array" ref="Q1822:Q1824">MMULT(L1822:N1824,O1822:O1824)</f>
        <v>-5.9575714121976683E-22</v>
      </c>
    </row>
    <row r="1823" spans="1:17" x14ac:dyDescent="0.35">
      <c r="H1823" s="2">
        <f t="shared" ref="H1823" si="2587">B$1*COS(C1820)</f>
        <v>2.9983482546734979</v>
      </c>
      <c r="I1823" s="2">
        <f t="shared" ref="I1823" si="2588">B$2*COS(C1821)</f>
        <v>5.4076284851260947</v>
      </c>
      <c r="J1823" s="2">
        <f t="shared" ref="J1823" si="2589">-SIN(B$6)</f>
        <v>0</v>
      </c>
      <c r="L1823" s="2">
        <v>0</v>
      </c>
      <c r="M1823" s="2">
        <v>0.18492394637511461</v>
      </c>
      <c r="N1823" s="2">
        <v>-0.55446639186116042</v>
      </c>
      <c r="O1823" s="10">
        <f t="shared" si="2586"/>
        <v>8.0447231995961488E-6</v>
      </c>
      <c r="Q1823" s="2">
        <v>1.4876619615647587E-6</v>
      </c>
    </row>
    <row r="1824" spans="1:17" x14ac:dyDescent="0.35">
      <c r="H1824" s="2">
        <v>1</v>
      </c>
      <c r="I1824" s="2">
        <v>0</v>
      </c>
      <c r="J1824" s="2">
        <v>0</v>
      </c>
      <c r="L1824" s="2">
        <v>-1</v>
      </c>
      <c r="M1824" s="2">
        <v>-0.48071527326065355</v>
      </c>
      <c r="N1824" s="2">
        <v>1.5408894502186581</v>
      </c>
      <c r="O1824" s="10">
        <f t="shared" si="2586"/>
        <v>0</v>
      </c>
      <c r="Q1824" s="2">
        <v>-2.0673575377998539E-5</v>
      </c>
    </row>
    <row r="1827" spans="1:17" x14ac:dyDescent="0.35">
      <c r="A1827" s="1" t="s">
        <v>9</v>
      </c>
      <c r="B1827" s="2">
        <f t="shared" ref="B1827" si="2590">IF(AND((B1818 = B1809), ABS(B1822-B1813) &lt; 0.001),B1818+0.1,B1818)</f>
        <v>4.9999999999999982</v>
      </c>
    </row>
    <row r="1828" spans="1:17" x14ac:dyDescent="0.35">
      <c r="C1828" s="1" t="s">
        <v>3</v>
      </c>
    </row>
    <row r="1829" spans="1:17" x14ac:dyDescent="0.35">
      <c r="A1829" s="1" t="s">
        <v>1214</v>
      </c>
      <c r="B1829" s="4">
        <f t="shared" ref="B1829:B1830" si="2591">C1829*180/PI()</f>
        <v>358.09862195676425</v>
      </c>
      <c r="C1829" s="2">
        <f t="shared" ref="C1829:C1830" si="2592">C1820+Q1822</f>
        <v>6.2499999999999956</v>
      </c>
      <c r="E1829" s="7" t="s">
        <v>1215</v>
      </c>
      <c r="F1829" s="6">
        <f t="shared" ref="F1829" si="2593">-B1831*COS(B$6)+B$1*COS(C1829)+B$2*COS(C1830)-B$3*COS(C$4)</f>
        <v>-5.9838111570766073E-12</v>
      </c>
      <c r="H1829" s="11" t="s">
        <v>14</v>
      </c>
      <c r="I1829" s="12"/>
      <c r="J1829" s="13"/>
      <c r="L1829" s="11" t="s">
        <v>1216</v>
      </c>
      <c r="M1829" s="12"/>
      <c r="N1829" s="13"/>
      <c r="O1829" s="14" t="s">
        <v>18</v>
      </c>
      <c r="Q1829" s="16" t="s">
        <v>19</v>
      </c>
    </row>
    <row r="1830" spans="1:17" x14ac:dyDescent="0.35">
      <c r="A1830" s="1" t="s">
        <v>1217</v>
      </c>
      <c r="B1830" s="4">
        <f t="shared" si="2591"/>
        <v>25.674389745991725</v>
      </c>
      <c r="C1830" s="2">
        <f t="shared" si="2592"/>
        <v>0.44810263450782623</v>
      </c>
      <c r="E1830" s="7" t="s">
        <v>1218</v>
      </c>
      <c r="F1830" s="6">
        <f t="shared" ref="F1830" si="2594">-B1831*SIN(B$6)+B$1*SIN(C1829)+B$2*SIN(C1830)-B$3*SIN(C$4)</f>
        <v>-2.8763658121988556E-12</v>
      </c>
      <c r="H1830" s="8" t="s">
        <v>16</v>
      </c>
      <c r="I1830" s="8" t="s">
        <v>15</v>
      </c>
      <c r="J1830" s="9" t="s">
        <v>8</v>
      </c>
      <c r="L1830" s="8" t="s">
        <v>16</v>
      </c>
      <c r="M1830" s="8" t="s">
        <v>15</v>
      </c>
      <c r="N1830" s="9" t="s">
        <v>8</v>
      </c>
      <c r="O1830" s="15"/>
      <c r="Q1830" s="17"/>
    </row>
    <row r="1831" spans="1:17" x14ac:dyDescent="0.35">
      <c r="A1831" s="1" t="s">
        <v>8</v>
      </c>
      <c r="B1831" s="4">
        <f t="shared" ref="B1831" si="2595">B1822+Q1824</f>
        <v>8.4059728725782819</v>
      </c>
      <c r="C1831" s="2"/>
      <c r="E1831" s="7" t="s">
        <v>1219</v>
      </c>
      <c r="F1831" s="6">
        <f>C1829-F$3*B1827-0.5*(F$4)*B1827^2</f>
        <v>0</v>
      </c>
      <c r="H1831" s="2">
        <f t="shared" ref="H1831" si="2596">-B$1*SIN(C1829)</f>
        <v>9.9537649642683773E-2</v>
      </c>
      <c r="I1831" s="2">
        <f t="shared" ref="I1831" si="2597">-B$2*SIN(C1830)</f>
        <v>-2.5995376496398075</v>
      </c>
      <c r="J1831" s="2">
        <f t="shared" ref="J1831" si="2598">-COS(B$6)</f>
        <v>-1</v>
      </c>
      <c r="L1831" s="2" cm="1">
        <f t="array" ref="L1831:N1833">MINVERSE(H1831:J1833)</f>
        <v>0</v>
      </c>
      <c r="M1831" s="2">
        <v>3.7027820997599663E-17</v>
      </c>
      <c r="N1831" s="2">
        <v>1</v>
      </c>
      <c r="O1831" s="10">
        <f t="shared" ref="O1831:O1833" si="2599">-F1829</f>
        <v>5.9838111570766073E-12</v>
      </c>
      <c r="Q1831" s="2" cm="1">
        <f t="array" ref="Q1831:Q1833">MMULT(L1831:N1833,O1831:O1833)</f>
        <v>1.0650555841771459E-28</v>
      </c>
    </row>
    <row r="1832" spans="1:17" x14ac:dyDescent="0.35">
      <c r="H1832" s="2">
        <f t="shared" ref="H1832" si="2600">B$1*COS(C1829)</f>
        <v>2.9983482546734979</v>
      </c>
      <c r="I1832" s="2">
        <f t="shared" ref="I1832" si="2601">B$2*COS(C1830)</f>
        <v>5.4076246178987999</v>
      </c>
      <c r="J1832" s="2">
        <f t="shared" ref="J1832" si="2602">-SIN(B$6)</f>
        <v>0</v>
      </c>
      <c r="L1832" s="2">
        <v>0</v>
      </c>
      <c r="M1832" s="2">
        <v>0.18492407862226251</v>
      </c>
      <c r="N1832" s="2">
        <v>-0.55446678838416552</v>
      </c>
      <c r="O1832" s="10">
        <f t="shared" si="2599"/>
        <v>2.8763658121988556E-12</v>
      </c>
      <c r="Q1832" s="2">
        <v>5.3190929760144916E-13</v>
      </c>
    </row>
    <row r="1833" spans="1:17" x14ac:dyDescent="0.35">
      <c r="H1833" s="2">
        <v>1</v>
      </c>
      <c r="I1833" s="2">
        <v>0</v>
      </c>
      <c r="J1833" s="2">
        <v>0</v>
      </c>
      <c r="L1833" s="2">
        <v>-1</v>
      </c>
      <c r="M1833" s="2">
        <v>-0.4807171047035233</v>
      </c>
      <c r="N1833" s="2">
        <v>1.54089494152219</v>
      </c>
      <c r="O1833" s="10">
        <f t="shared" si="2599"/>
        <v>0</v>
      </c>
      <c r="Q1833" s="2">
        <v>-7.366529402385039E-12</v>
      </c>
    </row>
    <row r="1836" spans="1:17" x14ac:dyDescent="0.35">
      <c r="A1836" s="1" t="s">
        <v>9</v>
      </c>
      <c r="B1836" s="2">
        <f t="shared" ref="B1836" si="2603">IF(AND((B1827 = B1818), ABS(B1831-B1822) &lt; 0.001),B1827+0.1,B1827)</f>
        <v>5.0999999999999979</v>
      </c>
    </row>
    <row r="1837" spans="1:17" x14ac:dyDescent="0.35">
      <c r="C1837" s="1" t="s">
        <v>3</v>
      </c>
    </row>
    <row r="1838" spans="1:17" x14ac:dyDescent="0.35">
      <c r="A1838" s="1" t="s">
        <v>1220</v>
      </c>
      <c r="B1838" s="4">
        <f t="shared" ref="B1838:B1839" si="2604">C1838*180/PI()</f>
        <v>358.09862195676425</v>
      </c>
      <c r="C1838" s="2">
        <f t="shared" ref="C1838:C1839" si="2605">C1829+Q1831</f>
        <v>6.2499999999999956</v>
      </c>
      <c r="E1838" s="7" t="s">
        <v>1221</v>
      </c>
      <c r="F1838" s="6">
        <f t="shared" ref="F1838" si="2606">-B1840*COS(B$6)+B$1*COS(C1838)+B$2*COS(C1839)-B$3*COS(C$4)</f>
        <v>7.3503486283654773E-16</v>
      </c>
      <c r="H1838" s="11" t="s">
        <v>14</v>
      </c>
      <c r="I1838" s="12"/>
      <c r="J1838" s="13"/>
      <c r="L1838" s="11" t="s">
        <v>1222</v>
      </c>
      <c r="M1838" s="12"/>
      <c r="N1838" s="13"/>
      <c r="O1838" s="14" t="s">
        <v>18</v>
      </c>
      <c r="Q1838" s="16" t="s">
        <v>19</v>
      </c>
    </row>
    <row r="1839" spans="1:17" x14ac:dyDescent="0.35">
      <c r="A1839" s="1" t="s">
        <v>1223</v>
      </c>
      <c r="B1839" s="4">
        <f t="shared" si="2604"/>
        <v>25.674389746022204</v>
      </c>
      <c r="C1839" s="2">
        <f t="shared" si="2605"/>
        <v>0.44810263450835813</v>
      </c>
      <c r="E1839" s="7" t="s">
        <v>1224</v>
      </c>
      <c r="F1839" s="6">
        <f t="shared" ref="F1839" si="2607">-B1840*SIN(B$6)+B$1*SIN(C1838)+B$2*SIN(C1839)-B$3*SIN(C$4)</f>
        <v>0</v>
      </c>
      <c r="H1839" s="8" t="s">
        <v>16</v>
      </c>
      <c r="I1839" s="8" t="s">
        <v>15</v>
      </c>
      <c r="J1839" s="9" t="s">
        <v>8</v>
      </c>
      <c r="L1839" s="8" t="s">
        <v>16</v>
      </c>
      <c r="M1839" s="8" t="s">
        <v>15</v>
      </c>
      <c r="N1839" s="9" t="s">
        <v>8</v>
      </c>
      <c r="O1839" s="15"/>
      <c r="Q1839" s="17"/>
    </row>
    <row r="1840" spans="1:17" x14ac:dyDescent="0.35">
      <c r="A1840" s="1" t="s">
        <v>8</v>
      </c>
      <c r="B1840" s="4">
        <f t="shared" ref="B1840" si="2608">B1831+Q1833</f>
        <v>8.4059728725709153</v>
      </c>
      <c r="C1840" s="2"/>
      <c r="E1840" s="7" t="s">
        <v>1225</v>
      </c>
      <c r="F1840" s="6">
        <f>C1838-F$3*B1836-0.5*(F$4)*B1836^2</f>
        <v>-0.25249999999999861</v>
      </c>
      <c r="H1840" s="2">
        <f t="shared" ref="H1840" si="2609">-B$1*SIN(C1838)</f>
        <v>9.9537649642683773E-2</v>
      </c>
      <c r="I1840" s="2">
        <f t="shared" ref="I1840" si="2610">-B$2*SIN(C1839)</f>
        <v>-2.5995376496426834</v>
      </c>
      <c r="J1840" s="2">
        <f t="shared" ref="J1840" si="2611">-COS(B$6)</f>
        <v>-1</v>
      </c>
      <c r="L1840" s="2" cm="1">
        <f t="array" ref="L1840:N1842">MINVERSE(H1840:J1842)</f>
        <v>0</v>
      </c>
      <c r="M1840" s="2">
        <v>0</v>
      </c>
      <c r="N1840" s="2">
        <v>1.0000000000000002</v>
      </c>
      <c r="O1840" s="10">
        <f t="shared" ref="O1840:O1842" si="2612">-F1838</f>
        <v>-7.3503486283654773E-16</v>
      </c>
      <c r="Q1840" s="2" cm="1">
        <f t="array" ref="Q1840:Q1842">MMULT(L1840:N1842,O1840:O1842)</f>
        <v>0.25249999999999867</v>
      </c>
    </row>
    <row r="1841" spans="1:17" x14ac:dyDescent="0.35">
      <c r="H1841" s="2">
        <f t="shared" ref="H1841" si="2613">B$1*COS(C1838)</f>
        <v>2.9983482546734979</v>
      </c>
      <c r="I1841" s="2">
        <f t="shared" ref="I1841" si="2614">B$2*COS(C1839)</f>
        <v>5.4076246178974179</v>
      </c>
      <c r="J1841" s="2">
        <f t="shared" ref="J1841" si="2615">-SIN(B$6)</f>
        <v>0</v>
      </c>
      <c r="L1841" s="2">
        <v>0</v>
      </c>
      <c r="M1841" s="2">
        <v>0.18492407862230978</v>
      </c>
      <c r="N1841" s="2">
        <v>-0.5544667883843073</v>
      </c>
      <c r="O1841" s="10">
        <f t="shared" si="2612"/>
        <v>0</v>
      </c>
      <c r="Q1841" s="2">
        <v>-0.14000286406703683</v>
      </c>
    </row>
    <row r="1842" spans="1:17" x14ac:dyDescent="0.35">
      <c r="H1842" s="2">
        <v>1</v>
      </c>
      <c r="I1842" s="2">
        <v>0</v>
      </c>
      <c r="J1842" s="2">
        <v>0</v>
      </c>
      <c r="L1842" s="2">
        <v>-1</v>
      </c>
      <c r="M1842" s="2">
        <v>-0.48071710470417794</v>
      </c>
      <c r="N1842" s="2">
        <v>1.5408949415241531</v>
      </c>
      <c r="O1842" s="10">
        <f t="shared" si="2612"/>
        <v>0.25249999999999861</v>
      </c>
      <c r="Q1842" s="2">
        <v>0.38907597273484723</v>
      </c>
    </row>
    <row r="1845" spans="1:17" x14ac:dyDescent="0.35">
      <c r="A1845" s="1" t="s">
        <v>9</v>
      </c>
      <c r="B1845" s="2">
        <f t="shared" ref="B1845" si="2616">IF(AND((B1836 = B1827), ABS(B1840-B1831) &lt; 0.001),B1836+0.1,B1836)</f>
        <v>5.0999999999999979</v>
      </c>
    </row>
    <row r="1846" spans="1:17" x14ac:dyDescent="0.35">
      <c r="C1846" s="1" t="s">
        <v>3</v>
      </c>
    </row>
    <row r="1847" spans="1:17" x14ac:dyDescent="0.35">
      <c r="A1847" s="1" t="s">
        <v>1226</v>
      </c>
      <c r="B1847" s="4">
        <f t="shared" ref="B1847:B1848" si="2617">C1847*180/PI()</f>
        <v>372.56580628381744</v>
      </c>
      <c r="C1847" s="2">
        <f t="shared" ref="C1847:C1848" si="2618">C1838+Q1840</f>
        <v>6.5024999999999942</v>
      </c>
      <c r="E1847" s="7" t="s">
        <v>1227</v>
      </c>
      <c r="F1847" s="6">
        <f t="shared" ref="F1847" si="2619">-B1849*COS(B$6)+B$1*COS(C1847)+B$2*COS(C1848)-B$3*COS(C$4)</f>
        <v>-0.149439332268056</v>
      </c>
      <c r="H1847" s="11" t="s">
        <v>14</v>
      </c>
      <c r="I1847" s="12"/>
      <c r="J1847" s="13"/>
      <c r="L1847" s="11" t="s">
        <v>1228</v>
      </c>
      <c r="M1847" s="12"/>
      <c r="N1847" s="13"/>
      <c r="O1847" s="14" t="s">
        <v>18</v>
      </c>
      <c r="Q1847" s="16" t="s">
        <v>19</v>
      </c>
    </row>
    <row r="1848" spans="1:17" x14ac:dyDescent="0.35">
      <c r="A1848" s="1" t="s">
        <v>1229</v>
      </c>
      <c r="B1848" s="4">
        <f t="shared" si="2617"/>
        <v>17.652816515237223</v>
      </c>
      <c r="C1848" s="2">
        <f t="shared" si="2618"/>
        <v>0.30809977044132131</v>
      </c>
      <c r="E1848" s="7" t="s">
        <v>1230</v>
      </c>
      <c r="F1848" s="6">
        <f t="shared" ref="F1848" si="2620">-B1849*SIN(B$6)+B$1*SIN(C1847)+B$2*SIN(C1848)-B$3*SIN(C$4)</f>
        <v>-2.7827046704681724E-2</v>
      </c>
      <c r="H1848" s="8" t="s">
        <v>16</v>
      </c>
      <c r="I1848" s="8" t="s">
        <v>15</v>
      </c>
      <c r="J1848" s="9" t="s">
        <v>8</v>
      </c>
      <c r="L1848" s="8" t="s">
        <v>16</v>
      </c>
      <c r="M1848" s="8" t="s">
        <v>15</v>
      </c>
      <c r="N1848" s="9" t="s">
        <v>8</v>
      </c>
      <c r="O1848" s="15"/>
      <c r="Q1848" s="17"/>
    </row>
    <row r="1849" spans="1:17" x14ac:dyDescent="0.35">
      <c r="A1849" s="1" t="s">
        <v>8</v>
      </c>
      <c r="B1849" s="4">
        <f t="shared" ref="B1849" si="2621">B1840+Q1842</f>
        <v>8.7950488453057627</v>
      </c>
      <c r="C1849" s="2"/>
      <c r="E1849" s="7" t="s">
        <v>1231</v>
      </c>
      <c r="F1849" s="6">
        <f>C1847-F$3*B1845-0.5*(F$4)*B1845^2</f>
        <v>0</v>
      </c>
      <c r="H1849" s="2">
        <f t="shared" ref="H1849" si="2622">-B$1*SIN(C1847)</f>
        <v>-0.65268234707796335</v>
      </c>
      <c r="I1849" s="2">
        <f t="shared" ref="I1849" si="2623">-B$2*SIN(C1848)</f>
        <v>-1.819490606217355</v>
      </c>
      <c r="J1849" s="2">
        <f t="shared" ref="J1849" si="2624">-COS(B$6)</f>
        <v>-1</v>
      </c>
      <c r="L1849" s="2" cm="1">
        <f t="array" ref="L1849:N1851">MINVERSE(H1849:J1851)</f>
        <v>0</v>
      </c>
      <c r="M1849" s="2">
        <v>0</v>
      </c>
      <c r="N1849" s="2">
        <v>1</v>
      </c>
      <c r="O1849" s="10">
        <f t="shared" ref="O1849:O1851" si="2625">-F1847</f>
        <v>0.149439332268056</v>
      </c>
      <c r="Q1849" s="2" cm="1">
        <f t="array" ref="Q1849:Q1851">MMULT(L1849:N1851,O1849:O1851)</f>
        <v>0</v>
      </c>
    </row>
    <row r="1850" spans="1:17" x14ac:dyDescent="0.35">
      <c r="H1850" s="2">
        <f t="shared" ref="H1850" si="2626">B$1*COS(C1847)</f>
        <v>2.9281403234498176</v>
      </c>
      <c r="I1850" s="2">
        <f t="shared" ref="I1850" si="2627">B$2*COS(C1848)</f>
        <v>5.7174691895878897</v>
      </c>
      <c r="J1850" s="2">
        <f t="shared" ref="J1850" si="2628">-SIN(B$6)</f>
        <v>0</v>
      </c>
      <c r="L1850" s="2">
        <v>0</v>
      </c>
      <c r="M1850" s="2">
        <v>0.17490256035329491</v>
      </c>
      <c r="N1850" s="2">
        <v>-0.51213923964509822</v>
      </c>
      <c r="O1850" s="10">
        <f t="shared" si="2625"/>
        <v>2.7827046704681724E-2</v>
      </c>
      <c r="Q1850" s="2">
        <v>4.8670217157195514E-3</v>
      </c>
    </row>
    <row r="1851" spans="1:17" x14ac:dyDescent="0.35">
      <c r="H1851" s="2">
        <v>1</v>
      </c>
      <c r="I1851" s="2">
        <v>0</v>
      </c>
      <c r="J1851" s="2">
        <v>0</v>
      </c>
      <c r="L1851" s="2">
        <v>-1</v>
      </c>
      <c r="M1851" s="2">
        <v>-0.3182335655661841</v>
      </c>
      <c r="N1851" s="2">
        <v>0.27915018853159163</v>
      </c>
      <c r="O1851" s="10">
        <f t="shared" si="2625"/>
        <v>0</v>
      </c>
      <c r="Q1851" s="2">
        <v>-0.1582948325600636</v>
      </c>
    </row>
    <row r="1854" spans="1:17" x14ac:dyDescent="0.35">
      <c r="A1854" s="1" t="s">
        <v>9</v>
      </c>
      <c r="B1854" s="2">
        <f t="shared" ref="B1854" si="2629">IF(AND((B1845 = B1836), ABS(B1849-B1840) &lt; 0.001),B1845+0.1,B1845)</f>
        <v>5.0999999999999979</v>
      </c>
    </row>
    <row r="1855" spans="1:17" x14ac:dyDescent="0.35">
      <c r="C1855" s="1" t="s">
        <v>3</v>
      </c>
    </row>
    <row r="1856" spans="1:17" x14ac:dyDescent="0.35">
      <c r="A1856" s="1" t="s">
        <v>1232</v>
      </c>
      <c r="B1856" s="4">
        <f t="shared" ref="B1856:B1857" si="2630">C1856*180/PI()</f>
        <v>372.56580628381744</v>
      </c>
      <c r="C1856" s="2">
        <f t="shared" ref="C1856:C1857" si="2631">C1847+Q1849</f>
        <v>6.5024999999999942</v>
      </c>
      <c r="E1856" s="7" t="s">
        <v>1233</v>
      </c>
      <c r="F1856" s="6">
        <f t="shared" ref="F1856" si="2632">-B1858*COS(B$6)+B$1*COS(C1856)+B$2*COS(C1857)-B$3*COS(C$4)</f>
        <v>-6.7682325298232748E-5</v>
      </c>
      <c r="H1856" s="11" t="s">
        <v>14</v>
      </c>
      <c r="I1856" s="12"/>
      <c r="J1856" s="13"/>
      <c r="L1856" s="11" t="s">
        <v>1234</v>
      </c>
      <c r="M1856" s="12"/>
      <c r="N1856" s="13"/>
      <c r="O1856" s="14" t="s">
        <v>18</v>
      </c>
      <c r="Q1856" s="16" t="s">
        <v>19</v>
      </c>
    </row>
    <row r="1857" spans="1:17" x14ac:dyDescent="0.35">
      <c r="A1857" s="1" t="s">
        <v>1235</v>
      </c>
      <c r="B1857" s="4">
        <f t="shared" si="2630"/>
        <v>17.931676318346476</v>
      </c>
      <c r="C1857" s="2">
        <f t="shared" si="2631"/>
        <v>0.31296679215704087</v>
      </c>
      <c r="E1857" s="7" t="s">
        <v>1236</v>
      </c>
      <c r="F1857" s="6">
        <f t="shared" ref="F1857" si="2633">-B1858*SIN(B$6)+B$1*SIN(C1856)+B$2*SIN(C1857)-B$3*SIN(C$4)</f>
        <v>-2.1659774160909251E-5</v>
      </c>
      <c r="H1857" s="8" t="s">
        <v>16</v>
      </c>
      <c r="I1857" s="8" t="s">
        <v>15</v>
      </c>
      <c r="J1857" s="9" t="s">
        <v>8</v>
      </c>
      <c r="L1857" s="8" t="s">
        <v>16</v>
      </c>
      <c r="M1857" s="8" t="s">
        <v>15</v>
      </c>
      <c r="N1857" s="9" t="s">
        <v>8</v>
      </c>
      <c r="O1857" s="15"/>
      <c r="Q1857" s="17"/>
    </row>
    <row r="1858" spans="1:17" x14ac:dyDescent="0.35">
      <c r="A1858" s="1" t="s">
        <v>8</v>
      </c>
      <c r="B1858" s="4">
        <f t="shared" ref="B1858" si="2634">B1849+Q1851</f>
        <v>8.6367540127456994</v>
      </c>
      <c r="C1858" s="2"/>
      <c r="E1858" s="7" t="s">
        <v>1237</v>
      </c>
      <c r="F1858" s="6">
        <f>C1856-F$3*B1854-0.5*(F$4)*B1854^2</f>
        <v>0</v>
      </c>
      <c r="H1858" s="2">
        <f t="shared" ref="H1858" si="2635">-B$1*SIN(C1856)</f>
        <v>-0.65268234707796335</v>
      </c>
      <c r="I1858" s="2">
        <f t="shared" ref="I1858" si="2636">-B$2*SIN(C1857)</f>
        <v>-1.8472959931478756</v>
      </c>
      <c r="J1858" s="2">
        <f t="shared" ref="J1858" si="2637">-COS(B$6)</f>
        <v>-1</v>
      </c>
      <c r="L1858" s="2" cm="1">
        <f t="array" ref="L1858:N1860">MINVERSE(H1858:J1860)</f>
        <v>0</v>
      </c>
      <c r="M1858" s="2">
        <v>3.7915635932267626E-17</v>
      </c>
      <c r="N1858" s="2">
        <v>1.0000000000000002</v>
      </c>
      <c r="O1858" s="10">
        <f t="shared" ref="O1858:O1860" si="2638">-F1856</f>
        <v>6.7682325298232748E-5</v>
      </c>
      <c r="Q1858" s="2" cm="1">
        <f t="array" ref="Q1858:Q1860">MMULT(L1858:N1860,O1858:O1860)</f>
        <v>8.2124411146017267E-22</v>
      </c>
    </row>
    <row r="1859" spans="1:17" x14ac:dyDescent="0.35">
      <c r="H1859" s="2">
        <f t="shared" ref="H1859" si="2639">B$1*COS(C1856)</f>
        <v>2.9281403234498176</v>
      </c>
      <c r="I1859" s="2">
        <f t="shared" ref="I1859" si="2640">B$2*COS(C1857)</f>
        <v>5.7085460069705842</v>
      </c>
      <c r="J1859" s="2">
        <f t="shared" ref="J1859" si="2641">-SIN(B$6)</f>
        <v>0</v>
      </c>
      <c r="L1859" s="2">
        <v>0</v>
      </c>
      <c r="M1859" s="2">
        <v>0.17517595527458676</v>
      </c>
      <c r="N1859" s="2">
        <v>-0.51293977833835935</v>
      </c>
      <c r="O1859" s="10">
        <f t="shared" si="2638"/>
        <v>2.1659774160909251E-5</v>
      </c>
      <c r="Q1859" s="2">
        <v>3.7942716296690888E-6</v>
      </c>
    </row>
    <row r="1860" spans="1:17" x14ac:dyDescent="0.35">
      <c r="H1860" s="2">
        <v>1</v>
      </c>
      <c r="I1860" s="2">
        <v>0</v>
      </c>
      <c r="J1860" s="2">
        <v>0</v>
      </c>
      <c r="L1860" s="2">
        <v>-1</v>
      </c>
      <c r="M1860" s="2">
        <v>-0.32360184027459565</v>
      </c>
      <c r="N1860" s="2">
        <v>0.29486925017264737</v>
      </c>
      <c r="O1860" s="10">
        <f t="shared" si="2638"/>
        <v>0</v>
      </c>
      <c r="Q1860" s="2">
        <v>-7.4691468076635117E-5</v>
      </c>
    </row>
    <row r="1863" spans="1:17" x14ac:dyDescent="0.35">
      <c r="A1863" s="1" t="s">
        <v>9</v>
      </c>
      <c r="B1863" s="2">
        <f t="shared" ref="B1863" si="2642">IF(AND((B1854 = B1845), ABS(B1858-B1849) &lt; 0.001),B1854+0.1,B1854)</f>
        <v>5.0999999999999979</v>
      </c>
    </row>
    <row r="1864" spans="1:17" x14ac:dyDescent="0.35">
      <c r="C1864" s="1" t="s">
        <v>3</v>
      </c>
    </row>
    <row r="1865" spans="1:17" x14ac:dyDescent="0.35">
      <c r="A1865" s="1" t="s">
        <v>1238</v>
      </c>
      <c r="B1865" s="4">
        <f t="shared" ref="B1865:B1866" si="2643">C1865*180/PI()</f>
        <v>372.56580628381744</v>
      </c>
      <c r="C1865" s="2">
        <f t="shared" ref="C1865:C1866" si="2644">C1856+Q1858</f>
        <v>6.5024999999999942</v>
      </c>
      <c r="E1865" s="7" t="s">
        <v>1239</v>
      </c>
      <c r="F1865" s="6">
        <f t="shared" ref="F1865" si="2645">-B1867*COS(B$6)+B$1*COS(C1865)+B$2*COS(C1866)-B$3*COS(C$4)</f>
        <v>-4.1090839552563457E-11</v>
      </c>
      <c r="H1865" s="11" t="s">
        <v>14</v>
      </c>
      <c r="I1865" s="12"/>
      <c r="J1865" s="13"/>
      <c r="L1865" s="11" t="s">
        <v>1240</v>
      </c>
      <c r="M1865" s="12"/>
      <c r="N1865" s="13"/>
      <c r="O1865" s="14" t="s">
        <v>18</v>
      </c>
      <c r="Q1865" s="16" t="s">
        <v>19</v>
      </c>
    </row>
    <row r="1866" spans="1:17" x14ac:dyDescent="0.35">
      <c r="A1866" s="1" t="s">
        <v>1241</v>
      </c>
      <c r="B1866" s="4">
        <f t="shared" si="2643"/>
        <v>17.931893714097182</v>
      </c>
      <c r="C1866" s="2">
        <f t="shared" si="2644"/>
        <v>0.31297058642867054</v>
      </c>
      <c r="E1866" s="7" t="s">
        <v>1242</v>
      </c>
      <c r="F1866" s="6">
        <f t="shared" ref="F1866" si="2646">-B1867*SIN(B$6)+B$1*SIN(C1865)+B$2*SIN(C1866)-B$3*SIN(C$4)</f>
        <v>-1.3297363210540425E-11</v>
      </c>
      <c r="H1866" s="8" t="s">
        <v>16</v>
      </c>
      <c r="I1866" s="8" t="s">
        <v>15</v>
      </c>
      <c r="J1866" s="9" t="s">
        <v>8</v>
      </c>
      <c r="L1866" s="8" t="s">
        <v>16</v>
      </c>
      <c r="M1866" s="8" t="s">
        <v>15</v>
      </c>
      <c r="N1866" s="9" t="s">
        <v>8</v>
      </c>
      <c r="O1866" s="15"/>
      <c r="Q1866" s="17"/>
    </row>
    <row r="1867" spans="1:17" x14ac:dyDescent="0.35">
      <c r="A1867" s="1" t="s">
        <v>8</v>
      </c>
      <c r="B1867" s="4">
        <f t="shared" ref="B1867" si="2647">B1858+Q1860</f>
        <v>8.6366793212776223</v>
      </c>
      <c r="C1867" s="2"/>
      <c r="E1867" s="7" t="s">
        <v>1243</v>
      </c>
      <c r="F1867" s="6">
        <f>C1865-F$3*B1863-0.5*(F$4)*B1863^2</f>
        <v>0</v>
      </c>
      <c r="H1867" s="2">
        <f t="shared" ref="H1867" si="2648">-B$1*SIN(C1865)</f>
        <v>-0.65268234707796335</v>
      </c>
      <c r="I1867" s="2">
        <f t="shared" ref="I1867" si="2649">-B$2*SIN(C1866)</f>
        <v>-1.8473176529087392</v>
      </c>
      <c r="J1867" s="2">
        <f t="shared" ref="J1867" si="2650">-COS(B$6)</f>
        <v>-1</v>
      </c>
      <c r="L1867" s="2" cm="1">
        <f t="array" ref="L1867:N1869">MINVERSE(H1867:J1869)</f>
        <v>0</v>
      </c>
      <c r="M1867" s="2">
        <v>-7.5831271864535252E-17</v>
      </c>
      <c r="N1867" s="2">
        <v>1</v>
      </c>
      <c r="O1867" s="10">
        <f t="shared" ref="O1867:O1869" si="2651">-F1865</f>
        <v>4.1090839552563457E-11</v>
      </c>
      <c r="Q1867" s="2" cm="1">
        <f t="array" ref="Q1867:Q1869">MMULT(L1867:N1869,O1867:O1869)</f>
        <v>-1.0083559646999602E-27</v>
      </c>
    </row>
    <row r="1868" spans="1:17" x14ac:dyDescent="0.35">
      <c r="H1868" s="2">
        <f t="shared" ref="H1868" si="2652">B$1*COS(C1865)</f>
        <v>2.9281403234498176</v>
      </c>
      <c r="I1868" s="2">
        <f t="shared" ref="I1868" si="2653">B$2*COS(C1866)</f>
        <v>5.7085389977867145</v>
      </c>
      <c r="J1868" s="2">
        <f t="shared" ref="J1868" si="2654">-SIN(B$6)</f>
        <v>0</v>
      </c>
      <c r="L1868" s="2">
        <v>0</v>
      </c>
      <c r="M1868" s="2">
        <v>0.17517617036297992</v>
      </c>
      <c r="N1868" s="2">
        <v>-0.51294040814735631</v>
      </c>
      <c r="O1868" s="10">
        <f t="shared" si="2651"/>
        <v>1.3297363210540425E-11</v>
      </c>
      <c r="Q1868" s="2">
        <v>2.329381163148051E-12</v>
      </c>
    </row>
    <row r="1869" spans="1:17" x14ac:dyDescent="0.35">
      <c r="H1869" s="2">
        <v>1</v>
      </c>
      <c r="I1869" s="2">
        <v>0</v>
      </c>
      <c r="J1869" s="2">
        <v>0</v>
      </c>
      <c r="L1869" s="2">
        <v>-1</v>
      </c>
      <c r="M1869" s="2">
        <v>-0.32360603188048143</v>
      </c>
      <c r="N1869" s="2">
        <v>0.29488152378286164</v>
      </c>
      <c r="O1869" s="10">
        <f t="shared" si="2651"/>
        <v>0</v>
      </c>
      <c r="Q1869" s="2">
        <v>-4.539394649559994E-11</v>
      </c>
    </row>
    <row r="1872" spans="1:17" x14ac:dyDescent="0.35">
      <c r="A1872" s="1" t="s">
        <v>9</v>
      </c>
      <c r="B1872" s="2">
        <v>4.9000000000000004</v>
      </c>
    </row>
    <row r="1873" spans="1:17" x14ac:dyDescent="0.35">
      <c r="C1873" s="1" t="s">
        <v>3</v>
      </c>
    </row>
    <row r="1874" spans="1:17" x14ac:dyDescent="0.35">
      <c r="A1874" s="1" t="s">
        <v>716</v>
      </c>
      <c r="B1874" s="4">
        <f t="shared" ref="B1874:B1875" si="2655">C1874*180/PI()</f>
        <v>372.56580628381744</v>
      </c>
      <c r="C1874" s="2">
        <f t="shared" ref="C1874:C1875" si="2656">C1865+Q1867</f>
        <v>6.5024999999999942</v>
      </c>
      <c r="E1874" s="7" t="s">
        <v>717</v>
      </c>
      <c r="F1874" s="6">
        <f t="shared" ref="F1874" si="2657">-B1876*COS(B$6)+B$1*COS(C1874)+B$2*COS(C1875)-B$3*COS(C$4)</f>
        <v>7.3503486283654773E-16</v>
      </c>
      <c r="H1874" s="11" t="s">
        <v>14</v>
      </c>
      <c r="I1874" s="12"/>
      <c r="J1874" s="13"/>
      <c r="L1874" s="11" t="s">
        <v>718</v>
      </c>
      <c r="M1874" s="12"/>
      <c r="N1874" s="13"/>
      <c r="O1874" s="14" t="s">
        <v>18</v>
      </c>
      <c r="Q1874" s="16" t="s">
        <v>19</v>
      </c>
    </row>
    <row r="1875" spans="1:17" x14ac:dyDescent="0.35">
      <c r="A1875" s="1" t="s">
        <v>719</v>
      </c>
      <c r="B1875" s="4">
        <f t="shared" si="2655"/>
        <v>17.931893714230643</v>
      </c>
      <c r="C1875" s="2">
        <f t="shared" si="2656"/>
        <v>0.3129705864309999</v>
      </c>
      <c r="E1875" s="7" t="s">
        <v>720</v>
      </c>
      <c r="F1875" s="6">
        <f t="shared" ref="F1875" si="2658">-B1876*SIN(B$6)+B$1*SIN(C1874)+B$2*SIN(C1875)-B$3*SIN(C$4)</f>
        <v>0</v>
      </c>
      <c r="H1875" s="8" t="s">
        <v>16</v>
      </c>
      <c r="I1875" s="8" t="s">
        <v>15</v>
      </c>
      <c r="J1875" s="9" t="s">
        <v>8</v>
      </c>
      <c r="L1875" s="8" t="s">
        <v>16</v>
      </c>
      <c r="M1875" s="8" t="s">
        <v>15</v>
      </c>
      <c r="N1875" s="9" t="s">
        <v>8</v>
      </c>
      <c r="O1875" s="15"/>
      <c r="Q1875" s="17"/>
    </row>
    <row r="1876" spans="1:17" x14ac:dyDescent="0.35">
      <c r="A1876" s="1" t="s">
        <v>8</v>
      </c>
      <c r="B1876" s="4">
        <f t="shared" ref="B1876" si="2659">B1867+Q1869</f>
        <v>8.6366793212322275</v>
      </c>
      <c r="C1876" s="2"/>
      <c r="E1876" s="7" t="s">
        <v>721</v>
      </c>
      <c r="F1876" s="6">
        <f>C1874-F$3*B1872-0.5*(F$4)*B1872^2</f>
        <v>0.49999999999999289</v>
      </c>
      <c r="H1876" s="2">
        <f t="shared" ref="H1876" si="2660">-B$1*SIN(C1874)</f>
        <v>-0.65268234707796335</v>
      </c>
      <c r="I1876" s="2">
        <f t="shared" ref="I1876" si="2661">-B$2*SIN(C1875)</f>
        <v>-1.8473176529220365</v>
      </c>
      <c r="J1876" s="2">
        <f t="shared" ref="J1876" si="2662">-COS(B$6)</f>
        <v>-1</v>
      </c>
      <c r="L1876" s="2" cm="1">
        <f t="array" ref="L1876:N1878">MINVERSE(H1876:J1878)</f>
        <v>0</v>
      </c>
      <c r="M1876" s="2">
        <v>0</v>
      </c>
      <c r="N1876" s="2">
        <v>1.0000000000000002</v>
      </c>
      <c r="O1876" s="10">
        <f t="shared" ref="O1876:O1878" si="2663">-F1874</f>
        <v>-7.3503486283654773E-16</v>
      </c>
      <c r="Q1876" s="2" cm="1">
        <f t="array" ref="Q1876:Q1878">MMULT(L1876:N1878,O1876:O1878)</f>
        <v>-0.49999999999999301</v>
      </c>
    </row>
    <row r="1877" spans="1:17" x14ac:dyDescent="0.35">
      <c r="H1877" s="2">
        <f t="shared" ref="H1877" si="2664">B$1*COS(C1874)</f>
        <v>2.9281403234498176</v>
      </c>
      <c r="I1877" s="2">
        <f t="shared" ref="I1877" si="2665">B$2*COS(C1875)</f>
        <v>5.7085389977824113</v>
      </c>
      <c r="J1877" s="2">
        <f t="shared" ref="J1877" si="2666">-SIN(B$6)</f>
        <v>0</v>
      </c>
      <c r="L1877" s="2">
        <v>0</v>
      </c>
      <c r="M1877" s="2">
        <v>0.17517617036311195</v>
      </c>
      <c r="N1877" s="2">
        <v>-0.512940408147743</v>
      </c>
      <c r="O1877" s="10">
        <f t="shared" si="2663"/>
        <v>0</v>
      </c>
      <c r="Q1877" s="2">
        <v>0.25647020407386784</v>
      </c>
    </row>
    <row r="1878" spans="1:17" x14ac:dyDescent="0.35">
      <c r="H1878" s="2">
        <v>1</v>
      </c>
      <c r="I1878" s="2">
        <v>0</v>
      </c>
      <c r="J1878" s="2">
        <v>0</v>
      </c>
      <c r="L1878" s="2">
        <v>-1</v>
      </c>
      <c r="M1878" s="2">
        <v>-0.32360603188305476</v>
      </c>
      <c r="N1878" s="2">
        <v>0.29488152379039667</v>
      </c>
      <c r="O1878" s="10">
        <f t="shared" si="2663"/>
        <v>-0.49999999999999289</v>
      </c>
      <c r="Q1878" s="2">
        <v>-0.14744076189519553</v>
      </c>
    </row>
    <row r="1881" spans="1:17" x14ac:dyDescent="0.35">
      <c r="A1881" s="1" t="s">
        <v>9</v>
      </c>
      <c r="B1881" s="2">
        <f t="shared" ref="B1881" si="2667">IF(AND((B1872 = B1863), ABS(B1876-B1867) &lt; 0.001),B1872+0.1,B1872)</f>
        <v>4.9000000000000004</v>
      </c>
    </row>
    <row r="1882" spans="1:17" x14ac:dyDescent="0.35">
      <c r="C1882" s="1" t="s">
        <v>3</v>
      </c>
    </row>
    <row r="1883" spans="1:17" x14ac:dyDescent="0.35">
      <c r="A1883" s="1" t="s">
        <v>722</v>
      </c>
      <c r="B1883" s="4">
        <f t="shared" ref="B1883:B1884" si="2668">C1883*180/PI()</f>
        <v>343.91791652727676</v>
      </c>
      <c r="C1883" s="2">
        <f t="shared" ref="C1883:C1884" si="2669">C1874+Q1876</f>
        <v>6.0025000000000013</v>
      </c>
      <c r="E1883" s="7" t="s">
        <v>723</v>
      </c>
      <c r="F1883" s="6">
        <f t="shared" ref="F1883" si="2670">-B1885*COS(B$6)+B$1*COS(C1883)+B$2*COS(C1884)-B$3*COS(C$4)</f>
        <v>-0.55342542167752484</v>
      </c>
      <c r="H1883" s="11" t="s">
        <v>14</v>
      </c>
      <c r="I1883" s="12"/>
      <c r="J1883" s="13"/>
      <c r="L1883" s="11" t="s">
        <v>724</v>
      </c>
      <c r="M1883" s="12"/>
      <c r="N1883" s="13"/>
      <c r="O1883" s="14" t="s">
        <v>18</v>
      </c>
      <c r="Q1883" s="16" t="s">
        <v>19</v>
      </c>
    </row>
    <row r="1884" spans="1:17" x14ac:dyDescent="0.35">
      <c r="A1884" s="1" t="s">
        <v>725</v>
      </c>
      <c r="B1884" s="4">
        <f t="shared" si="2668"/>
        <v>32.626553978522203</v>
      </c>
      <c r="C1884" s="2">
        <f t="shared" si="2669"/>
        <v>0.56944079050486773</v>
      </c>
      <c r="E1884" s="7" t="s">
        <v>726</v>
      </c>
      <c r="F1884" s="6">
        <f t="shared" ref="F1884" si="2671">-B1885*SIN(B$6)+B$1*SIN(C1883)+B$2*SIN(C1884)-B$3*SIN(C$4)</f>
        <v>-9.6075613247397662E-2</v>
      </c>
      <c r="H1884" s="8" t="s">
        <v>16</v>
      </c>
      <c r="I1884" s="8" t="s">
        <v>15</v>
      </c>
      <c r="J1884" s="9" t="s">
        <v>8</v>
      </c>
      <c r="L1884" s="8" t="s">
        <v>16</v>
      </c>
      <c r="M1884" s="8" t="s">
        <v>15</v>
      </c>
      <c r="N1884" s="9" t="s">
        <v>8</v>
      </c>
      <c r="O1884" s="15"/>
      <c r="Q1884" s="17"/>
    </row>
    <row r="1885" spans="1:17" x14ac:dyDescent="0.35">
      <c r="A1885" s="1" t="s">
        <v>8</v>
      </c>
      <c r="B1885" s="4">
        <f t="shared" ref="B1885" si="2672">B1876+Q1878</f>
        <v>8.4892385593370321</v>
      </c>
      <c r="C1885" s="2"/>
      <c r="E1885" s="7" t="s">
        <v>727</v>
      </c>
      <c r="F1885" s="6">
        <f>C1883-F$3*B1881-0.5*(F$4)*B1881^2</f>
        <v>0</v>
      </c>
      <c r="H1885" s="2">
        <f t="shared" ref="H1885" si="2673">-B$1*SIN(C1883)</f>
        <v>0.83104260542929298</v>
      </c>
      <c r="I1885" s="2">
        <f t="shared" ref="I1885" si="2674">-B$2*SIN(C1884)</f>
        <v>-3.2349669921818953</v>
      </c>
      <c r="J1885" s="2">
        <f t="shared" ref="J1885" si="2675">-COS(B$6)</f>
        <v>-1</v>
      </c>
      <c r="L1885" s="2" cm="1">
        <f t="array" ref="L1885:N1887">MINVERSE(H1885:J1887)</f>
        <v>0</v>
      </c>
      <c r="M1885" s="2">
        <v>0</v>
      </c>
      <c r="N1885" s="2">
        <v>1</v>
      </c>
      <c r="O1885" s="10">
        <f t="shared" ref="O1885:O1887" si="2676">-F1883</f>
        <v>0.55342542167752484</v>
      </c>
      <c r="Q1885" s="2" cm="1">
        <f t="array" ref="Q1885:Q1887">MMULT(L1885:N1887,O1885:O1887)</f>
        <v>0</v>
      </c>
    </row>
    <row r="1886" spans="1:17" x14ac:dyDescent="0.35">
      <c r="H1886" s="2">
        <f t="shared" ref="H1886" si="2677">B$1*COS(C1883)</f>
        <v>2.8825974724129093</v>
      </c>
      <c r="I1886" s="2">
        <f t="shared" ref="I1886" si="2678">B$2*COS(C1884)</f>
        <v>5.053215665246598</v>
      </c>
      <c r="J1886" s="2">
        <f t="shared" ref="J1886" si="2679">-SIN(B$6)</f>
        <v>0</v>
      </c>
      <c r="L1886" s="2">
        <v>0</v>
      </c>
      <c r="M1886" s="2">
        <v>0.19789379006272825</v>
      </c>
      <c r="N1886" s="2">
        <v>-0.57044813904103142</v>
      </c>
      <c r="O1886" s="10">
        <f t="shared" si="2676"/>
        <v>9.6075613247397662E-2</v>
      </c>
      <c r="Q1886" s="2">
        <v>1.9012767238128385E-2</v>
      </c>
    </row>
    <row r="1887" spans="1:17" x14ac:dyDescent="0.35">
      <c r="H1887" s="2">
        <v>1</v>
      </c>
      <c r="I1887" s="2">
        <v>0</v>
      </c>
      <c r="J1887" s="2">
        <v>0</v>
      </c>
      <c r="L1887" s="2">
        <v>-1</v>
      </c>
      <c r="M1887" s="2">
        <v>-0.64017987881069938</v>
      </c>
      <c r="N1887" s="2">
        <v>2.6764235059786179</v>
      </c>
      <c r="O1887" s="10">
        <f t="shared" si="2676"/>
        <v>0</v>
      </c>
      <c r="Q1887" s="2">
        <v>-0.61493109612290753</v>
      </c>
    </row>
    <row r="1890" spans="1:17" x14ac:dyDescent="0.35">
      <c r="A1890" s="1" t="s">
        <v>9</v>
      </c>
      <c r="B1890" s="2">
        <f t="shared" ref="B1890" si="2680">IF(AND((B1881 = B1872), ABS(B1885-B1876) &lt; 0.001),B1881+0.1,B1881)</f>
        <v>4.9000000000000004</v>
      </c>
    </row>
    <row r="1891" spans="1:17" x14ac:dyDescent="0.35">
      <c r="C1891" s="1" t="s">
        <v>3</v>
      </c>
    </row>
    <row r="1892" spans="1:17" x14ac:dyDescent="0.35">
      <c r="A1892" s="1" t="s">
        <v>728</v>
      </c>
      <c r="B1892" s="4">
        <f t="shared" ref="B1892:B1893" si="2681">C1892*180/PI()</f>
        <v>343.91791652727676</v>
      </c>
      <c r="C1892" s="2">
        <f t="shared" ref="C1892:C1893" si="2682">C1883+Q1885</f>
        <v>6.0025000000000013</v>
      </c>
      <c r="E1892" s="7" t="s">
        <v>729</v>
      </c>
      <c r="F1892" s="6">
        <f t="shared" ref="F1892" si="2683">-B1894*COS(B$6)+B$1*COS(C1892)+B$2*COS(C1893)-B$3*COS(C$4)</f>
        <v>-9.0959862389287981E-4</v>
      </c>
      <c r="H1892" s="11" t="s">
        <v>14</v>
      </c>
      <c r="I1892" s="12"/>
      <c r="J1892" s="13"/>
      <c r="L1892" s="11" t="s">
        <v>730</v>
      </c>
      <c r="M1892" s="12"/>
      <c r="N1892" s="13"/>
      <c r="O1892" s="14" t="s">
        <v>18</v>
      </c>
      <c r="Q1892" s="16" t="s">
        <v>19</v>
      </c>
    </row>
    <row r="1893" spans="1:17" x14ac:dyDescent="0.35">
      <c r="A1893" s="1" t="s">
        <v>731</v>
      </c>
      <c r="B1893" s="4">
        <f t="shared" si="2681"/>
        <v>33.71590529813156</v>
      </c>
      <c r="C1893" s="2">
        <f t="shared" si="2682"/>
        <v>0.58845355774299613</v>
      </c>
      <c r="E1893" s="7" t="s">
        <v>732</v>
      </c>
      <c r="F1893" s="6">
        <f t="shared" ref="F1893" si="2684">-B1894*SIN(B$6)+B$1*SIN(C1892)+B$2*SIN(C1893)-B$3*SIN(C$4)</f>
        <v>-5.9046713895494207E-4</v>
      </c>
      <c r="H1893" s="8" t="s">
        <v>16</v>
      </c>
      <c r="I1893" s="8" t="s">
        <v>15</v>
      </c>
      <c r="J1893" s="9" t="s">
        <v>8</v>
      </c>
      <c r="L1893" s="8" t="s">
        <v>16</v>
      </c>
      <c r="M1893" s="8" t="s">
        <v>15</v>
      </c>
      <c r="N1893" s="9" t="s">
        <v>8</v>
      </c>
      <c r="O1893" s="15"/>
      <c r="Q1893" s="17"/>
    </row>
    <row r="1894" spans="1:17" x14ac:dyDescent="0.35">
      <c r="A1894" s="1" t="s">
        <v>8</v>
      </c>
      <c r="B1894" s="4">
        <f t="shared" ref="B1894" si="2685">B1885+Q1887</f>
        <v>7.8743074632141248</v>
      </c>
      <c r="C1894" s="2"/>
      <c r="E1894" s="7" t="s">
        <v>733</v>
      </c>
      <c r="F1894" s="6">
        <f>C1892-F$3*B1890-0.5*(F$4)*B1890^2</f>
        <v>0</v>
      </c>
      <c r="H1894" s="2">
        <f t="shared" ref="H1894" si="2686">-B$1*SIN(C1892)</f>
        <v>0.83104260542929298</v>
      </c>
      <c r="I1894" s="2">
        <f t="shared" ref="I1894" si="2687">-B$2*SIN(C1893)</f>
        <v>-3.330452138290338</v>
      </c>
      <c r="J1894" s="2">
        <f t="shared" ref="J1894" si="2688">-COS(B$6)</f>
        <v>-1</v>
      </c>
      <c r="L1894" s="2" cm="1">
        <f t="array" ref="L1894:N1896">MINVERSE(H1894:J1896)</f>
        <v>0</v>
      </c>
      <c r="M1894" s="2">
        <v>0</v>
      </c>
      <c r="N1894" s="2">
        <v>1</v>
      </c>
      <c r="O1894" s="10">
        <f t="shared" ref="O1894:O1896" si="2689">-F1892</f>
        <v>9.0959862389287981E-4</v>
      </c>
      <c r="Q1894" s="2" cm="1">
        <f t="array" ref="Q1894:Q1896">MMULT(L1894:N1896,O1894:O1896)</f>
        <v>0</v>
      </c>
    </row>
    <row r="1895" spans="1:17" x14ac:dyDescent="0.35">
      <c r="H1895" s="2">
        <f t="shared" ref="H1895" si="2690">B$1*COS(C1892)</f>
        <v>2.8825974724129093</v>
      </c>
      <c r="I1895" s="2">
        <f t="shared" ref="I1895" si="2691">B$2*COS(C1893)</f>
        <v>4.9908003921773227</v>
      </c>
      <c r="J1895" s="2">
        <f t="shared" ref="J1895" si="2692">-SIN(B$6)</f>
        <v>0</v>
      </c>
      <c r="L1895" s="2">
        <v>0</v>
      </c>
      <c r="M1895" s="2">
        <v>0.20036866262321759</v>
      </c>
      <c r="N1895" s="2">
        <v>-0.57758220042844199</v>
      </c>
      <c r="O1895" s="10">
        <f t="shared" si="2689"/>
        <v>5.9046713895494207E-4</v>
      </c>
      <c r="Q1895" s="2">
        <v>1.1831111095535933E-4</v>
      </c>
    </row>
    <row r="1896" spans="1:17" x14ac:dyDescent="0.35">
      <c r="H1896" s="2">
        <v>1</v>
      </c>
      <c r="I1896" s="2">
        <v>0</v>
      </c>
      <c r="J1896" s="2">
        <v>0</v>
      </c>
      <c r="L1896" s="2">
        <v>-1</v>
      </c>
      <c r="M1896" s="2">
        <v>-0.66731824087987035</v>
      </c>
      <c r="N1896" s="2">
        <v>2.7546524798846361</v>
      </c>
      <c r="O1896" s="10">
        <f t="shared" si="2689"/>
        <v>0</v>
      </c>
      <c r="Q1896" s="2">
        <v>-1.3036281163576616E-3</v>
      </c>
    </row>
    <row r="1899" spans="1:17" x14ac:dyDescent="0.35">
      <c r="A1899" s="1" t="s">
        <v>9</v>
      </c>
      <c r="B1899" s="2">
        <f t="shared" ref="B1899" si="2693">IF(AND((B1890 = B1881), ABS(B1894-B1885) &lt; 0.001),B1890+0.1,B1890)</f>
        <v>4.9000000000000004</v>
      </c>
    </row>
    <row r="1900" spans="1:17" x14ac:dyDescent="0.35">
      <c r="C1900" s="1" t="s">
        <v>3</v>
      </c>
    </row>
    <row r="1901" spans="1:17" x14ac:dyDescent="0.35">
      <c r="A1901" s="1" t="s">
        <v>734</v>
      </c>
      <c r="B1901" s="4">
        <f t="shared" ref="B1901:B1902" si="2694">C1901*180/PI()</f>
        <v>343.91791652727676</v>
      </c>
      <c r="C1901" s="2">
        <f t="shared" ref="C1901:C1902" si="2695">C1892+Q1894</f>
        <v>6.0025000000000013</v>
      </c>
      <c r="E1901" s="7" t="s">
        <v>735</v>
      </c>
      <c r="F1901" s="6">
        <f t="shared" ref="F1901" si="2696">-B1903*COS(B$6)+B$1*COS(C1901)+B$2*COS(C1902)-B$3*COS(C$4)</f>
        <v>-3.4928493139951226E-8</v>
      </c>
      <c r="H1901" s="11" t="s">
        <v>14</v>
      </c>
      <c r="I1901" s="12"/>
      <c r="J1901" s="13"/>
      <c r="L1901" s="11" t="s">
        <v>736</v>
      </c>
      <c r="M1901" s="12"/>
      <c r="N1901" s="13"/>
      <c r="O1901" s="14" t="s">
        <v>18</v>
      </c>
      <c r="Q1901" s="16" t="s">
        <v>19</v>
      </c>
    </row>
    <row r="1902" spans="1:17" x14ac:dyDescent="0.35">
      <c r="A1902" s="1" t="s">
        <v>737</v>
      </c>
      <c r="B1902" s="4">
        <f t="shared" si="2694"/>
        <v>33.722684025458811</v>
      </c>
      <c r="C1902" s="2">
        <f t="shared" si="2695"/>
        <v>0.58857186885395152</v>
      </c>
      <c r="E1902" s="7" t="s">
        <v>738</v>
      </c>
      <c r="F1902" s="6">
        <f t="shared" ref="F1902" si="2697">-B1903*SIN(B$6)+B$1*SIN(C1901)+B$2*SIN(C1902)-B$3*SIN(C$4)</f>
        <v>-2.331041049075111E-8</v>
      </c>
      <c r="H1902" s="8" t="s">
        <v>16</v>
      </c>
      <c r="I1902" s="8" t="s">
        <v>15</v>
      </c>
      <c r="J1902" s="9" t="s">
        <v>8</v>
      </c>
      <c r="L1902" s="8" t="s">
        <v>16</v>
      </c>
      <c r="M1902" s="8" t="s">
        <v>15</v>
      </c>
      <c r="N1902" s="9" t="s">
        <v>8</v>
      </c>
      <c r="O1902" s="15"/>
      <c r="Q1902" s="17"/>
    </row>
    <row r="1903" spans="1:17" x14ac:dyDescent="0.35">
      <c r="A1903" s="1" t="s">
        <v>8</v>
      </c>
      <c r="B1903" s="4">
        <f t="shared" ref="B1903" si="2698">B1894+Q1896</f>
        <v>7.8730038350977667</v>
      </c>
      <c r="C1903" s="2"/>
      <c r="E1903" s="7" t="s">
        <v>739</v>
      </c>
      <c r="F1903" s="6">
        <f>C1901-F$3*B1899-0.5*(F$4)*B1899^2</f>
        <v>0</v>
      </c>
      <c r="H1903" s="2">
        <f t="shared" ref="H1903" si="2699">-B$1*SIN(C1901)</f>
        <v>0.83104260542929298</v>
      </c>
      <c r="I1903" s="2">
        <f t="shared" ref="I1903" si="2700">-B$2*SIN(C1902)</f>
        <v>-3.3310425821188825</v>
      </c>
      <c r="J1903" s="2">
        <f t="shared" ref="J1903" si="2701">-COS(B$6)</f>
        <v>-1</v>
      </c>
      <c r="L1903" s="2" cm="1">
        <f t="array" ref="L1903:N1905">MINVERSE(H1903:J1905)</f>
        <v>0</v>
      </c>
      <c r="M1903" s="2">
        <v>7.7029348374182287E-17</v>
      </c>
      <c r="N1903" s="2">
        <v>0.99999999999999989</v>
      </c>
      <c r="O1903" s="10">
        <f t="shared" ref="O1903:O1905" si="2702">-F1901</f>
        <v>3.4928493139951226E-8</v>
      </c>
      <c r="Q1903" s="2" cm="1">
        <f t="array" ref="Q1903:Q1905">MMULT(L1903:N1905,O1903:O1905)</f>
        <v>1.7955857304372607E-24</v>
      </c>
    </row>
    <row r="1904" spans="1:17" x14ac:dyDescent="0.35">
      <c r="H1904" s="2">
        <f t="shared" ref="H1904" si="2703">B$1*COS(C1901)</f>
        <v>2.8825974724129093</v>
      </c>
      <c r="I1904" s="2">
        <f t="shared" ref="I1904" si="2704">B$2*COS(C1902)</f>
        <v>4.9904063277563644</v>
      </c>
      <c r="J1904" s="2">
        <f t="shared" ref="J1904" si="2705">-SIN(B$6)</f>
        <v>0</v>
      </c>
      <c r="L1904" s="2">
        <v>0</v>
      </c>
      <c r="M1904" s="2">
        <v>0.20038448461361855</v>
      </c>
      <c r="N1904" s="2">
        <v>-0.57762780885798037</v>
      </c>
      <c r="O1904" s="10">
        <f t="shared" si="2702"/>
        <v>2.331041049075111E-8</v>
      </c>
      <c r="Q1904" s="2">
        <v>4.6710445923210485E-9</v>
      </c>
    </row>
    <row r="1905" spans="1:17" x14ac:dyDescent="0.35">
      <c r="H1905" s="2">
        <v>1</v>
      </c>
      <c r="I1905" s="2">
        <v>0</v>
      </c>
      <c r="J1905" s="2">
        <v>0</v>
      </c>
      <c r="L1905" s="2">
        <v>-1</v>
      </c>
      <c r="M1905" s="2">
        <v>-0.66748925104390933</v>
      </c>
      <c r="N1905" s="2">
        <v>2.7551454333512519</v>
      </c>
      <c r="O1905" s="10">
        <f t="shared" si="2702"/>
        <v>0</v>
      </c>
      <c r="Q1905" s="2">
        <v>-5.0487941579948774E-8</v>
      </c>
    </row>
    <row r="1908" spans="1:17" x14ac:dyDescent="0.35">
      <c r="A1908" s="1" t="s">
        <v>9</v>
      </c>
      <c r="B1908" s="2">
        <f t="shared" ref="B1908" si="2706">IF(AND((B1899 = B1890), ABS(B1903-B1894) &lt; 0.001),B1899+0.1,B1899)</f>
        <v>4.9000000000000004</v>
      </c>
    </row>
    <row r="1909" spans="1:17" x14ac:dyDescent="0.35">
      <c r="C1909" s="1" t="s">
        <v>3</v>
      </c>
    </row>
    <row r="1910" spans="1:17" x14ac:dyDescent="0.35">
      <c r="A1910" s="1" t="s">
        <v>740</v>
      </c>
      <c r="B1910" s="4">
        <f t="shared" ref="B1910:B1911" si="2707">C1910*180/PI()</f>
        <v>343.91791652727676</v>
      </c>
      <c r="C1910" s="2">
        <f t="shared" ref="C1910:C1911" si="2708">C1901+Q1903</f>
        <v>6.0025000000000013</v>
      </c>
      <c r="E1910" s="7" t="s">
        <v>741</v>
      </c>
      <c r="F1910" s="6">
        <f t="shared" ref="F1910" si="2709">-B1912*COS(B$6)+B$1*COS(C1910)+B$2*COS(C1911)-B$3*COS(C$4)</f>
        <v>1.623213282536673E-15</v>
      </c>
      <c r="H1910" s="11" t="s">
        <v>14</v>
      </c>
      <c r="I1910" s="12"/>
      <c r="J1910" s="13"/>
      <c r="L1910" s="11" t="s">
        <v>742</v>
      </c>
      <c r="M1910" s="12"/>
      <c r="N1910" s="13"/>
      <c r="O1910" s="14" t="s">
        <v>18</v>
      </c>
      <c r="Q1910" s="16" t="s">
        <v>19</v>
      </c>
    </row>
    <row r="1911" spans="1:17" x14ac:dyDescent="0.35">
      <c r="A1911" s="1" t="s">
        <v>743</v>
      </c>
      <c r="B1911" s="4">
        <f t="shared" si="2707"/>
        <v>33.722684293089948</v>
      </c>
      <c r="C1911" s="2">
        <f t="shared" si="2708"/>
        <v>0.58857187352499607</v>
      </c>
      <c r="E1911" s="7" t="s">
        <v>744</v>
      </c>
      <c r="F1911" s="6">
        <f t="shared" ref="F1911" si="2710">-B1912*SIN(B$6)+B$1*SIN(C1910)+B$2*SIN(C1911)-B$3*SIN(C$4)</f>
        <v>0</v>
      </c>
      <c r="H1911" s="8" t="s">
        <v>16</v>
      </c>
      <c r="I1911" s="8" t="s">
        <v>15</v>
      </c>
      <c r="J1911" s="9" t="s">
        <v>8</v>
      </c>
      <c r="L1911" s="8" t="s">
        <v>16</v>
      </c>
      <c r="M1911" s="8" t="s">
        <v>15</v>
      </c>
      <c r="N1911" s="9" t="s">
        <v>8</v>
      </c>
      <c r="O1911" s="15"/>
      <c r="Q1911" s="17"/>
    </row>
    <row r="1912" spans="1:17" x14ac:dyDescent="0.35">
      <c r="A1912" s="1" t="s">
        <v>8</v>
      </c>
      <c r="B1912" s="4">
        <f t="shared" ref="B1912" si="2711">B1903+Q1905</f>
        <v>7.8730037846098249</v>
      </c>
      <c r="C1912" s="2"/>
      <c r="E1912" s="7" t="s">
        <v>745</v>
      </c>
      <c r="F1912" s="6">
        <f>C1910-F$3*B1908-0.5*(F$4)*B1908^2</f>
        <v>0</v>
      </c>
      <c r="H1912" s="2">
        <f t="shared" ref="H1912" si="2712">-B$1*SIN(C1910)</f>
        <v>0.83104260542929298</v>
      </c>
      <c r="I1912" s="2">
        <f t="shared" ref="I1912" si="2713">-B$2*SIN(C1911)</f>
        <v>-3.3310426054292925</v>
      </c>
      <c r="J1912" s="2">
        <f t="shared" ref="J1912" si="2714">-COS(B$6)</f>
        <v>-1</v>
      </c>
      <c r="L1912" s="2" cm="1">
        <f t="array" ref="L1912:N1914">MINVERSE(H1912:J1914)</f>
        <v>0</v>
      </c>
      <c r="M1912" s="2">
        <v>0</v>
      </c>
      <c r="N1912" s="2">
        <v>1</v>
      </c>
      <c r="O1912" s="10">
        <f t="shared" ref="O1912:O1914" si="2715">-F1910</f>
        <v>-1.623213282536673E-15</v>
      </c>
      <c r="Q1912" s="2" cm="1">
        <f t="array" ref="Q1912:Q1914">MMULT(L1912:N1914,O1912:O1914)</f>
        <v>0</v>
      </c>
    </row>
    <row r="1913" spans="1:17" x14ac:dyDescent="0.35">
      <c r="H1913" s="2">
        <f t="shared" ref="H1913" si="2716">B$1*COS(C1910)</f>
        <v>2.8825974724129093</v>
      </c>
      <c r="I1913" s="2">
        <f t="shared" ref="I1913" si="2717">B$2*COS(C1911)</f>
        <v>4.9904063121969173</v>
      </c>
      <c r="J1913" s="2">
        <f t="shared" ref="J1913" si="2718">-SIN(B$6)</f>
        <v>0</v>
      </c>
      <c r="L1913" s="2">
        <v>0</v>
      </c>
      <c r="M1913" s="2">
        <v>0.20038448523839172</v>
      </c>
      <c r="N1913" s="2">
        <v>-0.57762781065894986</v>
      </c>
      <c r="O1913" s="10">
        <f t="shared" si="2715"/>
        <v>0</v>
      </c>
      <c r="Q1913" s="2">
        <v>0</v>
      </c>
    </row>
    <row r="1914" spans="1:17" x14ac:dyDescent="0.35">
      <c r="H1914" s="2">
        <v>1</v>
      </c>
      <c r="I1914" s="2">
        <v>0</v>
      </c>
      <c r="J1914" s="2">
        <v>0</v>
      </c>
      <c r="L1914" s="2">
        <v>-1</v>
      </c>
      <c r="M1914" s="2">
        <v>-0.66748925779609991</v>
      </c>
      <c r="N1914" s="2">
        <v>2.7551454528150994</v>
      </c>
      <c r="O1914" s="10">
        <f t="shared" si="2715"/>
        <v>0</v>
      </c>
      <c r="Q1914" s="2">
        <v>1.623213282536673E-15</v>
      </c>
    </row>
    <row r="1917" spans="1:17" x14ac:dyDescent="0.35">
      <c r="A1917" s="1" t="s">
        <v>9</v>
      </c>
      <c r="B1917" s="2">
        <f t="shared" ref="B1917" si="2719">IF(AND((B1908 = B1899), ABS(B1912-B1903) &lt; 0.001),B1908+0.1,B1908)</f>
        <v>5</v>
      </c>
    </row>
    <row r="1918" spans="1:17" x14ac:dyDescent="0.35">
      <c r="C1918" s="1" t="s">
        <v>3</v>
      </c>
    </row>
    <row r="1919" spans="1:17" x14ac:dyDescent="0.35">
      <c r="A1919" s="1" t="s">
        <v>746</v>
      </c>
      <c r="B1919" s="4">
        <f t="shared" ref="B1919:B1920" si="2720">C1919*180/PI()</f>
        <v>343.91791652727676</v>
      </c>
      <c r="C1919" s="2">
        <f t="shared" ref="C1919:C1920" si="2721">C1910+Q1912</f>
        <v>6.0025000000000013</v>
      </c>
      <c r="E1919" s="7" t="s">
        <v>747</v>
      </c>
      <c r="F1919" s="6">
        <f t="shared" ref="F1919" si="2722">-B1921*COS(B$6)+B$1*COS(C1919)+B$2*COS(C1920)-B$3*COS(C$4)</f>
        <v>-1.531435568635775E-16</v>
      </c>
      <c r="H1919" s="11" t="s">
        <v>14</v>
      </c>
      <c r="I1919" s="12"/>
      <c r="J1919" s="13"/>
      <c r="L1919" s="11" t="s">
        <v>748</v>
      </c>
      <c r="M1919" s="12"/>
      <c r="N1919" s="13"/>
      <c r="O1919" s="14" t="s">
        <v>18</v>
      </c>
      <c r="Q1919" s="16" t="s">
        <v>19</v>
      </c>
    </row>
    <row r="1920" spans="1:17" x14ac:dyDescent="0.35">
      <c r="A1920" s="1" t="s">
        <v>749</v>
      </c>
      <c r="B1920" s="4">
        <f t="shared" si="2720"/>
        <v>33.722684293089948</v>
      </c>
      <c r="C1920" s="2">
        <f t="shared" si="2721"/>
        <v>0.58857187352499607</v>
      </c>
      <c r="E1920" s="7" t="s">
        <v>750</v>
      </c>
      <c r="F1920" s="6">
        <f t="shared" ref="F1920" si="2723">-B1921*SIN(B$6)+B$1*SIN(C1919)+B$2*SIN(C1920)-B$3*SIN(C$4)</f>
        <v>0</v>
      </c>
      <c r="H1920" s="8" t="s">
        <v>16</v>
      </c>
      <c r="I1920" s="8" t="s">
        <v>15</v>
      </c>
      <c r="J1920" s="9" t="s">
        <v>8</v>
      </c>
      <c r="L1920" s="8" t="s">
        <v>16</v>
      </c>
      <c r="M1920" s="8" t="s">
        <v>15</v>
      </c>
      <c r="N1920" s="9" t="s">
        <v>8</v>
      </c>
      <c r="O1920" s="15"/>
      <c r="Q1920" s="17"/>
    </row>
    <row r="1921" spans="1:17" x14ac:dyDescent="0.35">
      <c r="A1921" s="1" t="s">
        <v>8</v>
      </c>
      <c r="B1921" s="4">
        <f t="shared" ref="B1921" si="2724">B1912+Q1914</f>
        <v>7.8730037846098266</v>
      </c>
      <c r="C1921" s="2"/>
      <c r="E1921" s="7" t="s">
        <v>751</v>
      </c>
      <c r="F1921" s="6">
        <f>C1919-F$3*B1917-0.5*(F$4)*B1917^2</f>
        <v>-0.24749999999999872</v>
      </c>
      <c r="H1921" s="2">
        <f t="shared" ref="H1921" si="2725">-B$1*SIN(C1919)</f>
        <v>0.83104260542929298</v>
      </c>
      <c r="I1921" s="2">
        <f t="shared" ref="I1921" si="2726">-B$2*SIN(C1920)</f>
        <v>-3.3310426054292925</v>
      </c>
      <c r="J1921" s="2">
        <f t="shared" ref="J1921" si="2727">-COS(B$6)</f>
        <v>-1</v>
      </c>
      <c r="L1921" s="2" cm="1">
        <f t="array" ref="L1921:N1923">MINVERSE(H1921:J1923)</f>
        <v>0</v>
      </c>
      <c r="M1921" s="2">
        <v>0</v>
      </c>
      <c r="N1921" s="2">
        <v>1</v>
      </c>
      <c r="O1921" s="10">
        <f t="shared" ref="O1921:O1923" si="2728">-F1919</f>
        <v>1.531435568635775E-16</v>
      </c>
      <c r="Q1921" s="2" cm="1">
        <f t="array" ref="Q1921:Q1923">MMULT(L1921:N1923,O1921:O1923)</f>
        <v>0.24749999999999872</v>
      </c>
    </row>
    <row r="1922" spans="1:17" x14ac:dyDescent="0.35">
      <c r="H1922" s="2">
        <f t="shared" ref="H1922" si="2729">B$1*COS(C1919)</f>
        <v>2.8825974724129093</v>
      </c>
      <c r="I1922" s="2">
        <f t="shared" ref="I1922" si="2730">B$2*COS(C1920)</f>
        <v>4.9904063121969173</v>
      </c>
      <c r="J1922" s="2">
        <f t="shared" ref="J1922" si="2731">-SIN(B$6)</f>
        <v>0</v>
      </c>
      <c r="L1922" s="2">
        <v>0</v>
      </c>
      <c r="M1922" s="2">
        <v>0.20038448523839172</v>
      </c>
      <c r="N1922" s="2">
        <v>-0.57762781065894986</v>
      </c>
      <c r="O1922" s="10">
        <f t="shared" si="2728"/>
        <v>0</v>
      </c>
      <c r="Q1922" s="2">
        <v>-0.14296288313808936</v>
      </c>
    </row>
    <row r="1923" spans="1:17" x14ac:dyDescent="0.35">
      <c r="H1923" s="2">
        <v>1</v>
      </c>
      <c r="I1923" s="2">
        <v>0</v>
      </c>
      <c r="J1923" s="2">
        <v>0</v>
      </c>
      <c r="L1923" s="2">
        <v>-1</v>
      </c>
      <c r="M1923" s="2">
        <v>-0.66748925779609991</v>
      </c>
      <c r="N1923" s="2">
        <v>2.7551454528150994</v>
      </c>
      <c r="O1923" s="10">
        <f t="shared" si="2728"/>
        <v>0.24749999999999872</v>
      </c>
      <c r="Q1923" s="2">
        <v>0.68189849957173343</v>
      </c>
    </row>
    <row r="1926" spans="1:17" x14ac:dyDescent="0.35">
      <c r="A1926" s="1" t="s">
        <v>9</v>
      </c>
      <c r="B1926" s="2">
        <f t="shared" ref="B1926" si="2732">IF(AND((B1917 = B1908), ABS(B1921-B1912) &lt; 0.001),B1917+0.1,B1917)</f>
        <v>5</v>
      </c>
    </row>
    <row r="1927" spans="1:17" x14ac:dyDescent="0.35">
      <c r="C1927" s="1" t="s">
        <v>3</v>
      </c>
    </row>
    <row r="1928" spans="1:17" x14ac:dyDescent="0.35">
      <c r="A1928" s="1" t="s">
        <v>752</v>
      </c>
      <c r="B1928" s="4">
        <f t="shared" ref="B1928:B1929" si="2733">C1928*180/PI()</f>
        <v>358.09862195676453</v>
      </c>
      <c r="C1928" s="2">
        <f t="shared" ref="C1928:C1929" si="2734">C1919+Q1921</f>
        <v>6.25</v>
      </c>
      <c r="E1928" s="7" t="s">
        <v>753</v>
      </c>
      <c r="F1928" s="6">
        <f t="shared" ref="F1928" si="2735">-B1930*COS(B$6)+B$1*COS(C1928)+B$2*COS(C1929)-B$3*COS(C$4)</f>
        <v>-0.14246390955217886</v>
      </c>
      <c r="H1928" s="11" t="s">
        <v>14</v>
      </c>
      <c r="I1928" s="12"/>
      <c r="J1928" s="13"/>
      <c r="L1928" s="11" t="s">
        <v>754</v>
      </c>
      <c r="M1928" s="12"/>
      <c r="N1928" s="13"/>
      <c r="O1928" s="14" t="s">
        <v>18</v>
      </c>
      <c r="Q1928" s="16" t="s">
        <v>19</v>
      </c>
    </row>
    <row r="1929" spans="1:17" x14ac:dyDescent="0.35">
      <c r="A1929" s="1" t="s">
        <v>755</v>
      </c>
      <c r="B1929" s="4">
        <f t="shared" si="2733"/>
        <v>25.53151446225543</v>
      </c>
      <c r="C1929" s="2">
        <f t="shared" si="2734"/>
        <v>0.44560899038690671</v>
      </c>
      <c r="E1929" s="7" t="s">
        <v>756</v>
      </c>
      <c r="F1929" s="6">
        <f t="shared" ref="F1929" si="2736">-B1930*SIN(B$6)+B$1*SIN(C1928)+B$2*SIN(C1929)-B$3*SIN(C$4)</f>
        <v>-1.3492759661815512E-2</v>
      </c>
      <c r="H1929" s="8" t="s">
        <v>16</v>
      </c>
      <c r="I1929" s="8" t="s">
        <v>15</v>
      </c>
      <c r="J1929" s="9" t="s">
        <v>8</v>
      </c>
      <c r="L1929" s="8" t="s">
        <v>16</v>
      </c>
      <c r="M1929" s="8" t="s">
        <v>15</v>
      </c>
      <c r="N1929" s="9" t="s">
        <v>8</v>
      </c>
      <c r="O1929" s="15"/>
      <c r="Q1929" s="17"/>
    </row>
    <row r="1930" spans="1:17" x14ac:dyDescent="0.35">
      <c r="A1930" s="1" t="s">
        <v>8</v>
      </c>
      <c r="B1930" s="4">
        <f t="shared" ref="B1930" si="2737">B1921+Q1923</f>
        <v>8.5549022841815603</v>
      </c>
      <c r="C1930" s="2"/>
      <c r="E1930" s="7" t="s">
        <v>757</v>
      </c>
      <c r="F1930" s="6">
        <f>C1928-F$3*B1926-0.5*(F$4)*B1926^2</f>
        <v>0</v>
      </c>
      <c r="H1930" s="2">
        <f t="shared" ref="H1930" si="2738">-B$1*SIN(C1928)</f>
        <v>9.953764964267045E-2</v>
      </c>
      <c r="I1930" s="2">
        <f t="shared" ref="I1930" si="2739">-B$2*SIN(C1929)</f>
        <v>-2.586044889980855</v>
      </c>
      <c r="J1930" s="2">
        <f t="shared" ref="J1930" si="2740">-COS(B$6)</f>
        <v>-1</v>
      </c>
      <c r="L1930" s="2" cm="1">
        <f t="array" ref="L1930:N1932">MINVERSE(H1930:J1932)</f>
        <v>0</v>
      </c>
      <c r="M1930" s="2">
        <v>7.4055641995199325E-17</v>
      </c>
      <c r="N1930" s="2">
        <v>0.99999999999999989</v>
      </c>
      <c r="O1930" s="10">
        <f t="shared" ref="O1930:O1932" si="2741">-F1928</f>
        <v>0.14246390955217886</v>
      </c>
      <c r="Q1930" s="2" cm="1">
        <f t="array" ref="Q1930:Q1932">MMULT(L1930:N1932,O1930:O1932)</f>
        <v>9.9921497904267634E-19</v>
      </c>
    </row>
    <row r="1931" spans="1:17" x14ac:dyDescent="0.35">
      <c r="H1931" s="2">
        <f t="shared" ref="H1931" si="2742">B$1*COS(C1928)</f>
        <v>2.9983482546734983</v>
      </c>
      <c r="I1931" s="2">
        <f t="shared" ref="I1931" si="2743">B$2*COS(C1929)</f>
        <v>5.4140901199558833</v>
      </c>
      <c r="J1931" s="2">
        <f t="shared" ref="J1931" si="2744">-SIN(B$6)</f>
        <v>0</v>
      </c>
      <c r="L1931" s="2">
        <v>0</v>
      </c>
      <c r="M1931" s="2">
        <v>0.18470324243663463</v>
      </c>
      <c r="N1931" s="2">
        <v>-0.55380464459241951</v>
      </c>
      <c r="O1931" s="10">
        <f t="shared" si="2741"/>
        <v>1.3492759661815512E-2</v>
      </c>
      <c r="Q1931" s="2">
        <v>2.4921564589555547E-3</v>
      </c>
    </row>
    <row r="1932" spans="1:17" x14ac:dyDescent="0.35">
      <c r="H1932" s="2">
        <v>1</v>
      </c>
      <c r="I1932" s="2">
        <v>0</v>
      </c>
      <c r="J1932" s="2">
        <v>0</v>
      </c>
      <c r="L1932" s="2">
        <v>-1</v>
      </c>
      <c r="M1932" s="2">
        <v>-0.47765087626615405</v>
      </c>
      <c r="N1932" s="2">
        <v>1.5317013208385606</v>
      </c>
      <c r="O1932" s="10">
        <f t="shared" si="2741"/>
        <v>0</v>
      </c>
      <c r="Q1932" s="2">
        <v>-0.14890873802789364</v>
      </c>
    </row>
    <row r="1935" spans="1:17" x14ac:dyDescent="0.35">
      <c r="A1935" s="1" t="s">
        <v>9</v>
      </c>
      <c r="B1935" s="2">
        <f t="shared" ref="B1935" si="2745">IF(AND((B1926 = B1917), ABS(B1930-B1921) &lt; 0.001),B1926+0.1,B1926)</f>
        <v>5</v>
      </c>
    </row>
    <row r="1936" spans="1:17" x14ac:dyDescent="0.35">
      <c r="C1936" s="1" t="s">
        <v>3</v>
      </c>
    </row>
    <row r="1937" spans="1:17" x14ac:dyDescent="0.35">
      <c r="A1937" s="1" t="s">
        <v>758</v>
      </c>
      <c r="B1937" s="4">
        <f t="shared" ref="B1937:B1938" si="2746">C1937*180/PI()</f>
        <v>358.09862195676453</v>
      </c>
      <c r="C1937" s="2">
        <f t="shared" ref="C1937:C1938" si="2747">C1928+Q1930</f>
        <v>6.25</v>
      </c>
      <c r="E1937" s="7" t="s">
        <v>759</v>
      </c>
      <c r="F1937" s="6">
        <f t="shared" ref="F1937" si="2748">-B1939*COS(B$6)+B$1*COS(C1937)+B$2*COS(C1938)-B$3*COS(C$4)</f>
        <v>-1.6806354066798356E-5</v>
      </c>
      <c r="H1937" s="11" t="s">
        <v>14</v>
      </c>
      <c r="I1937" s="12"/>
      <c r="J1937" s="13"/>
      <c r="L1937" s="11" t="s">
        <v>760</v>
      </c>
      <c r="M1937" s="12"/>
      <c r="N1937" s="13"/>
      <c r="O1937" s="14" t="s">
        <v>18</v>
      </c>
      <c r="Q1937" s="16" t="s">
        <v>19</v>
      </c>
    </row>
    <row r="1938" spans="1:17" x14ac:dyDescent="0.35">
      <c r="A1938" s="1" t="s">
        <v>761</v>
      </c>
      <c r="B1938" s="4">
        <f t="shared" si="2746"/>
        <v>25.67430450923985</v>
      </c>
      <c r="C1938" s="2">
        <f t="shared" si="2747"/>
        <v>0.44810114684586227</v>
      </c>
      <c r="E1938" s="7" t="s">
        <v>762</v>
      </c>
      <c r="F1938" s="6">
        <f t="shared" ref="F1938" si="2749">-B1939*SIN(B$6)+B$1*SIN(C1937)+B$2*SIN(C1938)-B$3*SIN(C$4)</f>
        <v>-8.0447231991520596E-6</v>
      </c>
      <c r="H1938" s="8" t="s">
        <v>16</v>
      </c>
      <c r="I1938" s="8" t="s">
        <v>15</v>
      </c>
      <c r="J1938" s="9" t="s">
        <v>8</v>
      </c>
      <c r="L1938" s="8" t="s">
        <v>16</v>
      </c>
      <c r="M1938" s="8" t="s">
        <v>15</v>
      </c>
      <c r="N1938" s="9" t="s">
        <v>8</v>
      </c>
      <c r="O1938" s="15"/>
      <c r="Q1938" s="17"/>
    </row>
    <row r="1939" spans="1:17" x14ac:dyDescent="0.35">
      <c r="A1939" s="1" t="s">
        <v>8</v>
      </c>
      <c r="B1939" s="4">
        <f t="shared" ref="B1939" si="2750">B1930+Q1932</f>
        <v>8.4059935461536668</v>
      </c>
      <c r="C1939" s="2"/>
      <c r="E1939" s="7" t="s">
        <v>763</v>
      </c>
      <c r="F1939" s="6">
        <f>C1937-F$3*B1935-0.5*(F$4)*B1935^2</f>
        <v>0</v>
      </c>
      <c r="H1939" s="2">
        <f t="shared" ref="H1939" si="2751">-B$1*SIN(C1937)</f>
        <v>9.953764964267045E-2</v>
      </c>
      <c r="I1939" s="2">
        <f t="shared" ref="I1939" si="2752">-B$2*SIN(C1938)</f>
        <v>-2.5995296049194714</v>
      </c>
      <c r="J1939" s="2">
        <f t="shared" ref="J1939" si="2753">-COS(B$6)</f>
        <v>-1</v>
      </c>
      <c r="L1939" s="2" cm="1">
        <f t="array" ref="L1939:N1941">MINVERSE(H1939:J1941)</f>
        <v>0</v>
      </c>
      <c r="M1939" s="2">
        <v>0</v>
      </c>
      <c r="N1939" s="2">
        <v>0.99999999999999989</v>
      </c>
      <c r="O1939" s="10">
        <f t="shared" ref="O1939:O1941" si="2754">-F1937</f>
        <v>1.6806354066798356E-5</v>
      </c>
      <c r="Q1939" s="2" cm="1">
        <f t="array" ref="Q1939:Q1941">MMULT(L1939:N1941,O1939:O1941)</f>
        <v>0</v>
      </c>
    </row>
    <row r="1940" spans="1:17" x14ac:dyDescent="0.35">
      <c r="H1940" s="2">
        <f t="shared" ref="H1940" si="2755">B$1*COS(C1937)</f>
        <v>2.9983482546734983</v>
      </c>
      <c r="I1940" s="2">
        <f t="shared" ref="I1940" si="2756">B$2*COS(C1938)</f>
        <v>5.4076284851261018</v>
      </c>
      <c r="J1940" s="2">
        <f t="shared" ref="J1940" si="2757">-SIN(B$6)</f>
        <v>0</v>
      </c>
      <c r="L1940" s="2">
        <v>0</v>
      </c>
      <c r="M1940" s="2">
        <v>0.18492394637511433</v>
      </c>
      <c r="N1940" s="2">
        <v>-0.55446639186115954</v>
      </c>
      <c r="O1940" s="10">
        <f t="shared" si="2754"/>
        <v>8.0447231991520596E-6</v>
      </c>
      <c r="Q1940" s="2">
        <v>1.4876619614826338E-6</v>
      </c>
    </row>
    <row r="1941" spans="1:17" x14ac:dyDescent="0.35">
      <c r="H1941" s="2">
        <v>1</v>
      </c>
      <c r="I1941" s="2">
        <v>0</v>
      </c>
      <c r="J1941" s="2">
        <v>0</v>
      </c>
      <c r="L1941" s="2">
        <v>-1</v>
      </c>
      <c r="M1941" s="2">
        <v>-0.48071527326065044</v>
      </c>
      <c r="N1941" s="2">
        <v>1.5408894502186352</v>
      </c>
      <c r="O1941" s="10">
        <f t="shared" si="2754"/>
        <v>0</v>
      </c>
      <c r="Q1941" s="2">
        <v>-2.0673575377785032E-5</v>
      </c>
    </row>
    <row r="1944" spans="1:17" x14ac:dyDescent="0.35">
      <c r="A1944" s="1" t="s">
        <v>9</v>
      </c>
      <c r="B1944" s="2">
        <f t="shared" ref="B1944" si="2758">IF(AND((B1935 = B1926), ABS(B1939-B1930) &lt; 0.001),B1935+0.1,B1935)</f>
        <v>5</v>
      </c>
    </row>
    <row r="1945" spans="1:17" x14ac:dyDescent="0.35">
      <c r="C1945" s="1" t="s">
        <v>3</v>
      </c>
    </row>
    <row r="1946" spans="1:17" x14ac:dyDescent="0.35">
      <c r="A1946" s="1" t="s">
        <v>764</v>
      </c>
      <c r="B1946" s="4">
        <f t="shared" ref="B1946:B1947" si="2759">C1946*180/PI()</f>
        <v>358.09862195676453</v>
      </c>
      <c r="C1946" s="2">
        <f t="shared" ref="C1946:C1947" si="2760">C1937+Q1939</f>
        <v>6.25</v>
      </c>
      <c r="E1946" s="7" t="s">
        <v>765</v>
      </c>
      <c r="F1946" s="6">
        <f t="shared" ref="F1946" si="2761">-B1948*COS(B$6)+B$1*COS(C1946)+B$2*COS(C1947)-B$3*COS(C$4)</f>
        <v>-5.9838111570766073E-12</v>
      </c>
      <c r="H1946" s="11" t="s">
        <v>14</v>
      </c>
      <c r="I1946" s="12"/>
      <c r="J1946" s="13"/>
      <c r="L1946" s="11" t="s">
        <v>766</v>
      </c>
      <c r="M1946" s="12"/>
      <c r="N1946" s="13"/>
      <c r="O1946" s="14" t="s">
        <v>18</v>
      </c>
      <c r="Q1946" s="16" t="s">
        <v>19</v>
      </c>
    </row>
    <row r="1947" spans="1:17" x14ac:dyDescent="0.35">
      <c r="A1947" s="1" t="s">
        <v>767</v>
      </c>
      <c r="B1947" s="4">
        <f t="shared" si="2759"/>
        <v>25.674389745991583</v>
      </c>
      <c r="C1947" s="2">
        <f t="shared" si="2760"/>
        <v>0.44810263450782378</v>
      </c>
      <c r="E1947" s="7" t="s">
        <v>768</v>
      </c>
      <c r="F1947" s="6">
        <f t="shared" ref="F1947" si="2762">-B1948*SIN(B$6)+B$1*SIN(C1946)+B$2*SIN(C1947)-B$3*SIN(C$4)</f>
        <v>-2.8763658121988556E-12</v>
      </c>
      <c r="H1947" s="8" t="s">
        <v>16</v>
      </c>
      <c r="I1947" s="8" t="s">
        <v>15</v>
      </c>
      <c r="J1947" s="9" t="s">
        <v>8</v>
      </c>
      <c r="L1947" s="8" t="s">
        <v>16</v>
      </c>
      <c r="M1947" s="8" t="s">
        <v>15</v>
      </c>
      <c r="N1947" s="9" t="s">
        <v>8</v>
      </c>
      <c r="O1947" s="15"/>
      <c r="Q1947" s="17"/>
    </row>
    <row r="1948" spans="1:17" x14ac:dyDescent="0.35">
      <c r="A1948" s="1" t="s">
        <v>8</v>
      </c>
      <c r="B1948" s="4">
        <f t="shared" ref="B1948" si="2763">B1939+Q1941</f>
        <v>8.405972872578289</v>
      </c>
      <c r="C1948" s="2"/>
      <c r="E1948" s="7" t="s">
        <v>769</v>
      </c>
      <c r="F1948" s="6">
        <f>C1946-F$3*B1944-0.5*(F$4)*B1944^2</f>
        <v>0</v>
      </c>
      <c r="H1948" s="2">
        <f t="shared" ref="H1948" si="2764">-B$1*SIN(C1946)</f>
        <v>9.953764964267045E-2</v>
      </c>
      <c r="I1948" s="2">
        <f t="shared" ref="I1948" si="2765">-B$2*SIN(C1947)</f>
        <v>-2.5995376496397942</v>
      </c>
      <c r="J1948" s="2">
        <f t="shared" ref="J1948" si="2766">-COS(B$6)</f>
        <v>-1</v>
      </c>
      <c r="L1948" s="2" cm="1">
        <f t="array" ref="L1948:N1950">MINVERSE(H1948:J1950)</f>
        <v>0</v>
      </c>
      <c r="M1948" s="2">
        <v>0</v>
      </c>
      <c r="N1948" s="2">
        <v>1</v>
      </c>
      <c r="O1948" s="10">
        <f t="shared" ref="O1948:O1950" si="2767">-F1946</f>
        <v>5.9838111570766073E-12</v>
      </c>
      <c r="Q1948" s="2" cm="1">
        <f t="array" ref="Q1948:Q1950">MMULT(L1948:N1950,O1948:O1950)</f>
        <v>0</v>
      </c>
    </row>
    <row r="1949" spans="1:17" x14ac:dyDescent="0.35">
      <c r="H1949" s="2">
        <f t="shared" ref="H1949" si="2768">B$1*COS(C1946)</f>
        <v>2.9983482546734983</v>
      </c>
      <c r="I1949" s="2">
        <f t="shared" ref="I1949" si="2769">B$2*COS(C1947)</f>
        <v>5.407624617898807</v>
      </c>
      <c r="J1949" s="2">
        <f t="shared" ref="J1949" si="2770">-SIN(B$6)</f>
        <v>0</v>
      </c>
      <c r="L1949" s="2">
        <v>0</v>
      </c>
      <c r="M1949" s="2">
        <v>0.18492407862226229</v>
      </c>
      <c r="N1949" s="2">
        <v>-0.55446678838416485</v>
      </c>
      <c r="O1949" s="10">
        <f t="shared" si="2767"/>
        <v>2.8763658121988556E-12</v>
      </c>
      <c r="Q1949" s="2">
        <v>5.3190929760144845E-13</v>
      </c>
    </row>
    <row r="1950" spans="1:17" x14ac:dyDescent="0.35">
      <c r="H1950" s="2">
        <v>1</v>
      </c>
      <c r="I1950" s="2">
        <v>0</v>
      </c>
      <c r="J1950" s="2">
        <v>0</v>
      </c>
      <c r="L1950" s="2">
        <v>-1</v>
      </c>
      <c r="M1950" s="2">
        <v>-0.48071710470352025</v>
      </c>
      <c r="N1950" s="2">
        <v>1.5408949415221675</v>
      </c>
      <c r="O1950" s="10">
        <f t="shared" si="2767"/>
        <v>0</v>
      </c>
      <c r="Q1950" s="2">
        <v>-7.3665294023850309E-12</v>
      </c>
    </row>
    <row r="1953" spans="1:17" x14ac:dyDescent="0.35">
      <c r="A1953" s="1" t="s">
        <v>9</v>
      </c>
      <c r="B1953" s="2">
        <f t="shared" ref="B1953" si="2771">IF(AND((B1944 = B1935), ABS(B1948-B1939) &lt; 0.001),B1944+0.1,B1944)</f>
        <v>5.0999999999999996</v>
      </c>
    </row>
    <row r="1954" spans="1:17" x14ac:dyDescent="0.35">
      <c r="C1954" s="1" t="s">
        <v>3</v>
      </c>
    </row>
    <row r="1955" spans="1:17" x14ac:dyDescent="0.35">
      <c r="A1955" s="1" t="s">
        <v>770</v>
      </c>
      <c r="B1955" s="4">
        <f t="shared" ref="B1955:B1956" si="2772">C1955*180/PI()</f>
        <v>358.09862195676453</v>
      </c>
      <c r="C1955" s="2">
        <f t="shared" ref="C1955:C1956" si="2773">C1946+Q1948</f>
        <v>6.25</v>
      </c>
      <c r="E1955" s="7" t="s">
        <v>771</v>
      </c>
      <c r="F1955" s="6">
        <f t="shared" ref="F1955" si="2774">-B1957*COS(B$6)+B$1*COS(C1955)+B$2*COS(C1956)-B$3*COS(C$4)</f>
        <v>-1.531435568635775E-16</v>
      </c>
      <c r="H1955" s="11" t="s">
        <v>14</v>
      </c>
      <c r="I1955" s="12"/>
      <c r="J1955" s="13"/>
      <c r="L1955" s="11" t="s">
        <v>772</v>
      </c>
      <c r="M1955" s="12"/>
      <c r="N1955" s="13"/>
      <c r="O1955" s="14" t="s">
        <v>18</v>
      </c>
      <c r="Q1955" s="16" t="s">
        <v>19</v>
      </c>
    </row>
    <row r="1956" spans="1:17" x14ac:dyDescent="0.35">
      <c r="A1956" s="1" t="s">
        <v>773</v>
      </c>
      <c r="B1956" s="4">
        <f t="shared" si="2772"/>
        <v>25.674389746022062</v>
      </c>
      <c r="C1956" s="2">
        <f t="shared" si="2773"/>
        <v>0.44810263450835569</v>
      </c>
      <c r="E1956" s="7" t="s">
        <v>774</v>
      </c>
      <c r="F1956" s="6">
        <f t="shared" ref="F1956" si="2775">-B1957*SIN(B$6)+B$1*SIN(C1955)+B$2*SIN(C1956)-B$3*SIN(C$4)</f>
        <v>0</v>
      </c>
      <c r="H1956" s="8" t="s">
        <v>16</v>
      </c>
      <c r="I1956" s="8" t="s">
        <v>15</v>
      </c>
      <c r="J1956" s="9" t="s">
        <v>8</v>
      </c>
      <c r="L1956" s="8" t="s">
        <v>16</v>
      </c>
      <c r="M1956" s="8" t="s">
        <v>15</v>
      </c>
      <c r="N1956" s="9" t="s">
        <v>8</v>
      </c>
      <c r="O1956" s="15"/>
      <c r="Q1956" s="17"/>
    </row>
    <row r="1957" spans="1:17" x14ac:dyDescent="0.35">
      <c r="A1957" s="1" t="s">
        <v>8</v>
      </c>
      <c r="B1957" s="4">
        <f t="shared" ref="B1957" si="2776">B1948+Q1950</f>
        <v>8.4059728725709224</v>
      </c>
      <c r="C1957" s="2"/>
      <c r="E1957" s="7" t="s">
        <v>775</v>
      </c>
      <c r="F1957" s="6">
        <f>C1955-F$3*B1953-0.5*(F$4)*B1953^2</f>
        <v>-0.2524999999999995</v>
      </c>
      <c r="H1957" s="2">
        <f t="shared" ref="H1957" si="2777">-B$1*SIN(C1955)</f>
        <v>9.953764964267045E-2</v>
      </c>
      <c r="I1957" s="2">
        <f t="shared" ref="I1957" si="2778">-B$2*SIN(C1956)</f>
        <v>-2.5995376496426705</v>
      </c>
      <c r="J1957" s="2">
        <f t="shared" ref="J1957" si="2779">-COS(B$6)</f>
        <v>-1</v>
      </c>
      <c r="L1957" s="2" cm="1">
        <f t="array" ref="L1957:N1959">MINVERSE(H1957:J1959)</f>
        <v>0</v>
      </c>
      <c r="M1957" s="2">
        <v>0</v>
      </c>
      <c r="N1957" s="2">
        <v>0.99999999999999989</v>
      </c>
      <c r="O1957" s="10">
        <f t="shared" ref="O1957:O1959" si="2780">-F1955</f>
        <v>1.531435568635775E-16</v>
      </c>
      <c r="Q1957" s="2" cm="1">
        <f t="array" ref="Q1957:Q1959">MMULT(L1957:N1959,O1957:O1959)</f>
        <v>0.25249999999999945</v>
      </c>
    </row>
    <row r="1958" spans="1:17" x14ac:dyDescent="0.35">
      <c r="H1958" s="2">
        <f t="shared" ref="H1958" si="2781">B$1*COS(C1955)</f>
        <v>2.9983482546734983</v>
      </c>
      <c r="I1958" s="2">
        <f t="shared" ref="I1958" si="2782">B$2*COS(C1956)</f>
        <v>5.4076246178974241</v>
      </c>
      <c r="J1958" s="2">
        <f t="shared" ref="J1958" si="2783">-SIN(B$6)</f>
        <v>0</v>
      </c>
      <c r="L1958" s="2">
        <v>0</v>
      </c>
      <c r="M1958" s="2">
        <v>0.18492407862230958</v>
      </c>
      <c r="N1958" s="2">
        <v>-0.55446678838430663</v>
      </c>
      <c r="O1958" s="10">
        <f t="shared" si="2780"/>
        <v>0</v>
      </c>
      <c r="Q1958" s="2">
        <v>-0.14000286406703716</v>
      </c>
    </row>
    <row r="1959" spans="1:17" x14ac:dyDescent="0.35">
      <c r="H1959" s="2">
        <v>1</v>
      </c>
      <c r="I1959" s="2">
        <v>0</v>
      </c>
      <c r="J1959" s="2">
        <v>0</v>
      </c>
      <c r="L1959" s="2">
        <v>-1</v>
      </c>
      <c r="M1959" s="2">
        <v>-0.48071710470417506</v>
      </c>
      <c r="N1959" s="2">
        <v>1.5408949415241309</v>
      </c>
      <c r="O1959" s="10">
        <f t="shared" si="2780"/>
        <v>0.2524999999999995</v>
      </c>
      <c r="Q1959" s="2">
        <v>0.38907597273484212</v>
      </c>
    </row>
    <row r="1962" spans="1:17" x14ac:dyDescent="0.35">
      <c r="A1962" s="1" t="s">
        <v>9</v>
      </c>
      <c r="B1962" s="2">
        <f t="shared" ref="B1962" si="2784">IF(AND((B1953 = B1944), ABS(B1957-B1948) &lt; 0.001),B1953+0.1,B1953)</f>
        <v>5.0999999999999996</v>
      </c>
    </row>
    <row r="1963" spans="1:17" x14ac:dyDescent="0.35">
      <c r="C1963" s="1" t="s">
        <v>3</v>
      </c>
    </row>
    <row r="1964" spans="1:17" x14ac:dyDescent="0.35">
      <c r="A1964" s="1" t="s">
        <v>776</v>
      </c>
      <c r="B1964" s="4">
        <f t="shared" ref="B1964:B1965" si="2785">C1964*180/PI()</f>
        <v>372.56580628381772</v>
      </c>
      <c r="C1964" s="2">
        <f t="shared" ref="C1964:C1965" si="2786">C1955+Q1957</f>
        <v>6.5024999999999995</v>
      </c>
      <c r="E1964" s="7" t="s">
        <v>777</v>
      </c>
      <c r="F1964" s="6">
        <f t="shared" ref="F1964" si="2787">-B1966*COS(B$6)+B$1*COS(C1964)+B$2*COS(C1965)-B$3*COS(C$4)</f>
        <v>-0.149439332268056</v>
      </c>
      <c r="H1964" s="11" t="s">
        <v>14</v>
      </c>
      <c r="I1964" s="12"/>
      <c r="J1964" s="13"/>
      <c r="L1964" s="11" t="s">
        <v>778</v>
      </c>
      <c r="M1964" s="12"/>
      <c r="N1964" s="13"/>
      <c r="O1964" s="14" t="s">
        <v>18</v>
      </c>
      <c r="Q1964" s="16" t="s">
        <v>19</v>
      </c>
    </row>
    <row r="1965" spans="1:17" x14ac:dyDescent="0.35">
      <c r="A1965" s="1" t="s">
        <v>779</v>
      </c>
      <c r="B1965" s="4">
        <f t="shared" si="2785"/>
        <v>17.652816515237063</v>
      </c>
      <c r="C1965" s="2">
        <f t="shared" si="2786"/>
        <v>0.30809977044131853</v>
      </c>
      <c r="E1965" s="7" t="s">
        <v>780</v>
      </c>
      <c r="F1965" s="6">
        <f t="shared" ref="F1965" si="2788">-B1966*SIN(B$6)+B$1*SIN(C1964)+B$2*SIN(C1965)-B$3*SIN(C$4)</f>
        <v>-2.7827046704681724E-2</v>
      </c>
      <c r="H1965" s="8" t="s">
        <v>16</v>
      </c>
      <c r="I1965" s="8" t="s">
        <v>15</v>
      </c>
      <c r="J1965" s="9" t="s">
        <v>8</v>
      </c>
      <c r="L1965" s="8" t="s">
        <v>16</v>
      </c>
      <c r="M1965" s="8" t="s">
        <v>15</v>
      </c>
      <c r="N1965" s="9" t="s">
        <v>8</v>
      </c>
      <c r="O1965" s="15"/>
      <c r="Q1965" s="17"/>
    </row>
    <row r="1966" spans="1:17" x14ac:dyDescent="0.35">
      <c r="A1966" s="1" t="s">
        <v>8</v>
      </c>
      <c r="B1966" s="4">
        <f t="shared" ref="B1966" si="2789">B1957+Q1959</f>
        <v>8.7950488453057645</v>
      </c>
      <c r="C1966" s="2"/>
      <c r="E1966" s="7" t="s">
        <v>781</v>
      </c>
      <c r="F1966" s="6">
        <f>C1964-F$3*B1962-0.5*(F$4)*B1962^2</f>
        <v>0</v>
      </c>
      <c r="H1966" s="2">
        <f t="shared" ref="H1966" si="2790">-B$1*SIN(C1964)</f>
        <v>-0.6526823470779789</v>
      </c>
      <c r="I1966" s="2">
        <f t="shared" ref="I1966" si="2791">-B$2*SIN(C1965)</f>
        <v>-1.8194906062173395</v>
      </c>
      <c r="J1966" s="2">
        <f t="shared" ref="J1966" si="2792">-COS(B$6)</f>
        <v>-1</v>
      </c>
      <c r="L1966" s="2" cm="1">
        <f t="array" ref="L1966:N1968">MINVERSE(H1966:J1968)</f>
        <v>0</v>
      </c>
      <c r="M1966" s="2">
        <v>0</v>
      </c>
      <c r="N1966" s="2">
        <v>1</v>
      </c>
      <c r="O1966" s="10">
        <f t="shared" ref="O1966:O1968" si="2793">-F1964</f>
        <v>0.149439332268056</v>
      </c>
      <c r="Q1966" s="2" cm="1">
        <f t="array" ref="Q1966:Q1968">MMULT(L1966:N1968,O1966:O1968)</f>
        <v>0</v>
      </c>
    </row>
    <row r="1967" spans="1:17" x14ac:dyDescent="0.35">
      <c r="H1967" s="2">
        <f t="shared" ref="H1967" si="2794">B$1*COS(C1964)</f>
        <v>2.9281403234498136</v>
      </c>
      <c r="I1967" s="2">
        <f t="shared" ref="I1967" si="2795">B$2*COS(C1965)</f>
        <v>5.7174691895878951</v>
      </c>
      <c r="J1967" s="2">
        <f t="shared" ref="J1967" si="2796">-SIN(B$6)</f>
        <v>0</v>
      </c>
      <c r="L1967" s="2">
        <v>0</v>
      </c>
      <c r="M1967" s="2">
        <v>0.17490256035329474</v>
      </c>
      <c r="N1967" s="2">
        <v>-0.512139239645097</v>
      </c>
      <c r="O1967" s="10">
        <f t="shared" si="2793"/>
        <v>2.7827046704681724E-2</v>
      </c>
      <c r="Q1967" s="2">
        <v>4.867021715719547E-3</v>
      </c>
    </row>
    <row r="1968" spans="1:17" x14ac:dyDescent="0.35">
      <c r="H1968" s="2">
        <v>1</v>
      </c>
      <c r="I1968" s="2">
        <v>0</v>
      </c>
      <c r="J1968" s="2">
        <v>0</v>
      </c>
      <c r="L1968" s="2">
        <v>-1</v>
      </c>
      <c r="M1968" s="2">
        <v>-0.31823356556618104</v>
      </c>
      <c r="N1968" s="2">
        <v>0.27915018853156592</v>
      </c>
      <c r="O1968" s="10">
        <f t="shared" si="2793"/>
        <v>0</v>
      </c>
      <c r="Q1968" s="2">
        <v>-0.15829483256006352</v>
      </c>
    </row>
    <row r="1971" spans="1:17" x14ac:dyDescent="0.35">
      <c r="A1971" s="1" t="s">
        <v>9</v>
      </c>
      <c r="B1971" s="2">
        <f t="shared" ref="B1971" si="2797">IF(AND((B1962 = B1953), ABS(B1966-B1957) &lt; 0.001),B1962+0.1,B1962)</f>
        <v>5.0999999999999996</v>
      </c>
    </row>
    <row r="1972" spans="1:17" x14ac:dyDescent="0.35">
      <c r="C1972" s="1" t="s">
        <v>3</v>
      </c>
    </row>
    <row r="1973" spans="1:17" x14ac:dyDescent="0.35">
      <c r="A1973" s="1" t="s">
        <v>782</v>
      </c>
      <c r="B1973" s="4">
        <f t="shared" ref="B1973:B1974" si="2798">C1973*180/PI()</f>
        <v>372.56580628381772</v>
      </c>
      <c r="C1973" s="2">
        <f t="shared" ref="C1973:C1974" si="2799">C1964+Q1966</f>
        <v>6.5024999999999995</v>
      </c>
      <c r="E1973" s="7" t="s">
        <v>783</v>
      </c>
      <c r="F1973" s="6">
        <f t="shared" ref="F1973" si="2800">-B1975*COS(B$6)+B$1*COS(C1973)+B$2*COS(C1974)-B$3*COS(C$4)</f>
        <v>-6.7682325298232748E-5</v>
      </c>
      <c r="H1973" s="11" t="s">
        <v>14</v>
      </c>
      <c r="I1973" s="12"/>
      <c r="J1973" s="13"/>
      <c r="L1973" s="11" t="s">
        <v>784</v>
      </c>
      <c r="M1973" s="12"/>
      <c r="N1973" s="13"/>
      <c r="O1973" s="14" t="s">
        <v>18</v>
      </c>
      <c r="Q1973" s="16" t="s">
        <v>19</v>
      </c>
    </row>
    <row r="1974" spans="1:17" x14ac:dyDescent="0.35">
      <c r="A1974" s="1" t="s">
        <v>785</v>
      </c>
      <c r="B1974" s="4">
        <f t="shared" si="2798"/>
        <v>17.931676318346316</v>
      </c>
      <c r="C1974" s="2">
        <f t="shared" si="2799"/>
        <v>0.3129667921570381</v>
      </c>
      <c r="E1974" s="7" t="s">
        <v>786</v>
      </c>
      <c r="F1974" s="6">
        <f t="shared" ref="F1974" si="2801">-B1975*SIN(B$6)+B$1*SIN(C1973)+B$2*SIN(C1974)-B$3*SIN(C$4)</f>
        <v>-2.165977416135334E-5</v>
      </c>
      <c r="H1974" s="8" t="s">
        <v>16</v>
      </c>
      <c r="I1974" s="8" t="s">
        <v>15</v>
      </c>
      <c r="J1974" s="9" t="s">
        <v>8</v>
      </c>
      <c r="L1974" s="8" t="s">
        <v>16</v>
      </c>
      <c r="M1974" s="8" t="s">
        <v>15</v>
      </c>
      <c r="N1974" s="9" t="s">
        <v>8</v>
      </c>
      <c r="O1974" s="15"/>
      <c r="Q1974" s="17"/>
    </row>
    <row r="1975" spans="1:17" x14ac:dyDescent="0.35">
      <c r="A1975" s="1" t="s">
        <v>8</v>
      </c>
      <c r="B1975" s="4">
        <f t="shared" ref="B1975" si="2802">B1966+Q1968</f>
        <v>8.6367540127457012</v>
      </c>
      <c r="C1975" s="2"/>
      <c r="E1975" s="7" t="s">
        <v>787</v>
      </c>
      <c r="F1975" s="6">
        <f>C1973-F$3*B1971-0.5*(F$4)*B1971^2</f>
        <v>0</v>
      </c>
      <c r="H1975" s="2">
        <f t="shared" ref="H1975" si="2803">-B$1*SIN(C1973)</f>
        <v>-0.6526823470779789</v>
      </c>
      <c r="I1975" s="2">
        <f t="shared" ref="I1975" si="2804">-B$2*SIN(C1974)</f>
        <v>-1.8472959931478599</v>
      </c>
      <c r="J1975" s="2">
        <f t="shared" ref="J1975" si="2805">-COS(B$6)</f>
        <v>-1</v>
      </c>
      <c r="L1975" s="2" cm="1">
        <f t="array" ref="L1975:N1977">MINVERSE(H1975:J1977)</f>
        <v>0</v>
      </c>
      <c r="M1975" s="2">
        <v>0</v>
      </c>
      <c r="N1975" s="2">
        <v>1</v>
      </c>
      <c r="O1975" s="10">
        <f t="shared" ref="O1975:O1977" si="2806">-F1973</f>
        <v>6.7682325298232748E-5</v>
      </c>
      <c r="Q1975" s="2" cm="1">
        <f t="array" ref="Q1975:Q1977">MMULT(L1975:N1977,O1975:O1977)</f>
        <v>0</v>
      </c>
    </row>
    <row r="1976" spans="1:17" x14ac:dyDescent="0.35">
      <c r="H1976" s="2">
        <f t="shared" ref="H1976" si="2807">B$1*COS(C1973)</f>
        <v>2.9281403234498136</v>
      </c>
      <c r="I1976" s="2">
        <f t="shared" ref="I1976" si="2808">B$2*COS(C1974)</f>
        <v>5.7085460069705896</v>
      </c>
      <c r="J1976" s="2">
        <f t="shared" ref="J1976" si="2809">-SIN(B$6)</f>
        <v>0</v>
      </c>
      <c r="L1976" s="2">
        <v>0</v>
      </c>
      <c r="M1976" s="2">
        <v>0.17517595527458663</v>
      </c>
      <c r="N1976" s="2">
        <v>-0.51293977833835813</v>
      </c>
      <c r="O1976" s="10">
        <f t="shared" si="2806"/>
        <v>2.165977416135334E-5</v>
      </c>
      <c r="Q1976" s="2">
        <v>3.7942716297468799E-6</v>
      </c>
    </row>
    <row r="1977" spans="1:17" x14ac:dyDescent="0.35">
      <c r="H1977" s="2">
        <v>1</v>
      </c>
      <c r="I1977" s="2">
        <v>0</v>
      </c>
      <c r="J1977" s="2">
        <v>0</v>
      </c>
      <c r="L1977" s="2">
        <v>-1</v>
      </c>
      <c r="M1977" s="2">
        <v>-0.3236018402745926</v>
      </c>
      <c r="N1977" s="2">
        <v>0.29486925017262144</v>
      </c>
      <c r="O1977" s="10">
        <f t="shared" si="2806"/>
        <v>0</v>
      </c>
      <c r="Q1977" s="2">
        <v>-7.469146807677876E-5</v>
      </c>
    </row>
    <row r="1980" spans="1:17" x14ac:dyDescent="0.35">
      <c r="A1980" s="1" t="s">
        <v>9</v>
      </c>
      <c r="B1980" s="2">
        <f t="shared" ref="B1980" si="2810">IF(AND((B1971 = B1962), ABS(B1975-B1966) &lt; 0.001),B1971+0.1,B1971)</f>
        <v>5.0999999999999996</v>
      </c>
    </row>
    <row r="1981" spans="1:17" x14ac:dyDescent="0.35">
      <c r="C1981" s="1" t="s">
        <v>3</v>
      </c>
    </row>
    <row r="1982" spans="1:17" x14ac:dyDescent="0.35">
      <c r="A1982" s="1" t="s">
        <v>788</v>
      </c>
      <c r="B1982" s="4">
        <f t="shared" ref="B1982:B1983" si="2811">C1982*180/PI()</f>
        <v>372.56580628381772</v>
      </c>
      <c r="C1982" s="2">
        <f t="shared" ref="C1982:C1983" si="2812">C1973+Q1975</f>
        <v>6.5024999999999995</v>
      </c>
      <c r="E1982" s="7" t="s">
        <v>789</v>
      </c>
      <c r="F1982" s="6">
        <f t="shared" ref="F1982" si="2813">-B1984*COS(B$6)+B$1*COS(C1982)+B$2*COS(C1983)-B$3*COS(C$4)</f>
        <v>-4.1090839552563457E-11</v>
      </c>
      <c r="H1982" s="11" t="s">
        <v>14</v>
      </c>
      <c r="I1982" s="12"/>
      <c r="J1982" s="13"/>
      <c r="L1982" s="11" t="s">
        <v>790</v>
      </c>
      <c r="M1982" s="12"/>
      <c r="N1982" s="13"/>
      <c r="O1982" s="14" t="s">
        <v>18</v>
      </c>
      <c r="Q1982" s="16" t="s">
        <v>19</v>
      </c>
    </row>
    <row r="1983" spans="1:17" x14ac:dyDescent="0.35">
      <c r="A1983" s="1" t="s">
        <v>791</v>
      </c>
      <c r="B1983" s="4">
        <f t="shared" si="2811"/>
        <v>17.931893714097026</v>
      </c>
      <c r="C1983" s="2">
        <f t="shared" si="2812"/>
        <v>0.31297058642866782</v>
      </c>
      <c r="E1983" s="7" t="s">
        <v>792</v>
      </c>
      <c r="F1983" s="6">
        <f t="shared" ref="F1983" si="2814">-B1984*SIN(B$6)+B$1*SIN(C1982)+B$2*SIN(C1983)-B$3*SIN(C$4)</f>
        <v>-1.3297363210540425E-11</v>
      </c>
      <c r="H1983" s="8" t="s">
        <v>16</v>
      </c>
      <c r="I1983" s="8" t="s">
        <v>15</v>
      </c>
      <c r="J1983" s="9" t="s">
        <v>8</v>
      </c>
      <c r="L1983" s="8" t="s">
        <v>16</v>
      </c>
      <c r="M1983" s="8" t="s">
        <v>15</v>
      </c>
      <c r="N1983" s="9" t="s">
        <v>8</v>
      </c>
      <c r="O1983" s="15"/>
      <c r="Q1983" s="17"/>
    </row>
    <row r="1984" spans="1:17" x14ac:dyDescent="0.35">
      <c r="A1984" s="1" t="s">
        <v>8</v>
      </c>
      <c r="B1984" s="4">
        <f t="shared" ref="B1984" si="2815">B1975+Q1977</f>
        <v>8.6366793212776241</v>
      </c>
      <c r="C1984" s="2"/>
      <c r="E1984" s="7" t="s">
        <v>793</v>
      </c>
      <c r="F1984" s="6">
        <f>C1982-F$3*B1980-0.5*(F$4)*B1980^2</f>
        <v>0</v>
      </c>
      <c r="H1984" s="2">
        <f t="shared" ref="H1984" si="2816">-B$1*SIN(C1982)</f>
        <v>-0.6526823470779789</v>
      </c>
      <c r="I1984" s="2">
        <f t="shared" ref="I1984" si="2817">-B$2*SIN(C1983)</f>
        <v>-1.8473176529087239</v>
      </c>
      <c r="J1984" s="2">
        <f t="shared" ref="J1984" si="2818">-COS(B$6)</f>
        <v>-1</v>
      </c>
      <c r="L1984" s="2" cm="1">
        <f t="array" ref="L1984:N1986">MINVERSE(H1984:J1986)</f>
        <v>0</v>
      </c>
      <c r="M1984" s="2">
        <v>0</v>
      </c>
      <c r="N1984" s="2">
        <v>1</v>
      </c>
      <c r="O1984" s="10">
        <f t="shared" ref="O1984:O1986" si="2819">-F1982</f>
        <v>4.1090839552563457E-11</v>
      </c>
      <c r="Q1984" s="2" cm="1">
        <f t="array" ref="Q1984:Q1986">MMULT(L1984:N1986,O1984:O1986)</f>
        <v>0</v>
      </c>
    </row>
    <row r="1985" spans="1:17" x14ac:dyDescent="0.35">
      <c r="H1985" s="2">
        <f t="shared" ref="H1985" si="2820">B$1*COS(C1982)</f>
        <v>2.9281403234498136</v>
      </c>
      <c r="I1985" s="2">
        <f t="shared" ref="I1985" si="2821">B$2*COS(C1983)</f>
        <v>5.7085389977867198</v>
      </c>
      <c r="J1985" s="2">
        <f t="shared" ref="J1985" si="2822">-SIN(B$6)</f>
        <v>0</v>
      </c>
      <c r="L1985" s="2">
        <v>0</v>
      </c>
      <c r="M1985" s="2">
        <v>0.17517617036297972</v>
      </c>
      <c r="N1985" s="2">
        <v>-0.51294040814735509</v>
      </c>
      <c r="O1985" s="10">
        <f t="shared" si="2819"/>
        <v>1.3297363210540425E-11</v>
      </c>
      <c r="Q1985" s="2">
        <v>2.3293811631480485E-12</v>
      </c>
    </row>
    <row r="1986" spans="1:17" x14ac:dyDescent="0.35">
      <c r="H1986" s="2">
        <v>1</v>
      </c>
      <c r="I1986" s="2">
        <v>0</v>
      </c>
      <c r="J1986" s="2">
        <v>0</v>
      </c>
      <c r="L1986" s="2">
        <v>-1</v>
      </c>
      <c r="M1986" s="2">
        <v>-0.32360603188047843</v>
      </c>
      <c r="N1986" s="2">
        <v>0.29488152378283594</v>
      </c>
      <c r="O1986" s="10">
        <f t="shared" si="2819"/>
        <v>0</v>
      </c>
      <c r="Q1986" s="2">
        <v>-4.5393946495599901E-11</v>
      </c>
    </row>
    <row r="1989" spans="1:17" x14ac:dyDescent="0.35">
      <c r="A1989" s="1" t="s">
        <v>9</v>
      </c>
      <c r="B1989" s="2">
        <f t="shared" ref="B1989" si="2823">IF(AND((B1980 = B1971), ABS(B1984-B1975) &lt; 0.001),B1980+0.1,B1980)</f>
        <v>5.1999999999999993</v>
      </c>
    </row>
    <row r="1990" spans="1:17" x14ac:dyDescent="0.35">
      <c r="C1990" s="1" t="s">
        <v>3</v>
      </c>
    </row>
    <row r="1991" spans="1:17" x14ac:dyDescent="0.35">
      <c r="A1991" s="1" t="s">
        <v>794</v>
      </c>
      <c r="B1991" s="4">
        <f t="shared" ref="B1991:B1992" si="2824">C1991*180/PI()</f>
        <v>372.56580628381772</v>
      </c>
      <c r="C1991" s="2">
        <f t="shared" ref="C1991:C1992" si="2825">C1982+Q1984</f>
        <v>6.5024999999999995</v>
      </c>
      <c r="E1991" s="7" t="s">
        <v>795</v>
      </c>
      <c r="F1991" s="6">
        <f t="shared" ref="F1991" si="2826">-B1993*COS(B$6)+B$1*COS(C1991)+B$2*COS(C1992)-B$3*COS(C$4)</f>
        <v>-1.531435568635775E-16</v>
      </c>
      <c r="H1991" s="11" t="s">
        <v>14</v>
      </c>
      <c r="I1991" s="12"/>
      <c r="J1991" s="13"/>
      <c r="L1991" s="11" t="s">
        <v>796</v>
      </c>
      <c r="M1991" s="12"/>
      <c r="N1991" s="13"/>
      <c r="O1991" s="14" t="s">
        <v>18</v>
      </c>
      <c r="Q1991" s="16" t="s">
        <v>19</v>
      </c>
    </row>
    <row r="1992" spans="1:17" x14ac:dyDescent="0.35">
      <c r="A1992" s="1" t="s">
        <v>797</v>
      </c>
      <c r="B1992" s="4">
        <f t="shared" si="2824"/>
        <v>17.931893714230487</v>
      </c>
      <c r="C1992" s="2">
        <f t="shared" si="2825"/>
        <v>0.31297058643099718</v>
      </c>
      <c r="E1992" s="7" t="s">
        <v>798</v>
      </c>
      <c r="F1992" s="6">
        <f t="shared" ref="F1992" si="2827">-B1993*SIN(B$6)+B$1*SIN(C1991)+B$2*SIN(C1992)-B$3*SIN(C$4)</f>
        <v>0</v>
      </c>
      <c r="H1992" s="8" t="s">
        <v>16</v>
      </c>
      <c r="I1992" s="8" t="s">
        <v>15</v>
      </c>
      <c r="J1992" s="9" t="s">
        <v>8</v>
      </c>
      <c r="L1992" s="8" t="s">
        <v>16</v>
      </c>
      <c r="M1992" s="8" t="s">
        <v>15</v>
      </c>
      <c r="N1992" s="9" t="s">
        <v>8</v>
      </c>
      <c r="O1992" s="15"/>
      <c r="Q1992" s="17"/>
    </row>
    <row r="1993" spans="1:17" x14ac:dyDescent="0.35">
      <c r="A1993" s="1" t="s">
        <v>8</v>
      </c>
      <c r="B1993" s="4">
        <f t="shared" ref="B1993" si="2828">B1984+Q1986</f>
        <v>8.6366793212322293</v>
      </c>
      <c r="C1993" s="2"/>
      <c r="E1993" s="7" t="s">
        <v>799</v>
      </c>
      <c r="F1993" s="6">
        <f>C1991-F$3*B1989-0.5*(F$4)*B1989^2</f>
        <v>-0.25749999999999851</v>
      </c>
      <c r="H1993" s="2">
        <f t="shared" ref="H1993" si="2829">-B$1*SIN(C1991)</f>
        <v>-0.6526823470779789</v>
      </c>
      <c r="I1993" s="2">
        <f t="shared" ref="I1993" si="2830">-B$2*SIN(C1992)</f>
        <v>-1.8473176529220208</v>
      </c>
      <c r="J1993" s="2">
        <f t="shared" ref="J1993" si="2831">-COS(B$6)</f>
        <v>-1</v>
      </c>
      <c r="L1993" s="2" cm="1">
        <f t="array" ref="L1993:N1995">MINVERSE(H1993:J1995)</f>
        <v>0</v>
      </c>
      <c r="M1993" s="2">
        <v>0</v>
      </c>
      <c r="N1993" s="2">
        <v>0.99999999999999989</v>
      </c>
      <c r="O1993" s="10">
        <f t="shared" ref="O1993:O1995" si="2832">-F1991</f>
        <v>1.531435568635775E-16</v>
      </c>
      <c r="Q1993" s="2" cm="1">
        <f t="array" ref="Q1993:Q1995">MMULT(L1993:N1995,O1993:O1995)</f>
        <v>0.25749999999999845</v>
      </c>
    </row>
    <row r="1994" spans="1:17" x14ac:dyDescent="0.35">
      <c r="H1994" s="2">
        <f t="shared" ref="H1994" si="2833">B$1*COS(C1991)</f>
        <v>2.9281403234498136</v>
      </c>
      <c r="I1994" s="2">
        <f t="shared" ref="I1994" si="2834">B$2*COS(C1992)</f>
        <v>5.7085389977824157</v>
      </c>
      <c r="J1994" s="2">
        <f t="shared" ref="J1994" si="2835">-SIN(B$6)</f>
        <v>0</v>
      </c>
      <c r="L1994" s="2">
        <v>0</v>
      </c>
      <c r="M1994" s="2">
        <v>0.17517617036311181</v>
      </c>
      <c r="N1994" s="2">
        <v>-0.51294040814774178</v>
      </c>
      <c r="O1994" s="10">
        <f t="shared" si="2832"/>
        <v>0</v>
      </c>
      <c r="Q1994" s="2">
        <v>-0.13208215509804275</v>
      </c>
    </row>
    <row r="1995" spans="1:17" x14ac:dyDescent="0.35">
      <c r="H1995" s="2">
        <v>1</v>
      </c>
      <c r="I1995" s="2">
        <v>0</v>
      </c>
      <c r="J1995" s="2">
        <v>0</v>
      </c>
      <c r="L1995" s="2">
        <v>-1</v>
      </c>
      <c r="M1995" s="2">
        <v>-0.32360603188305176</v>
      </c>
      <c r="N1995" s="2">
        <v>0.29488152379037097</v>
      </c>
      <c r="O1995" s="10">
        <f t="shared" si="2832"/>
        <v>0.25749999999999851</v>
      </c>
      <c r="Q1995" s="2">
        <v>7.5931992376019927E-2</v>
      </c>
    </row>
    <row r="1998" spans="1:17" x14ac:dyDescent="0.35">
      <c r="A1998" s="1" t="s">
        <v>9</v>
      </c>
      <c r="B1998" s="2">
        <f t="shared" ref="B1998" si="2836">IF(AND((B1989 = B1980), ABS(B1993-B1984) &lt; 0.001),B1989+0.1,B1989)</f>
        <v>5.1999999999999993</v>
      </c>
    </row>
    <row r="1999" spans="1:17" x14ac:dyDescent="0.35">
      <c r="C1999" s="1" t="s">
        <v>3</v>
      </c>
    </row>
    <row r="2000" spans="1:17" x14ac:dyDescent="0.35">
      <c r="A2000" s="1" t="s">
        <v>800</v>
      </c>
      <c r="B2000" s="4">
        <f t="shared" ref="B2000:B2001" si="2837">C2000*180/PI()</f>
        <v>387.31946950843644</v>
      </c>
      <c r="C2000" s="2">
        <f t="shared" ref="C2000:C2001" si="2838">C1991+Q1993</f>
        <v>6.759999999999998</v>
      </c>
      <c r="E2000" s="7" t="s">
        <v>801</v>
      </c>
      <c r="F2000" s="6">
        <f t="shared" ref="F2000" si="2839">-B2002*COS(B$6)+B$1*COS(C2000)+B$2*COS(C2001)-B$3*COS(C$4)</f>
        <v>-0.14512183228357339</v>
      </c>
      <c r="H2000" s="11" t="s">
        <v>14</v>
      </c>
      <c r="I2000" s="12"/>
      <c r="J2000" s="13"/>
      <c r="L2000" s="11" t="s">
        <v>802</v>
      </c>
      <c r="M2000" s="12"/>
      <c r="N2000" s="13"/>
      <c r="O2000" s="14" t="s">
        <v>18</v>
      </c>
      <c r="Q2000" s="16" t="s">
        <v>19</v>
      </c>
    </row>
    <row r="2001" spans="1:17" x14ac:dyDescent="0.35">
      <c r="A2001" s="1" t="s">
        <v>803</v>
      </c>
      <c r="B2001" s="4">
        <f t="shared" si="2837"/>
        <v>10.364143678120289</v>
      </c>
      <c r="C2001" s="2">
        <f t="shared" si="2838"/>
        <v>0.18088843133295443</v>
      </c>
      <c r="E2001" s="7" t="s">
        <v>804</v>
      </c>
      <c r="F2001" s="6">
        <f t="shared" ref="F2001" si="2840">-B2002*SIN(B$6)+B$1*SIN(C2000)+B$2*SIN(C2001)-B$3*SIN(C$4)</f>
        <v>-4.3724059551086825E-2</v>
      </c>
      <c r="H2001" s="8" t="s">
        <v>16</v>
      </c>
      <c r="I2001" s="8" t="s">
        <v>15</v>
      </c>
      <c r="J2001" s="9" t="s">
        <v>8</v>
      </c>
      <c r="L2001" s="8" t="s">
        <v>16</v>
      </c>
      <c r="M2001" s="8" t="s">
        <v>15</v>
      </c>
      <c r="N2001" s="9" t="s">
        <v>8</v>
      </c>
      <c r="O2001" s="15"/>
      <c r="Q2001" s="17"/>
    </row>
    <row r="2002" spans="1:17" x14ac:dyDescent="0.35">
      <c r="A2002" s="1" t="s">
        <v>8</v>
      </c>
      <c r="B2002" s="4">
        <f t="shared" ref="B2002" si="2841">B1993+Q1995</f>
        <v>8.7126113136082495</v>
      </c>
      <c r="C2002" s="2"/>
      <c r="E2002" s="7" t="s">
        <v>805</v>
      </c>
      <c r="F2002" s="6">
        <f>C2000-F$3*B1998-0.5*(F$4)*B1998^2</f>
        <v>0</v>
      </c>
      <c r="H2002" s="2">
        <f t="shared" ref="H2002" si="2842">-B$1*SIN(C2000)</f>
        <v>-1.3768544591330663</v>
      </c>
      <c r="I2002" s="2">
        <f t="shared" ref="I2002" si="2843">-B$2*SIN(C2001)</f>
        <v>-1.0794214813158467</v>
      </c>
      <c r="J2002" s="2">
        <f t="shared" ref="J2002" si="2844">-COS(B$6)</f>
        <v>-1</v>
      </c>
      <c r="L2002" s="2" cm="1">
        <f t="array" ref="L2002:N2004">MINVERSE(H2002:J2004)</f>
        <v>0</v>
      </c>
      <c r="M2002" s="2">
        <v>0</v>
      </c>
      <c r="N2002" s="2">
        <v>1</v>
      </c>
      <c r="O2002" s="10">
        <f t="shared" ref="O2002:O2004" si="2845">-F2000</f>
        <v>0.14512183228357339</v>
      </c>
      <c r="Q2002" s="2" cm="1">
        <f t="array" ref="Q2002:Q2004">MMULT(L2002:N2004,O2002:O2004)</f>
        <v>0</v>
      </c>
    </row>
    <row r="2003" spans="1:17" x14ac:dyDescent="0.35">
      <c r="H2003" s="2">
        <f t="shared" ref="H2003" si="2846">B$1*COS(C2000)</f>
        <v>2.6653839870392768</v>
      </c>
      <c r="I2003" s="2">
        <f t="shared" ref="I2003" si="2847">B$2*COS(C2001)</f>
        <v>5.902105494285399</v>
      </c>
      <c r="J2003" s="2">
        <f t="shared" ref="J2003" si="2848">-SIN(B$6)</f>
        <v>0</v>
      </c>
      <c r="L2003" s="2">
        <v>0</v>
      </c>
      <c r="M2003" s="2">
        <v>0.16943106167252195</v>
      </c>
      <c r="N2003" s="2">
        <v>-0.45159883868900413</v>
      </c>
      <c r="O2003" s="10">
        <f t="shared" si="2845"/>
        <v>4.3724059551086825E-2</v>
      </c>
      <c r="Q2003" s="2">
        <v>7.4082138303732141E-3</v>
      </c>
    </row>
    <row r="2004" spans="1:17" x14ac:dyDescent="0.35">
      <c r="H2004" s="2">
        <v>1</v>
      </c>
      <c r="I2004" s="2">
        <v>0</v>
      </c>
      <c r="J2004" s="2">
        <v>0</v>
      </c>
      <c r="L2004" s="2">
        <v>-1</v>
      </c>
      <c r="M2004" s="2">
        <v>-0.1828875275714702</v>
      </c>
      <c r="N2004" s="2">
        <v>-0.8893889717148652</v>
      </c>
      <c r="O2004" s="10">
        <f t="shared" si="2845"/>
        <v>0</v>
      </c>
      <c r="Q2004" s="2">
        <v>-0.15311841743025939</v>
      </c>
    </row>
    <row r="2007" spans="1:17" x14ac:dyDescent="0.35">
      <c r="A2007" s="1" t="s">
        <v>9</v>
      </c>
      <c r="B2007" s="2">
        <f t="shared" ref="B2007" si="2849">IF(AND((B1998 = B1989), ABS(B2002-B1993) &lt; 0.001),B1998+0.1,B1998)</f>
        <v>5.1999999999999993</v>
      </c>
    </row>
    <row r="2008" spans="1:17" x14ac:dyDescent="0.35">
      <c r="C2008" s="1" t="s">
        <v>3</v>
      </c>
    </row>
    <row r="2009" spans="1:17" x14ac:dyDescent="0.35">
      <c r="A2009" s="1" t="s">
        <v>806</v>
      </c>
      <c r="B2009" s="4">
        <f t="shared" ref="B2009:B2010" si="2850">C2009*180/PI()</f>
        <v>387.31946950843644</v>
      </c>
      <c r="C2009" s="2">
        <f t="shared" ref="C2009:C2010" si="2851">C2000+Q2002</f>
        <v>6.759999999999998</v>
      </c>
      <c r="E2009" s="7" t="s">
        <v>807</v>
      </c>
      <c r="F2009" s="6">
        <f t="shared" ref="F2009" si="2852">-B2011*COS(B$6)+B$1*COS(C2009)+B$2*COS(C2010)-B$3*COS(C$4)</f>
        <v>-1.6188470655735581E-4</v>
      </c>
      <c r="H2009" s="11" t="s">
        <v>14</v>
      </c>
      <c r="I2009" s="12"/>
      <c r="J2009" s="13"/>
      <c r="L2009" s="11" t="s">
        <v>808</v>
      </c>
      <c r="M2009" s="12"/>
      <c r="N2009" s="13"/>
      <c r="O2009" s="14" t="s">
        <v>18</v>
      </c>
      <c r="Q2009" s="16" t="s">
        <v>19</v>
      </c>
    </row>
    <row r="2010" spans="1:17" x14ac:dyDescent="0.35">
      <c r="A2010" s="1" t="s">
        <v>809</v>
      </c>
      <c r="B2010" s="4">
        <f t="shared" si="2850"/>
        <v>10.788603064331118</v>
      </c>
      <c r="C2010" s="2">
        <f t="shared" si="2851"/>
        <v>0.18829664516332764</v>
      </c>
      <c r="E2010" s="7" t="s">
        <v>810</v>
      </c>
      <c r="F2010" s="6">
        <f t="shared" ref="F2010" si="2853">-B2011*SIN(B$6)+B$1*SIN(C2009)+B$2*SIN(C2010)-B$3*SIN(C$4)</f>
        <v>-3.0020011067666275E-5</v>
      </c>
      <c r="H2010" s="8" t="s">
        <v>16</v>
      </c>
      <c r="I2010" s="8" t="s">
        <v>15</v>
      </c>
      <c r="J2010" s="9" t="s">
        <v>8</v>
      </c>
      <c r="L2010" s="8" t="s">
        <v>16</v>
      </c>
      <c r="M2010" s="8" t="s">
        <v>15</v>
      </c>
      <c r="N2010" s="9" t="s">
        <v>8</v>
      </c>
      <c r="O2010" s="15"/>
      <c r="Q2010" s="17"/>
    </row>
    <row r="2011" spans="1:17" x14ac:dyDescent="0.35">
      <c r="A2011" s="1" t="s">
        <v>8</v>
      </c>
      <c r="B2011" s="4">
        <f t="shared" ref="B2011" si="2854">B2002+Q2004</f>
        <v>8.5594928961779893</v>
      </c>
      <c r="C2011" s="2"/>
      <c r="E2011" s="7" t="s">
        <v>811</v>
      </c>
      <c r="F2011" s="6">
        <f>C2009-F$3*B2007-0.5*(F$4)*B2007^2</f>
        <v>0</v>
      </c>
      <c r="H2011" s="2">
        <f t="shared" ref="H2011" si="2855">-B$1*SIN(C2009)</f>
        <v>-1.3768544591330663</v>
      </c>
      <c r="I2011" s="2">
        <f t="shared" ref="I2011" si="2856">-B$2*SIN(C2010)</f>
        <v>-1.1231155208558661</v>
      </c>
      <c r="J2011" s="2">
        <f t="shared" ref="J2011" si="2857">-COS(B$6)</f>
        <v>-1</v>
      </c>
      <c r="L2011" s="2" cm="1">
        <f t="array" ref="L2011:N2013">MINVERSE(H2011:J2013)</f>
        <v>0</v>
      </c>
      <c r="M2011" s="2">
        <v>4.1653398910766266E-17</v>
      </c>
      <c r="N2011" s="2">
        <v>1</v>
      </c>
      <c r="O2011" s="10">
        <f t="shared" ref="O2011:O2013" si="2858">-F2009</f>
        <v>1.6188470655735581E-4</v>
      </c>
      <c r="Q2011" s="2" cm="1">
        <f t="array" ref="Q2011:Q2013">MMULT(L2011:N2013,O2011:O2013)</f>
        <v>1.2504354963071217E-21</v>
      </c>
    </row>
    <row r="2012" spans="1:17" x14ac:dyDescent="0.35">
      <c r="H2012" s="2">
        <f t="shared" ref="H2012" si="2859">B$1*COS(C2009)</f>
        <v>2.6653839870392768</v>
      </c>
      <c r="I2012" s="2">
        <f t="shared" ref="I2012" si="2860">B$2*COS(C2010)</f>
        <v>5.8939470244321548</v>
      </c>
      <c r="J2012" s="2">
        <f t="shared" ref="J2012" si="2861">-SIN(B$6)</f>
        <v>0</v>
      </c>
      <c r="L2012" s="2">
        <v>0</v>
      </c>
      <c r="M2012" s="2">
        <v>0.16966559011384119</v>
      </c>
      <c r="N2012" s="2">
        <v>-0.45222394704100177</v>
      </c>
      <c r="O2012" s="10">
        <f t="shared" si="2858"/>
        <v>3.0020011067666275E-5</v>
      </c>
      <c r="Q2012" s="2">
        <v>5.093362893019642E-6</v>
      </c>
    </row>
    <row r="2013" spans="1:17" x14ac:dyDescent="0.35">
      <c r="H2013" s="2">
        <v>1</v>
      </c>
      <c r="I2013" s="2">
        <v>0</v>
      </c>
      <c r="J2013" s="2">
        <v>0</v>
      </c>
      <c r="L2013" s="2">
        <v>-1</v>
      </c>
      <c r="M2013" s="2">
        <v>-0.1905540576120246</v>
      </c>
      <c r="N2013" s="2">
        <v>-0.86895472530861584</v>
      </c>
      <c r="O2013" s="10">
        <f t="shared" si="2858"/>
        <v>0</v>
      </c>
      <c r="Q2013" s="2">
        <v>-1.6760514147585751E-4</v>
      </c>
    </row>
    <row r="2016" spans="1:17" x14ac:dyDescent="0.35">
      <c r="A2016" s="1" t="s">
        <v>9</v>
      </c>
      <c r="B2016" s="2">
        <f t="shared" ref="B2016" si="2862">IF(AND((B2007 = B1998), ABS(B2011-B2002) &lt; 0.001),B2007+0.1,B2007)</f>
        <v>5.1999999999999993</v>
      </c>
    </row>
    <row r="2017" spans="1:17" x14ac:dyDescent="0.35">
      <c r="C2017" s="1" t="s">
        <v>3</v>
      </c>
    </row>
    <row r="2018" spans="1:17" x14ac:dyDescent="0.35">
      <c r="A2018" s="1" t="s">
        <v>812</v>
      </c>
      <c r="B2018" s="4">
        <f t="shared" ref="B2018:B2019" si="2863">C2018*180/PI()</f>
        <v>387.31946950843644</v>
      </c>
      <c r="C2018" s="2">
        <f t="shared" ref="C2018:C2019" si="2864">C2009+Q2011</f>
        <v>6.759999999999998</v>
      </c>
      <c r="E2018" s="7" t="s">
        <v>813</v>
      </c>
      <c r="F2018" s="6">
        <f t="shared" ref="F2018" si="2865">-B2020*COS(B$6)+B$1*COS(C2018)+B$2*COS(C2019)-B$3*COS(C$4)</f>
        <v>-7.6450998797664843E-11</v>
      </c>
      <c r="H2018" s="11" t="s">
        <v>14</v>
      </c>
      <c r="I2018" s="12"/>
      <c r="J2018" s="13"/>
      <c r="L2018" s="11" t="s">
        <v>814</v>
      </c>
      <c r="M2018" s="12"/>
      <c r="N2018" s="13"/>
      <c r="O2018" s="14" t="s">
        <v>18</v>
      </c>
      <c r="Q2018" s="16" t="s">
        <v>19</v>
      </c>
    </row>
    <row r="2019" spans="1:17" x14ac:dyDescent="0.35">
      <c r="A2019" s="1" t="s">
        <v>815</v>
      </c>
      <c r="B2019" s="4">
        <f t="shared" si="2863"/>
        <v>10.788894892528418</v>
      </c>
      <c r="C2019" s="2">
        <f t="shared" si="2864"/>
        <v>0.18830173852622067</v>
      </c>
      <c r="E2019" s="7" t="s">
        <v>816</v>
      </c>
      <c r="F2019" s="6">
        <f t="shared" ref="F2019" si="2866">-B2020*SIN(B$6)+B$1*SIN(C2018)+B$2*SIN(C2019)-B$3*SIN(C$4)</f>
        <v>-1.4567902439921454E-11</v>
      </c>
      <c r="H2019" s="8" t="s">
        <v>16</v>
      </c>
      <c r="I2019" s="8" t="s">
        <v>15</v>
      </c>
      <c r="J2019" s="9" t="s">
        <v>8</v>
      </c>
      <c r="L2019" s="8" t="s">
        <v>16</v>
      </c>
      <c r="M2019" s="8" t="s">
        <v>15</v>
      </c>
      <c r="N2019" s="9" t="s">
        <v>8</v>
      </c>
      <c r="O2019" s="15"/>
      <c r="Q2019" s="17"/>
    </row>
    <row r="2020" spans="1:17" x14ac:dyDescent="0.35">
      <c r="A2020" s="1" t="s">
        <v>8</v>
      </c>
      <c r="B2020" s="4">
        <f t="shared" ref="B2020" si="2867">B2011+Q2013</f>
        <v>8.5593252910365134</v>
      </c>
      <c r="C2020" s="2"/>
      <c r="E2020" s="7" t="s">
        <v>817</v>
      </c>
      <c r="F2020" s="6">
        <f>C2018-F$3*B2016-0.5*(F$4)*B2016^2</f>
        <v>0</v>
      </c>
      <c r="H2020" s="2">
        <f t="shared" ref="H2020" si="2868">-B$1*SIN(C2018)</f>
        <v>-1.3768544591330663</v>
      </c>
      <c r="I2020" s="2">
        <f t="shared" ref="I2020" si="2869">-B$2*SIN(C2019)</f>
        <v>-1.1231455408523656</v>
      </c>
      <c r="J2020" s="2">
        <f t="shared" ref="J2020" si="2870">-COS(B$6)</f>
        <v>-1</v>
      </c>
      <c r="L2020" s="2" cm="1">
        <f t="array" ref="L2020:N2022">MINVERSE(H2020:J2022)</f>
        <v>0</v>
      </c>
      <c r="M2020" s="2">
        <v>0</v>
      </c>
      <c r="N2020" s="2">
        <v>0.99999999999999978</v>
      </c>
      <c r="O2020" s="10">
        <f t="shared" ref="O2020:O2022" si="2871">-F2018</f>
        <v>7.6450998797664843E-11</v>
      </c>
      <c r="Q2020" s="2" cm="1">
        <f t="array" ref="Q2020:Q2022">MMULT(L2020:N2022,O2020:O2022)</f>
        <v>0</v>
      </c>
    </row>
    <row r="2021" spans="1:17" x14ac:dyDescent="0.35">
      <c r="H2021" s="2">
        <f t="shared" ref="H2021" si="2872">B$1*COS(C2018)</f>
        <v>2.6653839870392768</v>
      </c>
      <c r="I2021" s="2">
        <f t="shared" ref="I2021" si="2873">B$2*COS(C2019)</f>
        <v>5.8939413039207853</v>
      </c>
      <c r="J2021" s="2">
        <f t="shared" ref="J2021" si="2874">-SIN(B$6)</f>
        <v>0</v>
      </c>
      <c r="L2021" s="2">
        <v>0</v>
      </c>
      <c r="M2021" s="2">
        <v>0.16966575478700086</v>
      </c>
      <c r="N2021" s="2">
        <v>-0.45222438595820452</v>
      </c>
      <c r="O2021" s="10">
        <f t="shared" si="2871"/>
        <v>1.4567902439921454E-11</v>
      </c>
      <c r="Q2021" s="2">
        <v>2.4716741631326648E-12</v>
      </c>
    </row>
    <row r="2022" spans="1:17" x14ac:dyDescent="0.35">
      <c r="H2022" s="2">
        <v>1</v>
      </c>
      <c r="I2022" s="2">
        <v>0</v>
      </c>
      <c r="J2022" s="2">
        <v>0</v>
      </c>
      <c r="L2022" s="2">
        <v>-1</v>
      </c>
      <c r="M2022" s="2">
        <v>-0.19055933592437091</v>
      </c>
      <c r="N2022" s="2">
        <v>-0.86894065657940944</v>
      </c>
      <c r="O2022" s="10">
        <f t="shared" si="2871"/>
        <v>0</v>
      </c>
      <c r="Q2022" s="2">
        <v>-7.9227048612427293E-11</v>
      </c>
    </row>
    <row r="2025" spans="1:17" x14ac:dyDescent="0.35">
      <c r="A2025" s="1" t="s">
        <v>9</v>
      </c>
      <c r="B2025" s="2">
        <f t="shared" ref="B2025" si="2875">IF(AND((B2016 = B2007), ABS(B2020-B2011) &lt; 0.001),B2016+0.1,B2016)</f>
        <v>5.2999999999999989</v>
      </c>
    </row>
    <row r="2026" spans="1:17" x14ac:dyDescent="0.35">
      <c r="C2026" s="1" t="s">
        <v>3</v>
      </c>
    </row>
    <row r="2027" spans="1:17" x14ac:dyDescent="0.35">
      <c r="A2027" s="1" t="s">
        <v>818</v>
      </c>
      <c r="B2027" s="4">
        <f t="shared" ref="B2027:B2028" si="2876">C2027*180/PI()</f>
        <v>387.31946950843644</v>
      </c>
      <c r="C2027" s="2">
        <f t="shared" ref="C2027:C2028" si="2877">C2018+Q2020</f>
        <v>6.759999999999998</v>
      </c>
      <c r="E2027" s="7" t="s">
        <v>819</v>
      </c>
      <c r="F2027" s="6">
        <f t="shared" ref="F2027" si="2878">-B2029*COS(B$6)+B$1*COS(C2027)+B$2*COS(C2028)-B$3*COS(C$4)</f>
        <v>7.3503486283654773E-16</v>
      </c>
      <c r="H2027" s="11" t="s">
        <v>14</v>
      </c>
      <c r="I2027" s="12"/>
      <c r="J2027" s="13"/>
      <c r="L2027" s="11" t="s">
        <v>820</v>
      </c>
      <c r="M2027" s="12"/>
      <c r="N2027" s="13"/>
      <c r="O2027" s="14" t="s">
        <v>18</v>
      </c>
      <c r="Q2027" s="16" t="s">
        <v>19</v>
      </c>
    </row>
    <row r="2028" spans="1:17" x14ac:dyDescent="0.35">
      <c r="A2028" s="1" t="s">
        <v>821</v>
      </c>
      <c r="B2028" s="4">
        <f t="shared" si="2876"/>
        <v>10.788894892670035</v>
      </c>
      <c r="C2028" s="2">
        <f t="shared" si="2877"/>
        <v>0.18830173852869234</v>
      </c>
      <c r="E2028" s="7" t="s">
        <v>822</v>
      </c>
      <c r="F2028" s="6">
        <f t="shared" ref="F2028" si="2879">-B2029*SIN(B$6)+B$1*SIN(C2027)+B$2*SIN(C2028)-B$3*SIN(C$4)</f>
        <v>0</v>
      </c>
      <c r="H2028" s="8" t="s">
        <v>16</v>
      </c>
      <c r="I2028" s="8" t="s">
        <v>15</v>
      </c>
      <c r="J2028" s="9" t="s">
        <v>8</v>
      </c>
      <c r="L2028" s="8" t="s">
        <v>16</v>
      </c>
      <c r="M2028" s="8" t="s">
        <v>15</v>
      </c>
      <c r="N2028" s="9" t="s">
        <v>8</v>
      </c>
      <c r="O2028" s="15"/>
      <c r="Q2028" s="17"/>
    </row>
    <row r="2029" spans="1:17" x14ac:dyDescent="0.35">
      <c r="A2029" s="1" t="s">
        <v>8</v>
      </c>
      <c r="B2029" s="4">
        <f t="shared" ref="B2029" si="2880">B2020+Q2022</f>
        <v>8.5593252909572861</v>
      </c>
      <c r="C2029" s="2"/>
      <c r="E2029" s="7" t="s">
        <v>823</v>
      </c>
      <c r="F2029" s="6">
        <f>C2027-F$3*B2025-0.5*(F$4)*B2025^2</f>
        <v>-0.26249999999999929</v>
      </c>
      <c r="H2029" s="2">
        <f t="shared" ref="H2029" si="2881">-B$1*SIN(C2027)</f>
        <v>-1.3768544591330663</v>
      </c>
      <c r="I2029" s="2">
        <f t="shared" ref="I2029" si="2882">-B$2*SIN(C2028)</f>
        <v>-1.1231455408669335</v>
      </c>
      <c r="J2029" s="2">
        <f t="shared" ref="J2029" si="2883">-COS(B$6)</f>
        <v>-1</v>
      </c>
      <c r="L2029" s="2" cm="1">
        <f t="array" ref="L2029:N2031">MINVERSE(H2029:J2031)</f>
        <v>0</v>
      </c>
      <c r="M2029" s="2">
        <v>4.1653398910766266E-17</v>
      </c>
      <c r="N2029" s="2">
        <v>1</v>
      </c>
      <c r="O2029" s="10">
        <f t="shared" ref="O2029:O2031" si="2884">-F2027</f>
        <v>-7.3503486283654773E-16</v>
      </c>
      <c r="Q2029" s="2" cm="1">
        <f t="array" ref="Q2029:Q2031">MMULT(L2029:N2031,O2029:O2031)</f>
        <v>0.26249999999999929</v>
      </c>
    </row>
    <row r="2030" spans="1:17" x14ac:dyDescent="0.35">
      <c r="H2030" s="2">
        <f t="shared" ref="H2030" si="2885">B$1*COS(C2027)</f>
        <v>2.6653839870392768</v>
      </c>
      <c r="I2030" s="2">
        <f t="shared" ref="I2030" si="2886">B$2*COS(C2028)</f>
        <v>5.8939413039180097</v>
      </c>
      <c r="J2030" s="2">
        <f t="shared" ref="J2030" si="2887">-SIN(B$6)</f>
        <v>0</v>
      </c>
      <c r="L2030" s="2">
        <v>0</v>
      </c>
      <c r="M2030" s="2">
        <v>0.16966575478708074</v>
      </c>
      <c r="N2030" s="2">
        <v>-0.45222438595841752</v>
      </c>
      <c r="O2030" s="10">
        <f t="shared" si="2884"/>
        <v>0</v>
      </c>
      <c r="Q2030" s="2">
        <v>-0.11870890131408428</v>
      </c>
    </row>
    <row r="2031" spans="1:17" x14ac:dyDescent="0.35">
      <c r="H2031" s="2">
        <v>1</v>
      </c>
      <c r="I2031" s="2">
        <v>0</v>
      </c>
      <c r="J2031" s="2">
        <v>0</v>
      </c>
      <c r="L2031" s="2">
        <v>-1</v>
      </c>
      <c r="M2031" s="2">
        <v>-0.19055933592693236</v>
      </c>
      <c r="N2031" s="2">
        <v>-0.86894065657258224</v>
      </c>
      <c r="O2031" s="10">
        <f t="shared" si="2884"/>
        <v>0.26249999999999929</v>
      </c>
      <c r="Q2031" s="2">
        <v>-0.22809692235030149</v>
      </c>
    </row>
    <row r="2034" spans="1:17" x14ac:dyDescent="0.35">
      <c r="A2034" s="1" t="s">
        <v>9</v>
      </c>
      <c r="B2034" s="2">
        <f t="shared" ref="B2034" si="2888">IF(AND((B2025 = B2016), ABS(B2029-B2020) &lt; 0.001),B2025+0.1,B2025)</f>
        <v>5.2999999999999989</v>
      </c>
    </row>
    <row r="2035" spans="1:17" x14ac:dyDescent="0.35">
      <c r="C2035" s="1" t="s">
        <v>3</v>
      </c>
    </row>
    <row r="2036" spans="1:17" x14ac:dyDescent="0.35">
      <c r="A2036" s="1" t="s">
        <v>824</v>
      </c>
      <c r="B2036" s="4">
        <f t="shared" ref="B2036:B2037" si="2889">C2036*180/PI()</f>
        <v>402.35961163062046</v>
      </c>
      <c r="C2036" s="2">
        <f t="shared" ref="C2036:C2037" si="2890">C2027+Q2029</f>
        <v>7.0224999999999973</v>
      </c>
      <c r="E2036" s="7" t="s">
        <v>825</v>
      </c>
      <c r="F2036" s="6">
        <f t="shared" ref="F2036" si="2891">-B2038*COS(B$6)+B$1*COS(C2036)+B$2*COS(C2037)-B$3*COS(C$4)</f>
        <v>-0.1289605555783952</v>
      </c>
      <c r="H2036" s="11" t="s">
        <v>14</v>
      </c>
      <c r="I2036" s="12"/>
      <c r="J2036" s="13"/>
      <c r="L2036" s="11" t="s">
        <v>826</v>
      </c>
      <c r="M2036" s="12"/>
      <c r="N2036" s="13"/>
      <c r="O2036" s="14" t="s">
        <v>18</v>
      </c>
      <c r="Q2036" s="16" t="s">
        <v>19</v>
      </c>
    </row>
    <row r="2037" spans="1:17" x14ac:dyDescent="0.35">
      <c r="A2037" s="1" t="s">
        <v>827</v>
      </c>
      <c r="B2037" s="4">
        <f t="shared" si="2889"/>
        <v>3.9873758567380135</v>
      </c>
      <c r="C2037" s="2">
        <f t="shared" si="2890"/>
        <v>6.9592837214608058E-2</v>
      </c>
      <c r="E2037" s="7" t="s">
        <v>828</v>
      </c>
      <c r="F2037" s="6">
        <f t="shared" ref="F2037" si="2892">-B2038*SIN(B$6)+B$1*SIN(C2036)+B$2*SIN(C2037)-B$3*SIN(C$4)</f>
        <v>-6.1434917983330006E-2</v>
      </c>
      <c r="H2037" s="8" t="s">
        <v>16</v>
      </c>
      <c r="I2037" s="8" t="s">
        <v>15</v>
      </c>
      <c r="J2037" s="9" t="s">
        <v>8</v>
      </c>
      <c r="L2037" s="8" t="s">
        <v>16</v>
      </c>
      <c r="M2037" s="8" t="s">
        <v>15</v>
      </c>
      <c r="N2037" s="9" t="s">
        <v>8</v>
      </c>
      <c r="O2037" s="15"/>
      <c r="Q2037" s="17"/>
    </row>
    <row r="2038" spans="1:17" x14ac:dyDescent="0.35">
      <c r="A2038" s="1" t="s">
        <v>8</v>
      </c>
      <c r="B2038" s="4">
        <f t="shared" ref="B2038" si="2893">B2029+Q2031</f>
        <v>8.3312283686069843</v>
      </c>
      <c r="C2038" s="2"/>
      <c r="E2038" s="7" t="s">
        <v>829</v>
      </c>
      <c r="F2038" s="6">
        <f>C2036-F$3*B2034-0.5*(F$4)*B2034^2</f>
        <v>0</v>
      </c>
      <c r="H2038" s="2">
        <f t="shared" ref="H2038" si="2894">-B$1*SIN(C2036)</f>
        <v>-2.0213450265728374</v>
      </c>
      <c r="I2038" s="2">
        <f t="shared" ref="I2038" si="2895">-B$2*SIN(C2037)</f>
        <v>-0.41722005544383245</v>
      </c>
      <c r="J2038" s="2">
        <f t="shared" ref="J2038" si="2896">-COS(B$6)</f>
        <v>-1</v>
      </c>
      <c r="L2038" s="2" cm="1">
        <f t="array" ref="L2038:N2040">MINVERSE(H2038:J2040)</f>
        <v>0</v>
      </c>
      <c r="M2038" s="2">
        <v>5.0082430180241662E-17</v>
      </c>
      <c r="N2038" s="2">
        <v>1</v>
      </c>
      <c r="O2038" s="10">
        <f t="shared" ref="O2038:O2040" si="2897">-F2036</f>
        <v>0.1289605555783952</v>
      </c>
      <c r="Q2038" s="2" cm="1">
        <f t="array" ref="Q2038:Q2040">MMULT(L2038:N2040,O2038:O2040)</f>
        <v>3.0768099905289978E-18</v>
      </c>
    </row>
    <row r="2039" spans="1:17" x14ac:dyDescent="0.35">
      <c r="H2039" s="2">
        <f t="shared" ref="H2039" si="2898">B$1*COS(C2036)</f>
        <v>2.2167914388929906</v>
      </c>
      <c r="I2039" s="2">
        <f t="shared" ref="I2039" si="2899">B$2*COS(C2037)</f>
        <v>5.9854763741355992</v>
      </c>
      <c r="J2039" s="2">
        <f t="shared" ref="J2039" si="2900">-SIN(B$6)</f>
        <v>0</v>
      </c>
      <c r="L2039" s="2">
        <v>0</v>
      </c>
      <c r="M2039" s="2">
        <v>0.16707107964224757</v>
      </c>
      <c r="N2039" s="2">
        <v>-0.37036173903754344</v>
      </c>
      <c r="O2039" s="10">
        <f t="shared" si="2897"/>
        <v>6.1434917983330006E-2</v>
      </c>
      <c r="Q2039" s="2">
        <v>1.0263998075207875E-2</v>
      </c>
    </row>
    <row r="2040" spans="1:17" x14ac:dyDescent="0.35">
      <c r="H2040" s="2">
        <v>1</v>
      </c>
      <c r="I2040" s="2">
        <v>0</v>
      </c>
      <c r="J2040" s="2">
        <v>0</v>
      </c>
      <c r="L2040" s="2">
        <v>-1</v>
      </c>
      <c r="M2040" s="2">
        <v>-6.9705405111399568E-2</v>
      </c>
      <c r="N2040" s="2">
        <v>-1.8668226812773194</v>
      </c>
      <c r="O2040" s="10">
        <f t="shared" si="2897"/>
        <v>0</v>
      </c>
      <c r="Q2040" s="2">
        <v>-0.13324290142440881</v>
      </c>
    </row>
    <row r="2043" spans="1:17" x14ac:dyDescent="0.35">
      <c r="A2043" s="1" t="s">
        <v>9</v>
      </c>
      <c r="B2043" s="2">
        <f t="shared" ref="B2043" si="2901">IF(AND((B2034 = B2025), ABS(B2038-B2029) &lt; 0.001),B2034+0.1,B2034)</f>
        <v>5.2999999999999989</v>
      </c>
    </row>
    <row r="2044" spans="1:17" x14ac:dyDescent="0.35">
      <c r="C2044" s="1" t="s">
        <v>3</v>
      </c>
    </row>
    <row r="2045" spans="1:17" x14ac:dyDescent="0.35">
      <c r="A2045" s="1" t="s">
        <v>830</v>
      </c>
      <c r="B2045" s="4">
        <f t="shared" ref="B2045:B2046" si="2902">C2045*180/PI()</f>
        <v>402.35961163062046</v>
      </c>
      <c r="C2045" s="2">
        <f t="shared" ref="C2045:C2046" si="2903">C2036+Q2038</f>
        <v>7.0224999999999973</v>
      </c>
      <c r="E2045" s="7" t="s">
        <v>831</v>
      </c>
      <c r="F2045" s="6">
        <f t="shared" ref="F2045" si="2904">-B2047*COS(B$6)+B$1*COS(C2045)+B$2*COS(C2046)-B$3*COS(C$4)</f>
        <v>-3.1520598184024744E-4</v>
      </c>
      <c r="H2045" s="11" t="s">
        <v>14</v>
      </c>
      <c r="I2045" s="12"/>
      <c r="J2045" s="13"/>
      <c r="L2045" s="11" t="s">
        <v>832</v>
      </c>
      <c r="M2045" s="12"/>
      <c r="N2045" s="13"/>
      <c r="O2045" s="14" t="s">
        <v>18</v>
      </c>
      <c r="Q2045" s="16" t="s">
        <v>19</v>
      </c>
    </row>
    <row r="2046" spans="1:17" x14ac:dyDescent="0.35">
      <c r="A2046" s="1" t="s">
        <v>833</v>
      </c>
      <c r="B2046" s="4">
        <f t="shared" si="2902"/>
        <v>4.5754596273778256</v>
      </c>
      <c r="C2046" s="2">
        <f t="shared" si="2903"/>
        <v>7.9856835289815936E-2</v>
      </c>
      <c r="E2046" s="7" t="s">
        <v>834</v>
      </c>
      <c r="F2046" s="6">
        <f t="shared" ref="F2046" si="2905">-B2047*SIN(B$6)+B$1*SIN(C2045)+B$2*SIN(C2046)-B$3*SIN(C$4)</f>
        <v>-2.3055487391232532E-5</v>
      </c>
      <c r="H2046" s="8" t="s">
        <v>16</v>
      </c>
      <c r="I2046" s="8" t="s">
        <v>15</v>
      </c>
      <c r="J2046" s="9" t="s">
        <v>8</v>
      </c>
      <c r="L2046" s="8" t="s">
        <v>16</v>
      </c>
      <c r="M2046" s="8" t="s">
        <v>15</v>
      </c>
      <c r="N2046" s="9" t="s">
        <v>8</v>
      </c>
      <c r="O2046" s="15"/>
      <c r="Q2046" s="17"/>
    </row>
    <row r="2047" spans="1:17" x14ac:dyDescent="0.35">
      <c r="A2047" s="1" t="s">
        <v>8</v>
      </c>
      <c r="B2047" s="4">
        <f t="shared" ref="B2047" si="2906">B2038+Q2040</f>
        <v>8.1979854671825763</v>
      </c>
      <c r="C2047" s="2"/>
      <c r="E2047" s="7" t="s">
        <v>835</v>
      </c>
      <c r="F2047" s="6">
        <f>C2045-F$3*B2043-0.5*(F$4)*B2043^2</f>
        <v>0</v>
      </c>
      <c r="H2047" s="2">
        <f t="shared" ref="H2047" si="2907">-B$1*SIN(C2045)</f>
        <v>-2.0213450265728374</v>
      </c>
      <c r="I2047" s="2">
        <f t="shared" ref="I2047" si="2908">-B$2*SIN(C2046)</f>
        <v>-0.47863191793977145</v>
      </c>
      <c r="J2047" s="2">
        <f t="shared" ref="J2047" si="2909">-COS(B$6)</f>
        <v>-1</v>
      </c>
      <c r="L2047" s="2" cm="1">
        <f t="array" ref="L2047:N2049">MINVERSE(H2047:J2049)</f>
        <v>0</v>
      </c>
      <c r="M2047" s="2">
        <v>0</v>
      </c>
      <c r="N2047" s="2">
        <v>1</v>
      </c>
      <c r="O2047" s="10">
        <f t="shared" ref="O2047:O2049" si="2910">-F2045</f>
        <v>3.1520598184024744E-4</v>
      </c>
      <c r="Q2047" s="2" cm="1">
        <f t="array" ref="Q2047:Q2049">MMULT(L2047:N2049,O2047:O2049)</f>
        <v>0</v>
      </c>
    </row>
    <row r="2048" spans="1:17" x14ac:dyDescent="0.35">
      <c r="H2048" s="2">
        <f t="shared" ref="H2048" si="2911">B$1*COS(C2045)</f>
        <v>2.2167914388929906</v>
      </c>
      <c r="I2048" s="2">
        <f t="shared" ref="I2048" si="2912">B$2*COS(C2046)</f>
        <v>5.980878822307746</v>
      </c>
      <c r="J2048" s="2">
        <f t="shared" ref="J2048" si="2913">-SIN(B$6)</f>
        <v>0</v>
      </c>
      <c r="L2048" s="2">
        <v>0</v>
      </c>
      <c r="M2048" s="2">
        <v>0.16719950858562055</v>
      </c>
      <c r="N2048" s="2">
        <v>-0.37064643921971868</v>
      </c>
      <c r="O2048" s="10">
        <f t="shared" si="2910"/>
        <v>2.3055487391232532E-5</v>
      </c>
      <c r="Q2048" s="2">
        <v>3.8548661620160504E-6</v>
      </c>
    </row>
    <row r="2049" spans="1:17" x14ac:dyDescent="0.35">
      <c r="H2049" s="2">
        <v>1</v>
      </c>
      <c r="I2049" s="2">
        <v>0</v>
      </c>
      <c r="J2049" s="2">
        <v>0</v>
      </c>
      <c r="L2049" s="2">
        <v>-1</v>
      </c>
      <c r="M2049" s="2">
        <v>-8.0027021472922774E-2</v>
      </c>
      <c r="N2049" s="2">
        <v>-1.8439418104915568</v>
      </c>
      <c r="O2049" s="10">
        <f t="shared" si="2910"/>
        <v>0</v>
      </c>
      <c r="Q2049" s="2">
        <v>-3.1705104382477432E-4</v>
      </c>
    </row>
    <row r="2052" spans="1:17" x14ac:dyDescent="0.35">
      <c r="A2052" s="1" t="s">
        <v>9</v>
      </c>
      <c r="B2052" s="2">
        <f t="shared" ref="B2052" si="2914">IF(AND((B2043 = B2034), ABS(B2047-B2038) &lt; 0.001),B2043+0.1,B2043)</f>
        <v>5.2999999999999989</v>
      </c>
    </row>
    <row r="2053" spans="1:17" x14ac:dyDescent="0.35">
      <c r="C2053" s="1" t="s">
        <v>3</v>
      </c>
    </row>
    <row r="2054" spans="1:17" x14ac:dyDescent="0.35">
      <c r="A2054" s="1" t="s">
        <v>836</v>
      </c>
      <c r="B2054" s="4">
        <f t="shared" ref="B2054:B2055" si="2915">C2054*180/PI()</f>
        <v>402.35961163062046</v>
      </c>
      <c r="C2054" s="2">
        <f t="shared" ref="C2054:C2055" si="2916">C2045+Q2047</f>
        <v>7.0224999999999973</v>
      </c>
      <c r="E2054" s="7" t="s">
        <v>837</v>
      </c>
      <c r="F2054" s="6">
        <f t="shared" ref="F2054" si="2917">-B2056*COS(B$6)+B$1*COS(C2054)+B$2*COS(C2055)-B$3*COS(C$4)</f>
        <v>-4.4438384016413229E-11</v>
      </c>
      <c r="H2054" s="11" t="s">
        <v>14</v>
      </c>
      <c r="I2054" s="12"/>
      <c r="J2054" s="13"/>
      <c r="L2054" s="11" t="s">
        <v>838</v>
      </c>
      <c r="M2054" s="12"/>
      <c r="N2054" s="13"/>
      <c r="O2054" s="14" t="s">
        <v>18</v>
      </c>
      <c r="Q2054" s="16" t="s">
        <v>19</v>
      </c>
    </row>
    <row r="2055" spans="1:17" x14ac:dyDescent="0.35">
      <c r="A2055" s="1" t="s">
        <v>839</v>
      </c>
      <c r="B2055" s="4">
        <f t="shared" si="2915"/>
        <v>4.5756804949394967</v>
      </c>
      <c r="C2055" s="2">
        <f t="shared" si="2916"/>
        <v>7.9860690155977951E-2</v>
      </c>
      <c r="E2055" s="7" t="s">
        <v>840</v>
      </c>
      <c r="F2055" s="6">
        <f t="shared" ref="F2055" si="2918">-B2056*SIN(B$6)+B$1*SIN(C2054)+B$2*SIN(C2055)-B$3*SIN(C$4)</f>
        <v>-3.5562663924793014E-12</v>
      </c>
      <c r="H2055" s="8" t="s">
        <v>16</v>
      </c>
      <c r="I2055" s="8" t="s">
        <v>15</v>
      </c>
      <c r="J2055" s="9" t="s">
        <v>8</v>
      </c>
      <c r="L2055" s="8" t="s">
        <v>16</v>
      </c>
      <c r="M2055" s="8" t="s">
        <v>15</v>
      </c>
      <c r="N2055" s="9" t="s">
        <v>8</v>
      </c>
      <c r="O2055" s="15"/>
      <c r="Q2055" s="17"/>
    </row>
    <row r="2056" spans="1:17" x14ac:dyDescent="0.35">
      <c r="A2056" s="1" t="s">
        <v>8</v>
      </c>
      <c r="B2056" s="4">
        <f t="shared" ref="B2056" si="2919">B2047+Q2049</f>
        <v>8.1976684161387521</v>
      </c>
      <c r="C2056" s="2"/>
      <c r="E2056" s="7" t="s">
        <v>841</v>
      </c>
      <c r="F2056" s="6">
        <f>C2054-F$3*B2052-0.5*(F$4)*B2052^2</f>
        <v>0</v>
      </c>
      <c r="H2056" s="2">
        <f t="shared" ref="H2056" si="2920">-B$1*SIN(C2054)</f>
        <v>-2.0213450265728374</v>
      </c>
      <c r="I2056" s="2">
        <f t="shared" ref="I2056" si="2921">-B$2*SIN(C2055)</f>
        <v>-0.47865497342360636</v>
      </c>
      <c r="J2056" s="2">
        <f t="shared" ref="J2056" si="2922">-COS(B$6)</f>
        <v>-1</v>
      </c>
      <c r="L2056" s="2" cm="1">
        <f t="array" ref="L2056:N2058">MINVERSE(H2056:J2058)</f>
        <v>0</v>
      </c>
      <c r="M2056" s="2">
        <v>5.0082430180241662E-17</v>
      </c>
      <c r="N2056" s="2">
        <v>1</v>
      </c>
      <c r="O2056" s="10">
        <f t="shared" ref="O2056:O2058" si="2923">-F2054</f>
        <v>4.4438384016413229E-11</v>
      </c>
      <c r="Q2056" s="2" cm="1">
        <f t="array" ref="Q2056:Q2058">MMULT(L2056:N2058,O2056:O2058)</f>
        <v>1.7810646330368451E-28</v>
      </c>
    </row>
    <row r="2057" spans="1:17" x14ac:dyDescent="0.35">
      <c r="H2057" s="2">
        <f t="shared" ref="H2057" si="2924">B$1*COS(C2054)</f>
        <v>2.2167914388929906</v>
      </c>
      <c r="I2057" s="2">
        <f t="shared" ref="I2057" si="2925">B$2*COS(C2055)</f>
        <v>5.9808769772013237</v>
      </c>
      <c r="J2057" s="2">
        <f t="shared" ref="J2057" si="2926">-SIN(B$6)</f>
        <v>0</v>
      </c>
      <c r="L2057" s="2">
        <v>0</v>
      </c>
      <c r="M2057" s="2">
        <v>0.16719956016683316</v>
      </c>
      <c r="N2057" s="2">
        <v>-0.37064655356450926</v>
      </c>
      <c r="O2057" s="10">
        <f t="shared" si="2923"/>
        <v>3.5562663924793014E-12</v>
      </c>
      <c r="Q2057" s="2">
        <v>5.9460617665862965E-13</v>
      </c>
    </row>
    <row r="2058" spans="1:17" x14ac:dyDescent="0.35">
      <c r="H2058" s="2">
        <v>1</v>
      </c>
      <c r="I2058" s="2">
        <v>0</v>
      </c>
      <c r="J2058" s="2">
        <v>0</v>
      </c>
      <c r="L2058" s="2">
        <v>-1</v>
      </c>
      <c r="M2058" s="2">
        <v>-8.0030901028094154E-2</v>
      </c>
      <c r="N2058" s="2">
        <v>-1.8439332103268662</v>
      </c>
      <c r="O2058" s="10">
        <f t="shared" si="2923"/>
        <v>0</v>
      </c>
      <c r="Q2058" s="2">
        <v>-4.4722995220099279E-11</v>
      </c>
    </row>
    <row r="2061" spans="1:17" x14ac:dyDescent="0.35">
      <c r="A2061" s="1" t="s">
        <v>9</v>
      </c>
      <c r="B2061" s="2">
        <f t="shared" ref="B2061" si="2927">IF(AND((B2052 = B2043), ABS(B2056-B2047) &lt; 0.001),B2052+0.1,B2052)</f>
        <v>5.3999999999999986</v>
      </c>
    </row>
    <row r="2062" spans="1:17" x14ac:dyDescent="0.35">
      <c r="C2062" s="1" t="s">
        <v>3</v>
      </c>
    </row>
    <row r="2063" spans="1:17" x14ac:dyDescent="0.35">
      <c r="A2063" s="1" t="s">
        <v>842</v>
      </c>
      <c r="B2063" s="4">
        <f t="shared" ref="B2063:B2064" si="2928">C2063*180/PI()</f>
        <v>402.35961163062046</v>
      </c>
      <c r="C2063" s="2">
        <f t="shared" ref="C2063:C2064" si="2929">C2054+Q2056</f>
        <v>7.0224999999999973</v>
      </c>
      <c r="E2063" s="7" t="s">
        <v>843</v>
      </c>
      <c r="F2063" s="6">
        <f t="shared" ref="F2063" si="2930">-B2065*COS(B$6)+B$1*COS(C2063)+B$2*COS(C2064)-B$3*COS(C$4)</f>
        <v>7.3503486283654773E-16</v>
      </c>
      <c r="H2063" s="11" t="s">
        <v>14</v>
      </c>
      <c r="I2063" s="12"/>
      <c r="J2063" s="13"/>
      <c r="L2063" s="11" t="s">
        <v>844</v>
      </c>
      <c r="M2063" s="12"/>
      <c r="N2063" s="13"/>
      <c r="O2063" s="14" t="s">
        <v>18</v>
      </c>
      <c r="Q2063" s="16" t="s">
        <v>19</v>
      </c>
    </row>
    <row r="2064" spans="1:17" x14ac:dyDescent="0.35">
      <c r="A2064" s="1" t="s">
        <v>845</v>
      </c>
      <c r="B2064" s="4">
        <f t="shared" si="2928"/>
        <v>4.5756804949735645</v>
      </c>
      <c r="C2064" s="2">
        <f t="shared" si="2929"/>
        <v>7.9860690156572559E-2</v>
      </c>
      <c r="E2064" s="7" t="s">
        <v>846</v>
      </c>
      <c r="F2064" s="6">
        <f t="shared" ref="F2064" si="2931">-B2065*SIN(B$6)+B$1*SIN(C2063)+B$2*SIN(C2064)-B$3*SIN(C$4)</f>
        <v>0</v>
      </c>
      <c r="H2064" s="8" t="s">
        <v>16</v>
      </c>
      <c r="I2064" s="8" t="s">
        <v>15</v>
      </c>
      <c r="J2064" s="9" t="s">
        <v>8</v>
      </c>
      <c r="L2064" s="8" t="s">
        <v>16</v>
      </c>
      <c r="M2064" s="8" t="s">
        <v>15</v>
      </c>
      <c r="N2064" s="9" t="s">
        <v>8</v>
      </c>
      <c r="O2064" s="15"/>
      <c r="Q2064" s="17"/>
    </row>
    <row r="2065" spans="1:17" x14ac:dyDescent="0.35">
      <c r="A2065" s="1" t="s">
        <v>8</v>
      </c>
      <c r="B2065" s="4">
        <f t="shared" ref="B2065" si="2932">B2056+Q2058</f>
        <v>8.1976684160940287</v>
      </c>
      <c r="C2065" s="2"/>
      <c r="E2065" s="7" t="s">
        <v>847</v>
      </c>
      <c r="F2065" s="6">
        <f>C2063-F$3*B2061-0.5*(F$4)*B2061^2</f>
        <v>-0.26749999999999918</v>
      </c>
      <c r="H2065" s="2">
        <f t="shared" ref="H2065" si="2933">-B$1*SIN(C2063)</f>
        <v>-2.0213450265728374</v>
      </c>
      <c r="I2065" s="2">
        <f t="shared" ref="I2065" si="2934">-B$2*SIN(C2064)</f>
        <v>-0.47865497342716257</v>
      </c>
      <c r="J2065" s="2">
        <f t="shared" ref="J2065" si="2935">-COS(B$6)</f>
        <v>-1</v>
      </c>
      <c r="L2065" s="2" cm="1">
        <f t="array" ref="L2065:N2067">MINVERSE(H2065:J2067)</f>
        <v>0</v>
      </c>
      <c r="M2065" s="2">
        <v>5.0082430180241662E-17</v>
      </c>
      <c r="N2065" s="2">
        <v>0.99999999999999978</v>
      </c>
      <c r="O2065" s="10">
        <f t="shared" ref="O2065:O2067" si="2936">-F2063</f>
        <v>-7.3503486283654773E-16</v>
      </c>
      <c r="Q2065" s="2" cm="1">
        <f t="array" ref="Q2065:Q2067">MMULT(L2065:N2067,O2065:O2067)</f>
        <v>0.26749999999999913</v>
      </c>
    </row>
    <row r="2066" spans="1:17" x14ac:dyDescent="0.35">
      <c r="H2066" s="2">
        <f t="shared" ref="H2066" si="2937">B$1*COS(C2063)</f>
        <v>2.2167914388929906</v>
      </c>
      <c r="I2066" s="2">
        <f t="shared" ref="I2066" si="2938">B$2*COS(C2064)</f>
        <v>5.9808769772010395</v>
      </c>
      <c r="J2066" s="2">
        <f t="shared" ref="J2066" si="2939">-SIN(B$6)</f>
        <v>0</v>
      </c>
      <c r="L2066" s="2">
        <v>0</v>
      </c>
      <c r="M2066" s="2">
        <v>0.16719956016684109</v>
      </c>
      <c r="N2066" s="2">
        <v>-0.3706465535645268</v>
      </c>
      <c r="O2066" s="10">
        <f t="shared" si="2936"/>
        <v>0</v>
      </c>
      <c r="Q2066" s="2">
        <v>-9.9147953078510612E-2</v>
      </c>
    </row>
    <row r="2067" spans="1:17" x14ac:dyDescent="0.35">
      <c r="H2067" s="2">
        <v>1</v>
      </c>
      <c r="I2067" s="2">
        <v>0</v>
      </c>
      <c r="J2067" s="2">
        <v>0</v>
      </c>
      <c r="L2067" s="2">
        <v>-1</v>
      </c>
      <c r="M2067" s="2">
        <v>-8.0030901028692675E-2</v>
      </c>
      <c r="N2067" s="2">
        <v>-1.8439332103255393</v>
      </c>
      <c r="O2067" s="10">
        <f t="shared" si="2936"/>
        <v>0.26749999999999918</v>
      </c>
      <c r="Q2067" s="2">
        <v>-0.49325213376207955</v>
      </c>
    </row>
    <row r="2070" spans="1:17" x14ac:dyDescent="0.35">
      <c r="A2070" s="1" t="s">
        <v>9</v>
      </c>
      <c r="B2070" s="2">
        <f t="shared" ref="B2070" si="2940">IF(AND((B2061 = B2052), ABS(B2065-B2056) &lt; 0.001),B2061+0.1,B2061)</f>
        <v>5.3999999999999986</v>
      </c>
    </row>
    <row r="2071" spans="1:17" x14ac:dyDescent="0.35">
      <c r="C2071" s="1" t="s">
        <v>3</v>
      </c>
    </row>
    <row r="2072" spans="1:17" x14ac:dyDescent="0.35">
      <c r="A2072" s="1" t="s">
        <v>848</v>
      </c>
      <c r="B2072" s="4">
        <f t="shared" ref="B2072:B2073" si="2941">C2072*180/PI()</f>
        <v>417.68623265036996</v>
      </c>
      <c r="C2072" s="2">
        <f t="shared" ref="C2072:C2073" si="2942">C2063+Q2065</f>
        <v>7.2899999999999965</v>
      </c>
      <c r="E2072" s="7" t="s">
        <v>849</v>
      </c>
      <c r="F2072" s="6">
        <f t="shared" ref="F2072" si="2943">-B2074*COS(B$6)+B$1*COS(C2072)+B$2*COS(C2073)-B$3*COS(C$4)</f>
        <v>-0.10186592869373105</v>
      </c>
      <c r="H2072" s="11" t="s">
        <v>14</v>
      </c>
      <c r="I2072" s="12"/>
      <c r="J2072" s="13"/>
      <c r="L2072" s="11" t="s">
        <v>850</v>
      </c>
      <c r="M2072" s="12"/>
      <c r="N2072" s="13"/>
      <c r="O2072" s="14" t="s">
        <v>18</v>
      </c>
      <c r="Q2072" s="16" t="s">
        <v>19</v>
      </c>
    </row>
    <row r="2073" spans="1:17" x14ac:dyDescent="0.35">
      <c r="A2073" s="1" t="s">
        <v>851</v>
      </c>
      <c r="B2073" s="4">
        <f t="shared" si="2941"/>
        <v>-1.1050787637862105</v>
      </c>
      <c r="C2073" s="2">
        <f t="shared" si="2942"/>
        <v>-1.9287262921938053E-2</v>
      </c>
      <c r="E2073" s="7" t="s">
        <v>852</v>
      </c>
      <c r="F2073" s="6">
        <f t="shared" ref="F2073" si="2944">-B2074*SIN(B$6)+B$1*SIN(C2072)+B$2*SIN(C2073)-B$3*SIN(C$4)</f>
        <v>-8.0316167860343679E-2</v>
      </c>
      <c r="H2073" s="8" t="s">
        <v>16</v>
      </c>
      <c r="I2073" s="8" t="s">
        <v>15</v>
      </c>
      <c r="J2073" s="9" t="s">
        <v>8</v>
      </c>
      <c r="L2073" s="8" t="s">
        <v>16</v>
      </c>
      <c r="M2073" s="8" t="s">
        <v>15</v>
      </c>
      <c r="N2073" s="9" t="s">
        <v>8</v>
      </c>
      <c r="O2073" s="15"/>
      <c r="Q2073" s="17"/>
    </row>
    <row r="2074" spans="1:17" x14ac:dyDescent="0.35">
      <c r="A2074" s="1" t="s">
        <v>8</v>
      </c>
      <c r="B2074" s="4">
        <f t="shared" ref="B2074" si="2945">B2065+Q2067</f>
        <v>7.7044162823319491</v>
      </c>
      <c r="C2074" s="2"/>
      <c r="E2074" s="7" t="s">
        <v>853</v>
      </c>
      <c r="F2074" s="6">
        <f>C2072-F$3*B2070-0.5*(F$4)*B2070^2</f>
        <v>0</v>
      </c>
      <c r="H2074" s="2">
        <f t="shared" ref="H2074" si="2946">-B$1*SIN(C2072)</f>
        <v>-2.5354002349716462</v>
      </c>
      <c r="I2074" s="2">
        <f t="shared" ref="I2074" si="2947">-B$2*SIN(C2073)</f>
        <v>0.11571640283198989</v>
      </c>
      <c r="J2074" s="2">
        <f t="shared" ref="J2074" si="2948">-COS(B$6)</f>
        <v>-1</v>
      </c>
      <c r="L2074" s="2" cm="1">
        <f t="array" ref="L2074:N2076">MINVERSE(H2074:J2076)</f>
        <v>0</v>
      </c>
      <c r="M2074" s="2">
        <v>0</v>
      </c>
      <c r="N2074" s="2">
        <v>1</v>
      </c>
      <c r="O2074" s="10">
        <f t="shared" ref="O2074:O2076" si="2949">-F2072</f>
        <v>0.10186592869373105</v>
      </c>
      <c r="Q2074" s="2" cm="1">
        <f t="array" ref="Q2074:Q2076">MMULT(L2074:N2076,O2074:O2076)</f>
        <v>0</v>
      </c>
    </row>
    <row r="2075" spans="1:17" x14ac:dyDescent="0.35">
      <c r="H2075" s="2">
        <f t="shared" ref="H2075" si="2950">B$1*COS(C2072)</f>
        <v>1.6036663145759849</v>
      </c>
      <c r="I2075" s="2">
        <f t="shared" ref="I2075" si="2951">B$2*COS(C2073)</f>
        <v>5.9988840390622338</v>
      </c>
      <c r="J2075" s="2">
        <f t="shared" ref="J2075" si="2952">-SIN(B$6)</f>
        <v>0</v>
      </c>
      <c r="L2075" s="2">
        <v>0</v>
      </c>
      <c r="M2075" s="2">
        <v>0.16669767134827354</v>
      </c>
      <c r="N2075" s="2">
        <v>-0.26732744025948457</v>
      </c>
      <c r="O2075" s="10">
        <f t="shared" si="2949"/>
        <v>8.0316167860343679E-2</v>
      </c>
      <c r="Q2075" s="2">
        <v>1.3388518153936341E-2</v>
      </c>
    </row>
    <row r="2076" spans="1:17" x14ac:dyDescent="0.35">
      <c r="H2076" s="2">
        <v>1</v>
      </c>
      <c r="I2076" s="2">
        <v>0</v>
      </c>
      <c r="J2076" s="2">
        <v>0</v>
      </c>
      <c r="L2076" s="2">
        <v>-1</v>
      </c>
      <c r="M2076" s="2">
        <v>1.9289654888891481E-2</v>
      </c>
      <c r="N2076" s="2">
        <v>-2.5663344047367573</v>
      </c>
      <c r="O2076" s="10">
        <f t="shared" si="2949"/>
        <v>0</v>
      </c>
      <c r="Q2076" s="2">
        <v>-0.10031665753370675</v>
      </c>
    </row>
    <row r="2079" spans="1:17" x14ac:dyDescent="0.35">
      <c r="A2079" s="1" t="s">
        <v>9</v>
      </c>
      <c r="B2079" s="2">
        <f t="shared" ref="B2079" si="2953">IF(AND((B2070 = B2061), ABS(B2074-B2065) &lt; 0.001),B2070+0.1,B2070)</f>
        <v>5.3999999999999986</v>
      </c>
    </row>
    <row r="2080" spans="1:17" x14ac:dyDescent="0.35">
      <c r="C2080" s="1" t="s">
        <v>3</v>
      </c>
    </row>
    <row r="2081" spans="1:17" x14ac:dyDescent="0.35">
      <c r="A2081" s="1" t="s">
        <v>854</v>
      </c>
      <c r="B2081" s="4">
        <f t="shared" ref="B2081:B2082" si="2954">C2081*180/PI()</f>
        <v>417.68623265036996</v>
      </c>
      <c r="C2081" s="2">
        <f t="shared" ref="C2081:C2082" si="2955">C2072+Q2074</f>
        <v>7.2899999999999965</v>
      </c>
      <c r="E2081" s="7" t="s">
        <v>855</v>
      </c>
      <c r="F2081" s="6">
        <f t="shared" ref="F2081" si="2956">-B2083*COS(B$6)+B$1*COS(C2081)+B$2*COS(C2082)-B$3*COS(C$4)</f>
        <v>-5.3769548909625474E-4</v>
      </c>
      <c r="H2081" s="11" t="s">
        <v>14</v>
      </c>
      <c r="I2081" s="12"/>
      <c r="J2081" s="13"/>
      <c r="L2081" s="11" t="s">
        <v>856</v>
      </c>
      <c r="M2081" s="12"/>
      <c r="N2081" s="13"/>
      <c r="O2081" s="14" t="s">
        <v>18</v>
      </c>
      <c r="Q2081" s="16" t="s">
        <v>19</v>
      </c>
    </row>
    <row r="2082" spans="1:17" x14ac:dyDescent="0.35">
      <c r="A2082" s="1" t="s">
        <v>857</v>
      </c>
      <c r="B2082" s="4">
        <f t="shared" si="2954"/>
        <v>-0.33797317963137402</v>
      </c>
      <c r="C2082" s="2">
        <f t="shared" si="2955"/>
        <v>-5.8987447680017117E-3</v>
      </c>
      <c r="E2082" s="7" t="s">
        <v>858</v>
      </c>
      <c r="F2082" s="6">
        <f t="shared" ref="F2082" si="2957">-B2083*SIN(B$6)+B$1*SIN(C2081)+B$2*SIN(C2082)-B$3*SIN(C$4)</f>
        <v>7.9716112226790869E-6</v>
      </c>
      <c r="H2082" s="8" t="s">
        <v>16</v>
      </c>
      <c r="I2082" s="8" t="s">
        <v>15</v>
      </c>
      <c r="J2082" s="9" t="s">
        <v>8</v>
      </c>
      <c r="L2082" s="8" t="s">
        <v>16</v>
      </c>
      <c r="M2082" s="8" t="s">
        <v>15</v>
      </c>
      <c r="N2082" s="9" t="s">
        <v>8</v>
      </c>
      <c r="O2082" s="15"/>
      <c r="Q2082" s="17"/>
    </row>
    <row r="2083" spans="1:17" x14ac:dyDescent="0.35">
      <c r="A2083" s="1" t="s">
        <v>8</v>
      </c>
      <c r="B2083" s="4">
        <f t="shared" ref="B2083" si="2958">B2074+Q2076</f>
        <v>7.6040996247982422</v>
      </c>
      <c r="C2083" s="2"/>
      <c r="E2083" s="7" t="s">
        <v>859</v>
      </c>
      <c r="F2083" s="6">
        <f>C2081-F$3*B2079-0.5*(F$4)*B2079^2</f>
        <v>0</v>
      </c>
      <c r="H2083" s="2">
        <f t="shared" ref="H2083" si="2959">-B$1*SIN(C2081)</f>
        <v>-2.5354002349716462</v>
      </c>
      <c r="I2083" s="2">
        <f t="shared" ref="I2083" si="2960">-B$2*SIN(C2082)</f>
        <v>3.5392263360423344E-2</v>
      </c>
      <c r="J2083" s="2">
        <f t="shared" ref="J2083" si="2961">-COS(B$6)</f>
        <v>-1</v>
      </c>
      <c r="L2083" s="2" cm="1">
        <f t="array" ref="L2083:N2085">MINVERSE(H2083:J2085)</f>
        <v>0</v>
      </c>
      <c r="M2083" s="2">
        <v>0</v>
      </c>
      <c r="N2083" s="2">
        <v>1</v>
      </c>
      <c r="O2083" s="10">
        <f t="shared" ref="O2083:O2085" si="2962">-F2081</f>
        <v>5.3769548909625474E-4</v>
      </c>
      <c r="Q2083" s="2" cm="1">
        <f t="array" ref="Q2083:Q2085">MMULT(L2083:N2085,O2083:O2085)</f>
        <v>0</v>
      </c>
    </row>
    <row r="2084" spans="1:17" x14ac:dyDescent="0.35">
      <c r="H2084" s="2">
        <f t="shared" ref="H2084" si="2963">B$1*COS(C2081)</f>
        <v>1.6036663145759849</v>
      </c>
      <c r="I2084" s="2">
        <f t="shared" ref="I2084" si="2964">B$2*COS(C2082)</f>
        <v>5.9998956147331617</v>
      </c>
      <c r="J2084" s="2">
        <f t="shared" ref="J2084" si="2965">-SIN(B$6)</f>
        <v>0</v>
      </c>
      <c r="L2084" s="2">
        <v>0</v>
      </c>
      <c r="M2084" s="2">
        <v>0.16666956630785881</v>
      </c>
      <c r="N2084" s="2">
        <v>-0.26728236915290166</v>
      </c>
      <c r="O2084" s="10">
        <f t="shared" si="2962"/>
        <v>-7.9716112226790869E-6</v>
      </c>
      <c r="Q2084" s="2">
        <v>-1.3286249852587836E-6</v>
      </c>
    </row>
    <row r="2085" spans="1:17" x14ac:dyDescent="0.35">
      <c r="H2085" s="2">
        <v>1</v>
      </c>
      <c r="I2085" s="2">
        <v>0</v>
      </c>
      <c r="J2085" s="2">
        <v>0</v>
      </c>
      <c r="L2085" s="2">
        <v>-1</v>
      </c>
      <c r="M2085" s="2">
        <v>5.8988131849352808E-3</v>
      </c>
      <c r="N2085" s="2">
        <v>-2.5448599629723034</v>
      </c>
      <c r="O2085" s="10">
        <f t="shared" si="2962"/>
        <v>0</v>
      </c>
      <c r="Q2085" s="2">
        <v>-5.3774251214164031E-4</v>
      </c>
    </row>
    <row r="2088" spans="1:17" x14ac:dyDescent="0.35">
      <c r="A2088" s="1" t="s">
        <v>9</v>
      </c>
      <c r="B2088" s="2">
        <f t="shared" ref="B2088" si="2966">IF(AND((B2079 = B2070), ABS(B2083-B2074) &lt; 0.001),B2079+0.1,B2079)</f>
        <v>5.3999999999999986</v>
      </c>
    </row>
    <row r="2089" spans="1:17" x14ac:dyDescent="0.35">
      <c r="C2089" s="1" t="s">
        <v>3</v>
      </c>
    </row>
    <row r="2090" spans="1:17" x14ac:dyDescent="0.35">
      <c r="A2090" s="1" t="s">
        <v>860</v>
      </c>
      <c r="B2090" s="4">
        <f t="shared" ref="B2090:B2091" si="2967">C2090*180/PI()</f>
        <v>417.68623265036996</v>
      </c>
      <c r="C2090" s="2">
        <f t="shared" ref="C2090:C2091" si="2968">C2081+Q2083</f>
        <v>7.2899999999999965</v>
      </c>
      <c r="E2090" s="7" t="s">
        <v>861</v>
      </c>
      <c r="F2090" s="6">
        <f t="shared" ref="F2090" si="2969">-B2092*COS(B$6)+B$1*COS(C2090)+B$2*COS(C2091)-B$3*COS(C$4)</f>
        <v>-5.2945847033893101E-12</v>
      </c>
      <c r="H2090" s="11" t="s">
        <v>14</v>
      </c>
      <c r="I2090" s="12"/>
      <c r="J2090" s="13"/>
      <c r="L2090" s="11" t="s">
        <v>862</v>
      </c>
      <c r="M2090" s="12"/>
      <c r="N2090" s="13"/>
      <c r="O2090" s="14" t="s">
        <v>18</v>
      </c>
      <c r="Q2090" s="16" t="s">
        <v>19</v>
      </c>
    </row>
    <row r="2091" spans="1:17" x14ac:dyDescent="0.35">
      <c r="A2091" s="1" t="s">
        <v>863</v>
      </c>
      <c r="B2091" s="4">
        <f t="shared" si="2967"/>
        <v>-0.33804930423558499</v>
      </c>
      <c r="C2091" s="2">
        <f t="shared" si="2968"/>
        <v>-5.9000733929869707E-3</v>
      </c>
      <c r="E2091" s="7" t="s">
        <v>864</v>
      </c>
      <c r="F2091" s="6">
        <f t="shared" ref="F2091" si="2970">-B2092*SIN(B$6)+B$1*SIN(C2090)+B$2*SIN(C2091)-B$3*SIN(C$4)</f>
        <v>3.1530333899354446E-14</v>
      </c>
      <c r="H2091" s="8" t="s">
        <v>16</v>
      </c>
      <c r="I2091" s="8" t="s">
        <v>15</v>
      </c>
      <c r="J2091" s="9" t="s">
        <v>8</v>
      </c>
      <c r="L2091" s="8" t="s">
        <v>16</v>
      </c>
      <c r="M2091" s="8" t="s">
        <v>15</v>
      </c>
      <c r="N2091" s="9" t="s">
        <v>8</v>
      </c>
      <c r="O2091" s="15"/>
      <c r="Q2091" s="17"/>
    </row>
    <row r="2092" spans="1:17" x14ac:dyDescent="0.35">
      <c r="A2092" s="1" t="s">
        <v>8</v>
      </c>
      <c r="B2092" s="4">
        <f t="shared" ref="B2092" si="2971">B2083+Q2085</f>
        <v>7.6035618822861002</v>
      </c>
      <c r="C2092" s="2"/>
      <c r="E2092" s="7" t="s">
        <v>865</v>
      </c>
      <c r="F2092" s="6">
        <f>C2090-F$3*B2088-0.5*(F$4)*B2088^2</f>
        <v>0</v>
      </c>
      <c r="H2092" s="2">
        <f t="shared" ref="H2092" si="2972">-B$1*SIN(C2090)</f>
        <v>-2.5354002349716462</v>
      </c>
      <c r="I2092" s="2">
        <f t="shared" ref="I2092" si="2973">-B$2*SIN(C2091)</f>
        <v>3.5400234971614784E-2</v>
      </c>
      <c r="J2092" s="2">
        <f t="shared" ref="J2092" si="2974">-COS(B$6)</f>
        <v>-1</v>
      </c>
      <c r="L2092" s="2" cm="1">
        <f t="array" ref="L2092:N2094">MINVERSE(H2092:J2094)</f>
        <v>0</v>
      </c>
      <c r="M2092" s="2">
        <v>0</v>
      </c>
      <c r="N2092" s="2">
        <v>1</v>
      </c>
      <c r="O2092" s="10">
        <f t="shared" ref="O2092:O2094" si="2975">-F2090</f>
        <v>5.2945847033893101E-12</v>
      </c>
      <c r="Q2092" s="2" cm="1">
        <f t="array" ref="Q2092:Q2094">MMULT(L2092:N2094,O2092:O2094)</f>
        <v>0</v>
      </c>
    </row>
    <row r="2093" spans="1:17" x14ac:dyDescent="0.35">
      <c r="H2093" s="2">
        <f t="shared" ref="H2093" si="2976">B$1*COS(C2090)</f>
        <v>1.6036663145759849</v>
      </c>
      <c r="I2093" s="2">
        <f t="shared" ref="I2093" si="2977">B$2*COS(C2091)</f>
        <v>5.9998955677048214</v>
      </c>
      <c r="J2093" s="2">
        <f t="shared" ref="J2093" si="2978">-SIN(B$6)</f>
        <v>0</v>
      </c>
      <c r="L2093" s="2">
        <v>0</v>
      </c>
      <c r="M2093" s="2">
        <v>0.16666956761424706</v>
      </c>
      <c r="N2093" s="2">
        <v>-0.26728237124791249</v>
      </c>
      <c r="O2093" s="10">
        <f t="shared" si="2975"/>
        <v>-3.1530333899354446E-14</v>
      </c>
      <c r="Q2093" s="2">
        <v>-5.2551471177382418E-15</v>
      </c>
    </row>
    <row r="2094" spans="1:17" x14ac:dyDescent="0.35">
      <c r="H2094" s="2">
        <v>1</v>
      </c>
      <c r="I2094" s="2">
        <v>0</v>
      </c>
      <c r="J2094" s="2">
        <v>0</v>
      </c>
      <c r="L2094" s="2">
        <v>-1</v>
      </c>
      <c r="M2094" s="2">
        <v>5.9001418561617841E-3</v>
      </c>
      <c r="N2094" s="2">
        <v>-2.5448620937175925</v>
      </c>
      <c r="O2094" s="10">
        <f t="shared" si="2975"/>
        <v>0</v>
      </c>
      <c r="Q2094" s="2">
        <v>-5.2947707368320881E-12</v>
      </c>
    </row>
    <row r="2097" spans="1:17" x14ac:dyDescent="0.35">
      <c r="A2097" s="1" t="s">
        <v>9</v>
      </c>
      <c r="B2097" s="2">
        <f t="shared" ref="B2097" si="2979">IF(AND((B2088 = B2079), ABS(B2092-B2083) &lt; 0.001),B2088+0.1,B2088)</f>
        <v>5.4999999999999982</v>
      </c>
    </row>
    <row r="2098" spans="1:17" x14ac:dyDescent="0.35">
      <c r="C2098" s="1" t="s">
        <v>3</v>
      </c>
    </row>
    <row r="2099" spans="1:17" x14ac:dyDescent="0.35">
      <c r="A2099" s="1" t="s">
        <v>866</v>
      </c>
      <c r="B2099" s="4">
        <f t="shared" ref="B2099:B2100" si="2980">C2099*180/PI()</f>
        <v>417.68623265036996</v>
      </c>
      <c r="C2099" s="2">
        <f t="shared" ref="C2099:C2100" si="2981">C2090+Q2092</f>
        <v>7.2899999999999965</v>
      </c>
      <c r="E2099" s="7" t="s">
        <v>867</v>
      </c>
      <c r="F2099" s="6">
        <f t="shared" ref="F2099" si="2982">-B2101*COS(B$6)+B$1*COS(C2099)+B$2*COS(C2100)-B$3*COS(C$4)</f>
        <v>-1.531435568635775E-16</v>
      </c>
      <c r="H2099" s="11" t="s">
        <v>14</v>
      </c>
      <c r="I2099" s="12"/>
      <c r="J2099" s="13"/>
      <c r="L2099" s="11" t="s">
        <v>868</v>
      </c>
      <c r="M2099" s="12"/>
      <c r="N2099" s="13"/>
      <c r="O2099" s="14" t="s">
        <v>18</v>
      </c>
      <c r="Q2099" s="16" t="s">
        <v>19</v>
      </c>
    </row>
    <row r="2100" spans="1:17" x14ac:dyDescent="0.35">
      <c r="A2100" s="1" t="s">
        <v>869</v>
      </c>
      <c r="B2100" s="4">
        <f t="shared" si="2980"/>
        <v>-0.33804930423588608</v>
      </c>
      <c r="C2100" s="2">
        <f t="shared" si="2981"/>
        <v>-5.900073392992226E-3</v>
      </c>
      <c r="E2100" s="7" t="s">
        <v>870</v>
      </c>
      <c r="F2100" s="6">
        <f t="shared" ref="F2100" si="2983">-B2101*SIN(B$6)+B$1*SIN(C2099)+B$2*SIN(C2100)-B$3*SIN(C$4)</f>
        <v>0</v>
      </c>
      <c r="H2100" s="8" t="s">
        <v>16</v>
      </c>
      <c r="I2100" s="8" t="s">
        <v>15</v>
      </c>
      <c r="J2100" s="9" t="s">
        <v>8</v>
      </c>
      <c r="L2100" s="8" t="s">
        <v>16</v>
      </c>
      <c r="M2100" s="8" t="s">
        <v>15</v>
      </c>
      <c r="N2100" s="9" t="s">
        <v>8</v>
      </c>
      <c r="O2100" s="15"/>
      <c r="Q2100" s="17"/>
    </row>
    <row r="2101" spans="1:17" x14ac:dyDescent="0.35">
      <c r="A2101" s="1" t="s">
        <v>8</v>
      </c>
      <c r="B2101" s="4">
        <f t="shared" ref="B2101" si="2984">B2092+Q2094</f>
        <v>7.6035618822808058</v>
      </c>
      <c r="C2101" s="2"/>
      <c r="E2101" s="7" t="s">
        <v>871</v>
      </c>
      <c r="F2101" s="6">
        <f>C2099-F$3*B2097-0.5*(F$4)*B2097^2</f>
        <v>-0.27249999999999819</v>
      </c>
      <c r="H2101" s="2">
        <f t="shared" ref="H2101" si="2985">-B$1*SIN(C2099)</f>
        <v>-2.5354002349716462</v>
      </c>
      <c r="I2101" s="2">
        <f t="shared" ref="I2101" si="2986">-B$2*SIN(C2100)</f>
        <v>3.5400234971646315E-2</v>
      </c>
      <c r="J2101" s="2">
        <f t="shared" ref="J2101" si="2987">-COS(B$6)</f>
        <v>-1</v>
      </c>
      <c r="L2101" s="2" cm="1">
        <f t="array" ref="L2101:N2103">MINVERSE(H2101:J2103)</f>
        <v>0</v>
      </c>
      <c r="M2101" s="2">
        <v>-3.421005196830801E-19</v>
      </c>
      <c r="N2101" s="2">
        <v>1</v>
      </c>
      <c r="O2101" s="10">
        <f t="shared" ref="O2101:O2103" si="2988">-F2099</f>
        <v>1.531435568635775E-16</v>
      </c>
      <c r="Q2101" s="2" cm="1">
        <f t="array" ref="Q2101:Q2103">MMULT(L2101:N2103,O2101:O2103)</f>
        <v>0.27249999999999819</v>
      </c>
    </row>
    <row r="2102" spans="1:17" x14ac:dyDescent="0.35">
      <c r="H2102" s="2">
        <f t="shared" ref="H2102" si="2989">B$1*COS(C2099)</f>
        <v>1.6036663145759849</v>
      </c>
      <c r="I2102" s="2">
        <f t="shared" ref="I2102" si="2990">B$2*COS(C2100)</f>
        <v>5.9998955677048205</v>
      </c>
      <c r="J2102" s="2">
        <f t="shared" ref="J2102" si="2991">-SIN(B$6)</f>
        <v>0</v>
      </c>
      <c r="L2102" s="2">
        <v>0</v>
      </c>
      <c r="M2102" s="2">
        <v>0.16666956761424706</v>
      </c>
      <c r="N2102" s="2">
        <v>-0.26728237124791249</v>
      </c>
      <c r="O2102" s="10">
        <f t="shared" si="2988"/>
        <v>0</v>
      </c>
      <c r="Q2102" s="2">
        <v>-7.2834446165055675E-2</v>
      </c>
    </row>
    <row r="2103" spans="1:17" x14ac:dyDescent="0.35">
      <c r="H2103" s="2">
        <v>1</v>
      </c>
      <c r="I2103" s="2">
        <v>0</v>
      </c>
      <c r="J2103" s="2">
        <v>0</v>
      </c>
      <c r="L2103" s="2">
        <v>-1</v>
      </c>
      <c r="M2103" s="2">
        <v>5.9001418561670394E-3</v>
      </c>
      <c r="N2103" s="2">
        <v>-2.544862093717601</v>
      </c>
      <c r="O2103" s="10">
        <f t="shared" si="2988"/>
        <v>0.27249999999999819</v>
      </c>
      <c r="Q2103" s="2">
        <v>-0.69347492053804172</v>
      </c>
    </row>
    <row r="2106" spans="1:17" x14ac:dyDescent="0.35">
      <c r="A2106" s="1" t="s">
        <v>9</v>
      </c>
      <c r="B2106" s="2">
        <f t="shared" ref="B2106" si="2992">IF(AND((B2097 = B2088), ABS(B2101-B2092) &lt; 0.001),B2097+0.1,B2097)</f>
        <v>5.4999999999999982</v>
      </c>
    </row>
    <row r="2107" spans="1:17" x14ac:dyDescent="0.35">
      <c r="C2107" s="1" t="s">
        <v>3</v>
      </c>
    </row>
    <row r="2108" spans="1:17" x14ac:dyDescent="0.35">
      <c r="A2108" s="1" t="s">
        <v>872</v>
      </c>
      <c r="B2108" s="4">
        <f t="shared" ref="B2108:B2109" si="2993">C2108*180/PI()</f>
        <v>433.29933256768476</v>
      </c>
      <c r="C2108" s="2">
        <f t="shared" ref="C2108:C2109" si="2994">C2099+Q2101</f>
        <v>7.5624999999999947</v>
      </c>
      <c r="E2108" s="7" t="s">
        <v>873</v>
      </c>
      <c r="F2108" s="6">
        <f t="shared" ref="F2108" si="2995">-B2110*COS(B$6)+B$1*COS(C2108)+B$2*COS(C2109)-B$3*COS(C$4)</f>
        <v>-6.6559697950106564E-2</v>
      </c>
      <c r="H2108" s="11" t="s">
        <v>14</v>
      </c>
      <c r="I2108" s="12"/>
      <c r="J2108" s="13"/>
      <c r="L2108" s="11" t="s">
        <v>874</v>
      </c>
      <c r="M2108" s="12"/>
      <c r="N2108" s="13"/>
      <c r="O2108" s="14" t="s">
        <v>18</v>
      </c>
      <c r="Q2108" s="16" t="s">
        <v>19</v>
      </c>
    </row>
    <row r="2109" spans="1:17" x14ac:dyDescent="0.35">
      <c r="A2109" s="1" t="s">
        <v>875</v>
      </c>
      <c r="B2109" s="4">
        <f t="shared" si="2993"/>
        <v>-4.51115567266638</v>
      </c>
      <c r="C2109" s="2">
        <f t="shared" si="2994"/>
        <v>-7.8734519558047902E-2</v>
      </c>
      <c r="E2109" s="7" t="s">
        <v>876</v>
      </c>
      <c r="F2109" s="6">
        <f t="shared" ref="F2109" si="2996">-B2110*SIN(B$6)+B$1*SIN(C2108)+B$2*SIN(C2109)-B$3*SIN(C$4)</f>
        <v>-9.8461741469783259E-2</v>
      </c>
      <c r="H2109" s="8" t="s">
        <v>16</v>
      </c>
      <c r="I2109" s="8" t="s">
        <v>15</v>
      </c>
      <c r="J2109" s="9" t="s">
        <v>8</v>
      </c>
      <c r="L2109" s="8" t="s">
        <v>16</v>
      </c>
      <c r="M2109" s="8" t="s">
        <v>15</v>
      </c>
      <c r="N2109" s="9" t="s">
        <v>8</v>
      </c>
      <c r="O2109" s="15"/>
      <c r="Q2109" s="17"/>
    </row>
    <row r="2110" spans="1:17" x14ac:dyDescent="0.35">
      <c r="A2110" s="1" t="s">
        <v>8</v>
      </c>
      <c r="B2110" s="4">
        <f t="shared" ref="B2110" si="2997">B2101+Q2103</f>
        <v>6.9100869617427643</v>
      </c>
      <c r="C2110" s="2"/>
      <c r="E2110" s="7" t="s">
        <v>877</v>
      </c>
      <c r="F2110" s="6">
        <f>C2108-F$3*B2106-0.5*(F$4)*B2106^2</f>
        <v>0</v>
      </c>
      <c r="H2110" s="2">
        <f t="shared" ref="H2110" si="2998">-B$1*SIN(C2108)</f>
        <v>-2.8734574420464893</v>
      </c>
      <c r="I2110" s="2">
        <f t="shared" ref="I2110" si="2999">-B$2*SIN(C2109)</f>
        <v>0.47191918351627271</v>
      </c>
      <c r="J2110" s="2">
        <f t="shared" ref="J2110" si="3000">-COS(B$6)</f>
        <v>-1</v>
      </c>
      <c r="L2110" s="2" cm="1">
        <f t="array" ref="L2110:N2112">MINVERSE(H2110:J2112)</f>
        <v>0</v>
      </c>
      <c r="M2110" s="2">
        <v>-4.8296479372705217E-18</v>
      </c>
      <c r="N2110" s="2">
        <v>1</v>
      </c>
      <c r="O2110" s="10">
        <f t="shared" ref="O2110:O2112" si="3001">-F2108</f>
        <v>6.6559697950106564E-2</v>
      </c>
      <c r="Q2110" s="2" cm="1">
        <f t="array" ref="Q2110:Q2112">MMULT(L2110:N2112,O2110:O2112)</f>
        <v>-4.7553554658960207E-19</v>
      </c>
    </row>
    <row r="2111" spans="1:17" x14ac:dyDescent="0.35">
      <c r="H2111" s="2">
        <f t="shared" ref="H2111" si="3002">B$1*COS(C2108)</f>
        <v>0.86211503220141494</v>
      </c>
      <c r="I2111" s="2">
        <f t="shared" ref="I2111" si="3003">B$2*COS(C2109)</f>
        <v>5.9814122315912428</v>
      </c>
      <c r="J2111" s="2">
        <f t="shared" ref="J2111" si="3004">-SIN(B$6)</f>
        <v>0</v>
      </c>
      <c r="L2111" s="2">
        <v>0</v>
      </c>
      <c r="M2111" s="2">
        <v>0.16718459809849431</v>
      </c>
      <c r="N2111" s="2">
        <v>-0.14413235517326406</v>
      </c>
      <c r="O2111" s="10">
        <f t="shared" si="3001"/>
        <v>9.8461741469783259E-2</v>
      </c>
      <c r="Q2111" s="2">
        <v>1.6461286675703565E-2</v>
      </c>
    </row>
    <row r="2112" spans="1:17" x14ac:dyDescent="0.35">
      <c r="H2112" s="2">
        <v>1</v>
      </c>
      <c r="I2112" s="2">
        <v>0</v>
      </c>
      <c r="J2112" s="2">
        <v>0</v>
      </c>
      <c r="L2112" s="2">
        <v>-1</v>
      </c>
      <c r="M2112" s="2">
        <v>7.889761903113765E-2</v>
      </c>
      <c r="N2112" s="2">
        <v>-2.9414762654181335</v>
      </c>
      <c r="O2112" s="10">
        <f t="shared" si="3001"/>
        <v>0</v>
      </c>
      <c r="Q2112" s="2">
        <v>-5.879130098248124E-2</v>
      </c>
    </row>
    <row r="2115" spans="1:17" x14ac:dyDescent="0.35">
      <c r="A2115" s="1" t="s">
        <v>9</v>
      </c>
      <c r="B2115" s="2">
        <f t="shared" ref="B2115" si="3005">IF(AND((B2106 = B2097), ABS(B2110-B2101) &lt; 0.001),B2106+0.1,B2106)</f>
        <v>5.4999999999999982</v>
      </c>
    </row>
    <row r="2116" spans="1:17" x14ac:dyDescent="0.35">
      <c r="C2116" s="1" t="s">
        <v>3</v>
      </c>
    </row>
    <row r="2117" spans="1:17" x14ac:dyDescent="0.35">
      <c r="A2117" s="1" t="s">
        <v>878</v>
      </c>
      <c r="B2117" s="4">
        <f t="shared" ref="B2117:B2118" si="3006">C2117*180/PI()</f>
        <v>433.29933256768476</v>
      </c>
      <c r="C2117" s="2">
        <f t="shared" ref="C2117:C2118" si="3007">C2108+Q2110</f>
        <v>7.5624999999999947</v>
      </c>
      <c r="E2117" s="7" t="s">
        <v>879</v>
      </c>
      <c r="F2117" s="6">
        <f t="shared" ref="F2117" si="3008">-B2119*COS(B$6)+B$1*COS(C2117)+B$2*COS(C2118)-B$3*COS(C$4)</f>
        <v>-8.1073601090080093E-4</v>
      </c>
      <c r="H2117" s="11" t="s">
        <v>14</v>
      </c>
      <c r="I2117" s="12"/>
      <c r="J2117" s="13"/>
      <c r="L2117" s="11" t="s">
        <v>880</v>
      </c>
      <c r="M2117" s="12"/>
      <c r="N2117" s="13"/>
      <c r="O2117" s="14" t="s">
        <v>18</v>
      </c>
      <c r="Q2117" s="16" t="s">
        <v>19</v>
      </c>
    </row>
    <row r="2118" spans="1:17" x14ac:dyDescent="0.35">
      <c r="A2118" s="1" t="s">
        <v>881</v>
      </c>
      <c r="B2118" s="4">
        <f t="shared" si="3006"/>
        <v>-3.5679934207936288</v>
      </c>
      <c r="C2118" s="2">
        <f t="shared" si="3007"/>
        <v>-6.2273232882344334E-2</v>
      </c>
      <c r="E2118" s="7" t="s">
        <v>882</v>
      </c>
      <c r="F2118" s="6">
        <f t="shared" ref="F2118" si="3009">-B2119*SIN(B$6)+B$1*SIN(C2117)+B$2*SIN(C2118)-B$3*SIN(C$4)</f>
        <v>5.9490759876545951E-5</v>
      </c>
      <c r="H2118" s="8" t="s">
        <v>16</v>
      </c>
      <c r="I2118" s="8" t="s">
        <v>15</v>
      </c>
      <c r="J2118" s="9" t="s">
        <v>8</v>
      </c>
      <c r="L2118" s="8" t="s">
        <v>16</v>
      </c>
      <c r="M2118" s="8" t="s">
        <v>15</v>
      </c>
      <c r="N2118" s="9" t="s">
        <v>8</v>
      </c>
      <c r="O2118" s="15"/>
      <c r="Q2118" s="17"/>
    </row>
    <row r="2119" spans="1:17" x14ac:dyDescent="0.35">
      <c r="A2119" s="1" t="s">
        <v>8</v>
      </c>
      <c r="B2119" s="4">
        <f t="shared" ref="B2119" si="3010">B2110+Q2112</f>
        <v>6.8512956607602833</v>
      </c>
      <c r="C2119" s="2"/>
      <c r="E2119" s="7" t="s">
        <v>883</v>
      </c>
      <c r="F2119" s="6">
        <f>C2117-F$3*B2115-0.5*(F$4)*B2115^2</f>
        <v>0</v>
      </c>
      <c r="H2119" s="2">
        <f t="shared" ref="H2119" si="3011">-B$1*SIN(C2117)</f>
        <v>-2.8734574420464893</v>
      </c>
      <c r="I2119" s="2">
        <f t="shared" ref="I2119" si="3012">-B$2*SIN(C2118)</f>
        <v>0.37339795128661279</v>
      </c>
      <c r="J2119" s="2">
        <f t="shared" ref="J2119" si="3013">-COS(B$6)</f>
        <v>-1</v>
      </c>
      <c r="L2119" s="2" cm="1">
        <f t="array" ref="L2119:N2121">MINVERSE(H2119:J2121)</f>
        <v>0</v>
      </c>
      <c r="M2119" s="2">
        <v>-2.4148239686352608E-18</v>
      </c>
      <c r="N2119" s="2">
        <v>1</v>
      </c>
      <c r="O2119" s="10">
        <f t="shared" ref="O2119:O2121" si="3014">-F2117</f>
        <v>8.1073601090080093E-4</v>
      </c>
      <c r="Q2119" s="2" cm="1">
        <f t="array" ref="Q2119:Q2121">MMULT(L2119:N2121,O2119:O2121)</f>
        <v>1.4365971286220803E-22</v>
      </c>
    </row>
    <row r="2120" spans="1:17" x14ac:dyDescent="0.35">
      <c r="H2120" s="2">
        <f t="shared" ref="H2120" si="3015">B$1*COS(C2117)</f>
        <v>0.86211503220141494</v>
      </c>
      <c r="I2120" s="2">
        <f t="shared" ref="I2120" si="3016">B$2*COS(C2118)</f>
        <v>5.9883698925479676</v>
      </c>
      <c r="J2120" s="2">
        <f t="shared" ref="J2120" si="3017">-SIN(B$6)</f>
        <v>0</v>
      </c>
      <c r="L2120" s="2">
        <v>0</v>
      </c>
      <c r="M2120" s="2">
        <v>0.16699035262407846</v>
      </c>
      <c r="N2120" s="2">
        <v>-0.14396489322983305</v>
      </c>
      <c r="O2120" s="10">
        <f t="shared" si="3014"/>
        <v>-5.9490759876545951E-5</v>
      </c>
      <c r="Q2120" s="2">
        <v>-9.9343829696587863E-6</v>
      </c>
    </row>
    <row r="2121" spans="1:17" x14ac:dyDescent="0.35">
      <c r="H2121" s="2">
        <v>1</v>
      </c>
      <c r="I2121" s="2">
        <v>0</v>
      </c>
      <c r="J2121" s="2">
        <v>0</v>
      </c>
      <c r="L2121" s="2">
        <v>-1</v>
      </c>
      <c r="M2121" s="2">
        <v>6.235385555445995E-2</v>
      </c>
      <c r="N2121" s="2">
        <v>-2.9272136382357048</v>
      </c>
      <c r="O2121" s="10">
        <f t="shared" si="3014"/>
        <v>0</v>
      </c>
      <c r="Q2121" s="2">
        <v>-8.1444548914896809E-4</v>
      </c>
    </row>
    <row r="2124" spans="1:17" x14ac:dyDescent="0.35">
      <c r="A2124" s="1" t="s">
        <v>9</v>
      </c>
      <c r="B2124" s="2">
        <f t="shared" ref="B2124" si="3018">IF(AND((B2115 = B2106), ABS(B2119-B2110) &lt; 0.001),B2115+0.1,B2115)</f>
        <v>5.4999999999999982</v>
      </c>
    </row>
    <row r="2125" spans="1:17" x14ac:dyDescent="0.35">
      <c r="C2125" s="1" t="s">
        <v>3</v>
      </c>
    </row>
    <row r="2126" spans="1:17" x14ac:dyDescent="0.35">
      <c r="A2126" s="1" t="s">
        <v>884</v>
      </c>
      <c r="B2126" s="4">
        <f t="shared" ref="B2126:B2127" si="3019">C2126*180/PI()</f>
        <v>433.29933256768476</v>
      </c>
      <c r="C2126" s="2">
        <f t="shared" ref="C2126:C2127" si="3020">C2117+Q2119</f>
        <v>7.5624999999999947</v>
      </c>
      <c r="E2126" s="7" t="s">
        <v>885</v>
      </c>
      <c r="F2126" s="6">
        <f t="shared" ref="F2126" si="3021">-B2128*COS(B$6)+B$1*COS(C2126)+B$2*COS(C2127)-B$3*COS(C$4)</f>
        <v>-2.9550155426988703E-10</v>
      </c>
      <c r="H2126" s="11" t="s">
        <v>14</v>
      </c>
      <c r="I2126" s="12"/>
      <c r="J2126" s="13"/>
      <c r="L2126" s="11" t="s">
        <v>886</v>
      </c>
      <c r="M2126" s="12"/>
      <c r="N2126" s="13"/>
      <c r="O2126" s="14" t="s">
        <v>18</v>
      </c>
      <c r="Q2126" s="16" t="s">
        <v>19</v>
      </c>
    </row>
    <row r="2127" spans="1:17" x14ac:dyDescent="0.35">
      <c r="A2127" s="1" t="s">
        <v>887</v>
      </c>
      <c r="B2127" s="4">
        <f t="shared" si="3019"/>
        <v>-3.5685626190098567</v>
      </c>
      <c r="C2127" s="2">
        <f t="shared" si="3020"/>
        <v>-6.2283167265313993E-2</v>
      </c>
      <c r="E2127" s="7" t="s">
        <v>888</v>
      </c>
      <c r="F2127" s="6">
        <f t="shared" ref="F2127" si="3022">-B2128*SIN(B$6)+B$1*SIN(C2126)+B$2*SIN(C2127)-B$3*SIN(C$4)</f>
        <v>1.8426593584308648E-11</v>
      </c>
      <c r="H2127" s="8" t="s">
        <v>16</v>
      </c>
      <c r="I2127" s="8" t="s">
        <v>15</v>
      </c>
      <c r="J2127" s="9" t="s">
        <v>8</v>
      </c>
      <c r="L2127" s="8" t="s">
        <v>16</v>
      </c>
      <c r="M2127" s="8" t="s">
        <v>15</v>
      </c>
      <c r="N2127" s="9" t="s">
        <v>8</v>
      </c>
      <c r="O2127" s="15"/>
      <c r="Q2127" s="17"/>
    </row>
    <row r="2128" spans="1:17" x14ac:dyDescent="0.35">
      <c r="A2128" s="1" t="s">
        <v>8</v>
      </c>
      <c r="B2128" s="4">
        <f t="shared" ref="B2128" si="3023">B2119+Q2121</f>
        <v>6.8504812152711345</v>
      </c>
      <c r="C2128" s="2"/>
      <c r="E2128" s="7" t="s">
        <v>889</v>
      </c>
      <c r="F2128" s="6">
        <f>C2126-F$3*B2124-0.5*(F$4)*B2124^2</f>
        <v>0</v>
      </c>
      <c r="H2128" s="2">
        <f t="shared" ref="H2128" si="3024">-B$1*SIN(C2126)</f>
        <v>-2.8734574420464893</v>
      </c>
      <c r="I2128" s="2">
        <f t="shared" ref="I2128" si="3025">-B$2*SIN(C2127)</f>
        <v>0.37345744202806275</v>
      </c>
      <c r="J2128" s="2">
        <f t="shared" ref="J2128" si="3026">-COS(B$6)</f>
        <v>-1</v>
      </c>
      <c r="L2128" s="2" cm="1">
        <f t="array" ref="L2128:N2130">MINVERSE(H2128:J2130)</f>
        <v>0</v>
      </c>
      <c r="M2128" s="2">
        <v>0</v>
      </c>
      <c r="N2128" s="2">
        <v>1</v>
      </c>
      <c r="O2128" s="10">
        <f t="shared" ref="O2128:O2130" si="3027">-F2126</f>
        <v>2.9550155426988703E-10</v>
      </c>
      <c r="Q2128" s="2" cm="1">
        <f t="array" ref="Q2128:Q2130">MMULT(L2128:N2130,O2128:O2130)</f>
        <v>0</v>
      </c>
    </row>
    <row r="2129" spans="1:17" x14ac:dyDescent="0.35">
      <c r="H2129" s="2">
        <f t="shared" ref="H2129" si="3028">B$1*COS(C2126)</f>
        <v>0.86211503220141494</v>
      </c>
      <c r="I2129" s="2">
        <f t="shared" ref="I2129" si="3029">B$2*COS(C2127)</f>
        <v>5.9883661827742181</v>
      </c>
      <c r="J2129" s="2">
        <f t="shared" ref="J2129" si="3030">-SIN(B$6)</f>
        <v>0</v>
      </c>
      <c r="L2129" s="2">
        <v>0</v>
      </c>
      <c r="M2129" s="2">
        <v>0.16699045607406929</v>
      </c>
      <c r="N2129" s="2">
        <v>-0.14396498241562522</v>
      </c>
      <c r="O2129" s="10">
        <f t="shared" si="3027"/>
        <v>-1.8426593584308648E-11</v>
      </c>
      <c r="Q2129" s="2">
        <v>-3.0770652665352201E-12</v>
      </c>
    </row>
    <row r="2130" spans="1:17" x14ac:dyDescent="0.35">
      <c r="H2130" s="2">
        <v>1</v>
      </c>
      <c r="I2130" s="2">
        <v>0</v>
      </c>
      <c r="J2130" s="2">
        <v>0</v>
      </c>
      <c r="L2130" s="2">
        <v>-1</v>
      </c>
      <c r="M2130" s="2">
        <v>6.236382856852149E-2</v>
      </c>
      <c r="N2130" s="2">
        <v>-2.9272222361210436</v>
      </c>
      <c r="O2130" s="10">
        <f t="shared" si="3027"/>
        <v>0</v>
      </c>
      <c r="Q2130" s="2">
        <v>-2.9665070719328066E-10</v>
      </c>
    </row>
    <row r="2133" spans="1:17" x14ac:dyDescent="0.35">
      <c r="A2133" s="1" t="s">
        <v>9</v>
      </c>
      <c r="B2133" s="2">
        <f t="shared" ref="B2133" si="3031">IF(AND((B2124 = B2115), ABS(B2128-B2119) &lt; 0.001),B2124+0.1,B2124)</f>
        <v>5.5999999999999979</v>
      </c>
    </row>
    <row r="2134" spans="1:17" x14ac:dyDescent="0.35">
      <c r="C2134" s="1" t="s">
        <v>3</v>
      </c>
    </row>
    <row r="2135" spans="1:17" x14ac:dyDescent="0.35">
      <c r="A2135" s="1" t="s">
        <v>890</v>
      </c>
      <c r="B2135" s="4">
        <f t="shared" ref="B2135:B2136" si="3032">C2135*180/PI()</f>
        <v>433.29933256768476</v>
      </c>
      <c r="C2135" s="2">
        <f t="shared" ref="C2135:C2136" si="3033">C2126+Q2128</f>
        <v>7.5624999999999947</v>
      </c>
      <c r="E2135" s="7" t="s">
        <v>891</v>
      </c>
      <c r="F2135" s="6">
        <f t="shared" ref="F2135" si="3034">-B2137*COS(B$6)+B$1*COS(C2135)+B$2*COS(C2136)-B$3*COS(C$4)</f>
        <v>-1.531435568635775E-16</v>
      </c>
      <c r="H2135" s="11" t="s">
        <v>14</v>
      </c>
      <c r="I2135" s="12"/>
      <c r="J2135" s="13"/>
      <c r="L2135" s="11" t="s">
        <v>892</v>
      </c>
      <c r="M2135" s="12"/>
      <c r="N2135" s="13"/>
      <c r="O2135" s="14" t="s">
        <v>18</v>
      </c>
      <c r="Q2135" s="16" t="s">
        <v>19</v>
      </c>
    </row>
    <row r="2136" spans="1:17" x14ac:dyDescent="0.35">
      <c r="A2136" s="1" t="s">
        <v>893</v>
      </c>
      <c r="B2136" s="4">
        <f t="shared" si="3032"/>
        <v>-3.5685626191861601</v>
      </c>
      <c r="C2136" s="2">
        <f t="shared" si="3033"/>
        <v>-6.228316726839106E-2</v>
      </c>
      <c r="E2136" s="7" t="s">
        <v>894</v>
      </c>
      <c r="F2136" s="6">
        <f t="shared" ref="F2136" si="3035">-B2137*SIN(B$6)+B$1*SIN(C2135)+B$2*SIN(C2136)-B$3*SIN(C$4)</f>
        <v>0</v>
      </c>
      <c r="H2136" s="8" t="s">
        <v>16</v>
      </c>
      <c r="I2136" s="8" t="s">
        <v>15</v>
      </c>
      <c r="J2136" s="9" t="s">
        <v>8</v>
      </c>
      <c r="L2136" s="8" t="s">
        <v>16</v>
      </c>
      <c r="M2136" s="8" t="s">
        <v>15</v>
      </c>
      <c r="N2136" s="9" t="s">
        <v>8</v>
      </c>
      <c r="O2136" s="15"/>
      <c r="Q2136" s="17"/>
    </row>
    <row r="2137" spans="1:17" x14ac:dyDescent="0.35">
      <c r="A2137" s="1" t="s">
        <v>8</v>
      </c>
      <c r="B2137" s="4">
        <f t="shared" ref="B2137" si="3036">B2128+Q2130</f>
        <v>6.8504812149744838</v>
      </c>
      <c r="C2137" s="2"/>
      <c r="E2137" s="7" t="s">
        <v>895</v>
      </c>
      <c r="F2137" s="6">
        <f>C2135-F$3*B2133-0.5*(F$4)*B2133^2</f>
        <v>-0.27749999999999897</v>
      </c>
      <c r="H2137" s="2">
        <f t="shared" ref="H2137" si="3037">-B$1*SIN(C2135)</f>
        <v>-2.8734574420464893</v>
      </c>
      <c r="I2137" s="2">
        <f t="shared" ref="I2137" si="3038">-B$2*SIN(C2136)</f>
        <v>0.37345744204648934</v>
      </c>
      <c r="J2137" s="2">
        <f t="shared" ref="J2137" si="3039">-COS(B$6)</f>
        <v>-1</v>
      </c>
      <c r="L2137" s="2" cm="1">
        <f t="array" ref="L2137:N2139">MINVERSE(H2137:J2139)</f>
        <v>0</v>
      </c>
      <c r="M2137" s="2">
        <v>0</v>
      </c>
      <c r="N2137" s="2">
        <v>1</v>
      </c>
      <c r="O2137" s="10">
        <f t="shared" ref="O2137:O2139" si="3040">-F2135</f>
        <v>1.531435568635775E-16</v>
      </c>
      <c r="Q2137" s="2" cm="1">
        <f t="array" ref="Q2137:Q2139">MMULT(L2137:N2139,O2137:O2139)</f>
        <v>0.27749999999999897</v>
      </c>
    </row>
    <row r="2138" spans="1:17" x14ac:dyDescent="0.35">
      <c r="H2138" s="2">
        <f t="shared" ref="H2138" si="3041">B$1*COS(C2135)</f>
        <v>0.86211503220141494</v>
      </c>
      <c r="I2138" s="2">
        <f t="shared" ref="I2138" si="3042">B$2*COS(C2136)</f>
        <v>5.9883661827730688</v>
      </c>
      <c r="J2138" s="2">
        <f t="shared" ref="J2138" si="3043">-SIN(B$6)</f>
        <v>0</v>
      </c>
      <c r="L2138" s="2">
        <v>0</v>
      </c>
      <c r="M2138" s="2">
        <v>0.16699045607410132</v>
      </c>
      <c r="N2138" s="2">
        <v>-0.14396498241565284</v>
      </c>
      <c r="O2138" s="10">
        <f t="shared" si="3040"/>
        <v>0</v>
      </c>
      <c r="Q2138" s="2">
        <v>-3.9950282620343516E-2</v>
      </c>
    </row>
    <row r="2139" spans="1:17" x14ac:dyDescent="0.35">
      <c r="H2139" s="2">
        <v>1</v>
      </c>
      <c r="I2139" s="2">
        <v>0</v>
      </c>
      <c r="J2139" s="2">
        <v>0</v>
      </c>
      <c r="L2139" s="2">
        <v>-1</v>
      </c>
      <c r="M2139" s="2">
        <v>6.2363828571610519E-2</v>
      </c>
      <c r="N2139" s="2">
        <v>-2.9272222361237068</v>
      </c>
      <c r="O2139" s="10">
        <f t="shared" si="3040"/>
        <v>0.27749999999999897</v>
      </c>
      <c r="Q2139" s="2">
        <v>-0.81230417052432569</v>
      </c>
    </row>
    <row r="2142" spans="1:17" x14ac:dyDescent="0.35">
      <c r="A2142" s="1" t="s">
        <v>9</v>
      </c>
      <c r="B2142" s="2">
        <f t="shared" ref="B2142" si="3044">IF(AND((B2133 = B2124), ABS(B2137-B2128) &lt; 0.001),B2133+0.1,B2133)</f>
        <v>5.5999999999999979</v>
      </c>
    </row>
    <row r="2143" spans="1:17" x14ac:dyDescent="0.35">
      <c r="C2143" s="1" t="s">
        <v>3</v>
      </c>
    </row>
    <row r="2144" spans="1:17" x14ac:dyDescent="0.35">
      <c r="A2144" s="1" t="s">
        <v>896</v>
      </c>
      <c r="B2144" s="4">
        <f t="shared" ref="B2144:B2145" si="3045">C2144*180/PI()</f>
        <v>449.19891138256509</v>
      </c>
      <c r="C2144" s="2">
        <f t="shared" ref="C2144:C2145" si="3046">C2135+Q2137</f>
        <v>7.8399999999999936</v>
      </c>
      <c r="E2144" s="7" t="s">
        <v>897</v>
      </c>
      <c r="F2144" s="6">
        <f t="shared" ref="F2144" si="3047">-B2146*COS(B$6)+B$1*COS(C2144)+B$2*COS(C2145)-B$3*COS(C$4)</f>
        <v>-2.7561244067086196E-2</v>
      </c>
      <c r="H2144" s="11" t="s">
        <v>14</v>
      </c>
      <c r="I2144" s="12"/>
      <c r="J2144" s="13"/>
      <c r="L2144" s="11" t="s">
        <v>898</v>
      </c>
      <c r="M2144" s="12"/>
      <c r="N2144" s="13"/>
      <c r="O2144" s="14" t="s">
        <v>18</v>
      </c>
      <c r="Q2144" s="16" t="s">
        <v>19</v>
      </c>
    </row>
    <row r="2145" spans="1:17" x14ac:dyDescent="0.35">
      <c r="A2145" s="1" t="s">
        <v>899</v>
      </c>
      <c r="B2145" s="4">
        <f t="shared" si="3045"/>
        <v>-5.8575452036866871</v>
      </c>
      <c r="C2145" s="2">
        <f t="shared" si="3046"/>
        <v>-0.10223344988873458</v>
      </c>
      <c r="E2145" s="7" t="s">
        <v>900</v>
      </c>
      <c r="F2145" s="6">
        <f t="shared" ref="F2145" si="3048">-B2146*SIN(B$6)+B$1*SIN(C2144)+B$2*SIN(C2145)-B$3*SIN(C$4)</f>
        <v>-0.11262597080897674</v>
      </c>
      <c r="H2145" s="8" t="s">
        <v>16</v>
      </c>
      <c r="I2145" s="8" t="s">
        <v>15</v>
      </c>
      <c r="J2145" s="9" t="s">
        <v>8</v>
      </c>
      <c r="L2145" s="8" t="s">
        <v>16</v>
      </c>
      <c r="M2145" s="8" t="s">
        <v>15</v>
      </c>
      <c r="N2145" s="9" t="s">
        <v>8</v>
      </c>
      <c r="O2145" s="15"/>
      <c r="Q2145" s="17"/>
    </row>
    <row r="2146" spans="1:17" x14ac:dyDescent="0.35">
      <c r="A2146" s="1" t="s">
        <v>8</v>
      </c>
      <c r="B2146" s="4">
        <f t="shared" ref="B2146" si="3049">B2137+Q2139</f>
        <v>6.0381770444501583</v>
      </c>
      <c r="C2146" s="2"/>
      <c r="E2146" s="7" t="s">
        <v>901</v>
      </c>
      <c r="F2146" s="6">
        <f>C2144-F$3*B2142-0.5*(F$4)*B2142^2</f>
        <v>0</v>
      </c>
      <c r="H2146" s="2">
        <f t="shared" ref="H2146" si="3050">-B$1*SIN(C2144)</f>
        <v>-2.9997067756439253</v>
      </c>
      <c r="I2146" s="2">
        <f t="shared" ref="I2146" si="3051">-B$2*SIN(C2145)</f>
        <v>0.61233274645290203</v>
      </c>
      <c r="J2146" s="2">
        <f t="shared" ref="J2146" si="3052">-COS(B$6)</f>
        <v>-1</v>
      </c>
      <c r="L2146" s="2" cm="1">
        <f t="array" ref="L2146:N2148">MINVERSE(H2146:J2148)</f>
        <v>0</v>
      </c>
      <c r="M2146" s="2">
        <v>-4.6263814585128614E-18</v>
      </c>
      <c r="N2146" s="2">
        <v>1</v>
      </c>
      <c r="O2146" s="10">
        <f t="shared" ref="O2146:O2148" si="3053">-F2144</f>
        <v>2.7561244067086196E-2</v>
      </c>
      <c r="Q2146" s="2" cm="1">
        <f t="array" ref="Q2146:Q2148">MMULT(L2146:N2148,O2146:O2148)</f>
        <v>-5.2105070309766073E-19</v>
      </c>
    </row>
    <row r="2147" spans="1:17" x14ac:dyDescent="0.35">
      <c r="H2147" s="2">
        <f t="shared" ref="H2147" si="3054">B$1*COS(C2144)</f>
        <v>4.1943535329357011E-2</v>
      </c>
      <c r="I2147" s="2">
        <f t="shared" ref="I2147" si="3055">B$2*COS(C2145)</f>
        <v>5.9686722650537156</v>
      </c>
      <c r="J2147" s="2">
        <f t="shared" ref="J2147" si="3056">-SIN(B$6)</f>
        <v>0</v>
      </c>
      <c r="L2147" s="2">
        <v>0</v>
      </c>
      <c r="M2147" s="2">
        <v>0.1675414490178915</v>
      </c>
      <c r="N2147" s="2">
        <v>-7.0272806860135987E-3</v>
      </c>
      <c r="O2147" s="10">
        <f t="shared" si="3053"/>
        <v>0.11262597080897674</v>
      </c>
      <c r="Q2147" s="2">
        <v>1.8869518346382712E-2</v>
      </c>
    </row>
    <row r="2148" spans="1:17" x14ac:dyDescent="0.35">
      <c r="H2148" s="2">
        <v>1</v>
      </c>
      <c r="I2148" s="2">
        <v>0</v>
      </c>
      <c r="J2148" s="2">
        <v>0</v>
      </c>
      <c r="L2148" s="2">
        <v>-1</v>
      </c>
      <c r="M2148" s="2">
        <v>0.10259111562182438</v>
      </c>
      <c r="N2148" s="2">
        <v>-3.0040098097264876</v>
      </c>
      <c r="O2148" s="10">
        <f t="shared" si="3053"/>
        <v>0</v>
      </c>
      <c r="Q2148" s="2">
        <v>-1.6006820073802247E-2</v>
      </c>
    </row>
    <row r="2151" spans="1:17" x14ac:dyDescent="0.35">
      <c r="A2151" s="1" t="s">
        <v>9</v>
      </c>
      <c r="B2151" s="2">
        <f t="shared" ref="B2151" si="3057">IF(AND((B2142 = B2133), ABS(B2146-B2137) &lt; 0.001),B2142+0.1,B2142)</f>
        <v>5.5999999999999979</v>
      </c>
    </row>
    <row r="2152" spans="1:17" x14ac:dyDescent="0.35">
      <c r="C2152" s="1" t="s">
        <v>3</v>
      </c>
    </row>
    <row r="2153" spans="1:17" x14ac:dyDescent="0.35">
      <c r="A2153" s="1" t="s">
        <v>902</v>
      </c>
      <c r="B2153" s="4">
        <f t="shared" ref="B2153:B2154" si="3058">C2153*180/PI()</f>
        <v>449.19891138256509</v>
      </c>
      <c r="C2153" s="2">
        <f t="shared" ref="C2153:C2154" si="3059">C2144+Q2146</f>
        <v>7.8399999999999936</v>
      </c>
      <c r="E2153" s="7" t="s">
        <v>903</v>
      </c>
      <c r="F2153" s="6">
        <f t="shared" ref="F2153" si="3060">-B2155*COS(B$6)+B$1*COS(C2153)+B$2*COS(C2154)-B$3*COS(C$4)</f>
        <v>-1.0632530460041177E-3</v>
      </c>
      <c r="H2153" s="11" t="s">
        <v>14</v>
      </c>
      <c r="I2153" s="12"/>
      <c r="J2153" s="13"/>
      <c r="L2153" s="11" t="s">
        <v>904</v>
      </c>
      <c r="M2153" s="12"/>
      <c r="N2153" s="13"/>
      <c r="O2153" s="14" t="s">
        <v>18</v>
      </c>
      <c r="Q2153" s="16" t="s">
        <v>19</v>
      </c>
    </row>
    <row r="2154" spans="1:17" x14ac:dyDescent="0.35">
      <c r="A2154" s="1" t="s">
        <v>905</v>
      </c>
      <c r="B2154" s="4">
        <f t="shared" si="3058"/>
        <v>-4.776401440994281</v>
      </c>
      <c r="C2154" s="2">
        <f t="shared" si="3059"/>
        <v>-8.336393154235186E-2</v>
      </c>
      <c r="E2154" s="7" t="s">
        <v>906</v>
      </c>
      <c r="F2154" s="6">
        <f t="shared" ref="F2154" si="3061">-B2155*SIN(B$6)+B$1*SIN(C2153)+B$2*SIN(C2154)-B$3*SIN(C$4)</f>
        <v>1.0232651564434647E-4</v>
      </c>
      <c r="H2154" s="8" t="s">
        <v>16</v>
      </c>
      <c r="I2154" s="8" t="s">
        <v>15</v>
      </c>
      <c r="J2154" s="9" t="s">
        <v>8</v>
      </c>
      <c r="L2154" s="8" t="s">
        <v>16</v>
      </c>
      <c r="M2154" s="8" t="s">
        <v>15</v>
      </c>
      <c r="N2154" s="9" t="s">
        <v>8</v>
      </c>
      <c r="O2154" s="15"/>
      <c r="Q2154" s="17"/>
    </row>
    <row r="2155" spans="1:17" x14ac:dyDescent="0.35">
      <c r="A2155" s="1" t="s">
        <v>8</v>
      </c>
      <c r="B2155" s="4">
        <f t="shared" ref="B2155" si="3062">B2146+Q2148</f>
        <v>6.0221702243763557</v>
      </c>
      <c r="C2155" s="2"/>
      <c r="E2155" s="7" t="s">
        <v>907</v>
      </c>
      <c r="F2155" s="6">
        <f>C2153-F$3*B2151-0.5*(F$4)*B2151^2</f>
        <v>0</v>
      </c>
      <c r="H2155" s="2">
        <f t="shared" ref="H2155" si="3063">-B$1*SIN(C2153)</f>
        <v>-2.9997067756439253</v>
      </c>
      <c r="I2155" s="2">
        <f t="shared" ref="I2155" si="3064">-B$2*SIN(C2154)</f>
        <v>0.49960444912828106</v>
      </c>
      <c r="J2155" s="2">
        <f t="shared" ref="J2155" si="3065">-COS(B$6)</f>
        <v>-1</v>
      </c>
      <c r="L2155" s="2" cm="1">
        <f t="array" ref="L2155:N2157">MINVERSE(H2155:J2157)</f>
        <v>0</v>
      </c>
      <c r="M2155" s="2">
        <v>0</v>
      </c>
      <c r="N2155" s="2">
        <v>1.0000000000000002</v>
      </c>
      <c r="O2155" s="10">
        <f t="shared" ref="O2155:O2157" si="3066">-F2153</f>
        <v>1.0632530460041177E-3</v>
      </c>
      <c r="Q2155" s="2" cm="1">
        <f t="array" ref="Q2155:Q2157">MMULT(L2155:N2157,O2155:O2157)</f>
        <v>0</v>
      </c>
    </row>
    <row r="2156" spans="1:17" x14ac:dyDescent="0.35">
      <c r="H2156" s="2">
        <f t="shared" ref="H2156" si="3067">B$1*COS(C2153)</f>
        <v>4.1943535329357011E-2</v>
      </c>
      <c r="I2156" s="2">
        <f t="shared" ref="I2156" si="3068">B$2*COS(C2154)</f>
        <v>5.9791634360009951</v>
      </c>
      <c r="J2156" s="2">
        <f t="shared" ref="J2156" si="3069">-SIN(B$6)</f>
        <v>0</v>
      </c>
      <c r="L2156" s="2">
        <v>0</v>
      </c>
      <c r="M2156" s="2">
        <v>0.16724747712680413</v>
      </c>
      <c r="N2156" s="2">
        <v>-7.0149504656139379E-3</v>
      </c>
      <c r="O2156" s="10">
        <f t="shared" si="3066"/>
        <v>-1.0232651564434647E-4</v>
      </c>
      <c r="Q2156" s="2">
        <v>-1.7113851584693401E-5</v>
      </c>
    </row>
    <row r="2157" spans="1:17" x14ac:dyDescent="0.35">
      <c r="H2157" s="2">
        <v>1</v>
      </c>
      <c r="I2157" s="2">
        <v>0</v>
      </c>
      <c r="J2157" s="2">
        <v>0</v>
      </c>
      <c r="L2157" s="2">
        <v>-1</v>
      </c>
      <c r="M2157" s="2">
        <v>8.355758367803176E-2</v>
      </c>
      <c r="N2157" s="2">
        <v>-3.0032114761069608</v>
      </c>
      <c r="O2157" s="10">
        <f t="shared" si="3066"/>
        <v>0</v>
      </c>
      <c r="Q2157" s="2">
        <v>-1.0718032023975517E-3</v>
      </c>
    </row>
    <row r="2160" spans="1:17" x14ac:dyDescent="0.35">
      <c r="A2160" s="1" t="s">
        <v>9</v>
      </c>
      <c r="B2160" s="2">
        <f t="shared" ref="B2160" si="3070">IF(AND((B2151 = B2142), ABS(B2155-B2146) &lt; 0.001),B2151+0.1,B2151)</f>
        <v>5.5999999999999979</v>
      </c>
    </row>
    <row r="2161" spans="1:17" x14ac:dyDescent="0.35">
      <c r="C2161" s="1" t="s">
        <v>3</v>
      </c>
    </row>
    <row r="2162" spans="1:17" x14ac:dyDescent="0.35">
      <c r="A2162" s="1" t="s">
        <v>908</v>
      </c>
      <c r="B2162" s="4">
        <f t="shared" ref="B2162:B2163" si="3071">C2162*180/PI()</f>
        <v>449.19891138256509</v>
      </c>
      <c r="C2162" s="2">
        <f t="shared" ref="C2162:C2163" si="3072">C2153+Q2155</f>
        <v>7.8399999999999936</v>
      </c>
      <c r="E2162" s="7" t="s">
        <v>909</v>
      </c>
      <c r="F2162" s="6">
        <f t="shared" ref="F2162" si="3073">-B2164*COS(B$6)+B$1*COS(C2162)+B$2*COS(C2163)-B$3*COS(C$4)</f>
        <v>-8.7559930188546922E-10</v>
      </c>
      <c r="H2162" s="11" t="s">
        <v>14</v>
      </c>
      <c r="I2162" s="12"/>
      <c r="J2162" s="13"/>
      <c r="L2162" s="11" t="s">
        <v>910</v>
      </c>
      <c r="M2162" s="12"/>
      <c r="N2162" s="13"/>
      <c r="O2162" s="14" t="s">
        <v>18</v>
      </c>
      <c r="Q2162" s="16" t="s">
        <v>19</v>
      </c>
    </row>
    <row r="2163" spans="1:17" x14ac:dyDescent="0.35">
      <c r="A2163" s="1" t="s">
        <v>911</v>
      </c>
      <c r="B2163" s="4">
        <f t="shared" si="3071"/>
        <v>-4.7773819924612972</v>
      </c>
      <c r="C2163" s="2">
        <f t="shared" si="3072"/>
        <v>-8.3381045393936551E-2</v>
      </c>
      <c r="E2163" s="7" t="s">
        <v>912</v>
      </c>
      <c r="F2163" s="6">
        <f t="shared" ref="F2163" si="3074">-B2164*SIN(B$6)+B$1*SIN(C2162)+B$2*SIN(C2163)-B$3*SIN(C$4)</f>
        <v>7.3168138214896317E-11</v>
      </c>
      <c r="H2163" s="8" t="s">
        <v>16</v>
      </c>
      <c r="I2163" s="8" t="s">
        <v>15</v>
      </c>
      <c r="J2163" s="9" t="s">
        <v>8</v>
      </c>
      <c r="L2163" s="8" t="s">
        <v>16</v>
      </c>
      <c r="M2163" s="8" t="s">
        <v>15</v>
      </c>
      <c r="N2163" s="9" t="s">
        <v>8</v>
      </c>
      <c r="O2163" s="15"/>
      <c r="Q2163" s="17"/>
    </row>
    <row r="2164" spans="1:17" x14ac:dyDescent="0.35">
      <c r="A2164" s="1" t="s">
        <v>8</v>
      </c>
      <c r="B2164" s="4">
        <f t="shared" ref="B2164" si="3075">B2155+Q2157</f>
        <v>6.0210984211739582</v>
      </c>
      <c r="C2164" s="2"/>
      <c r="E2164" s="7" t="s">
        <v>913</v>
      </c>
      <c r="F2164" s="6">
        <f>C2162-F$3*B2160-0.5*(F$4)*B2160^2</f>
        <v>0</v>
      </c>
      <c r="H2164" s="2">
        <f t="shared" ref="H2164" si="3076">-B$1*SIN(C2162)</f>
        <v>-2.9997067756439253</v>
      </c>
      <c r="I2164" s="2">
        <f t="shared" ref="I2164" si="3077">-B$2*SIN(C2163)</f>
        <v>0.49970677557075738</v>
      </c>
      <c r="J2164" s="2">
        <f t="shared" ref="J2164" si="3078">-COS(B$6)</f>
        <v>-1</v>
      </c>
      <c r="L2164" s="2" cm="1">
        <f t="array" ref="L2164:N2166">MINVERSE(H2164:J2166)</f>
        <v>0</v>
      </c>
      <c r="M2164" s="2">
        <v>0</v>
      </c>
      <c r="N2164" s="2">
        <v>1.0000000000000002</v>
      </c>
      <c r="O2164" s="10">
        <f t="shared" ref="O2164:O2166" si="3079">-F2162</f>
        <v>8.7559930188546922E-10</v>
      </c>
      <c r="Q2164" s="2" cm="1">
        <f t="array" ref="Q2164:Q2166">MMULT(L2164:N2166,O2164:O2166)</f>
        <v>0</v>
      </c>
    </row>
    <row r="2165" spans="1:17" x14ac:dyDescent="0.35">
      <c r="H2165" s="2">
        <f t="shared" ref="H2165" si="3080">B$1*COS(C2162)</f>
        <v>4.1943535329357011E-2</v>
      </c>
      <c r="I2165" s="2">
        <f t="shared" ref="I2165" si="3081">B$2*COS(C2163)</f>
        <v>5.9791548849690024</v>
      </c>
      <c r="J2165" s="2">
        <f t="shared" ref="J2165" si="3082">-SIN(B$6)</f>
        <v>0</v>
      </c>
      <c r="L2165" s="2">
        <v>0</v>
      </c>
      <c r="M2165" s="2">
        <v>0.1672477163142069</v>
      </c>
      <c r="N2165" s="2">
        <v>-7.0149604979792158E-3</v>
      </c>
      <c r="O2165" s="10">
        <f t="shared" si="3079"/>
        <v>-7.3168138214896317E-11</v>
      </c>
      <c r="Q2165" s="2">
        <v>-1.223720402340366E-11</v>
      </c>
    </row>
    <row r="2166" spans="1:17" x14ac:dyDescent="0.35">
      <c r="H2166" s="2">
        <v>1</v>
      </c>
      <c r="I2166" s="2">
        <v>0</v>
      </c>
      <c r="J2166" s="2">
        <v>0</v>
      </c>
      <c r="L2166" s="2">
        <v>-1</v>
      </c>
      <c r="M2166" s="2">
        <v>8.357481704094509E-2</v>
      </c>
      <c r="N2166" s="2">
        <v>-3.003212198935127</v>
      </c>
      <c r="O2166" s="10">
        <f t="shared" si="3079"/>
        <v>0</v>
      </c>
      <c r="Q2166" s="2">
        <v>-8.817143156500058E-10</v>
      </c>
    </row>
    <row r="2169" spans="1:17" x14ac:dyDescent="0.35">
      <c r="A2169" s="1" t="s">
        <v>9</v>
      </c>
      <c r="B2169" s="2">
        <f t="shared" ref="B2169" si="3083">IF(AND((B2160 = B2151), ABS(B2164-B2155) &lt; 0.001),B2160+0.1,B2160)</f>
        <v>5.5999999999999979</v>
      </c>
    </row>
    <row r="2170" spans="1:17" x14ac:dyDescent="0.35">
      <c r="C2170" s="1" t="s">
        <v>3</v>
      </c>
    </row>
    <row r="2171" spans="1:17" x14ac:dyDescent="0.35">
      <c r="A2171" s="1" t="s">
        <v>914</v>
      </c>
      <c r="B2171" s="4">
        <f t="shared" ref="B2171:B2172" si="3084">C2171*180/PI()</f>
        <v>449.19891138256509</v>
      </c>
      <c r="C2171" s="2">
        <f t="shared" ref="C2171:C2172" si="3085">C2162+Q2164</f>
        <v>7.8399999999999936</v>
      </c>
      <c r="E2171" s="7" t="s">
        <v>915</v>
      </c>
      <c r="F2171" s="6">
        <f t="shared" ref="F2171" si="3086">-B2173*COS(B$6)+B$1*COS(C2171)+B$2*COS(C2172)-B$3*COS(C$4)</f>
        <v>-1.0413219765637027E-15</v>
      </c>
      <c r="H2171" s="11" t="s">
        <v>14</v>
      </c>
      <c r="I2171" s="12"/>
      <c r="J2171" s="13"/>
      <c r="L2171" s="11" t="s">
        <v>916</v>
      </c>
      <c r="M2171" s="12"/>
      <c r="N2171" s="13"/>
      <c r="O2171" s="14" t="s">
        <v>18</v>
      </c>
      <c r="Q2171" s="16" t="s">
        <v>19</v>
      </c>
    </row>
    <row r="2172" spans="1:17" x14ac:dyDescent="0.35">
      <c r="A2172" s="1" t="s">
        <v>917</v>
      </c>
      <c r="B2172" s="4">
        <f t="shared" si="3084"/>
        <v>-4.7773819931624368</v>
      </c>
      <c r="C2172" s="2">
        <f t="shared" si="3085"/>
        <v>-8.3381045406173748E-2</v>
      </c>
      <c r="E2172" s="7" t="s">
        <v>918</v>
      </c>
      <c r="F2172" s="6">
        <f t="shared" ref="F2172" si="3087">-B2173*SIN(B$6)+B$1*SIN(C2171)+B$2*SIN(C2172)-B$3*SIN(C$4)</f>
        <v>0</v>
      </c>
      <c r="H2172" s="8" t="s">
        <v>16</v>
      </c>
      <c r="I2172" s="8" t="s">
        <v>15</v>
      </c>
      <c r="J2172" s="9" t="s">
        <v>8</v>
      </c>
      <c r="L2172" s="8" t="s">
        <v>16</v>
      </c>
      <c r="M2172" s="8" t="s">
        <v>15</v>
      </c>
      <c r="N2172" s="9" t="s">
        <v>8</v>
      </c>
      <c r="O2172" s="15"/>
      <c r="Q2172" s="17"/>
    </row>
    <row r="2173" spans="1:17" x14ac:dyDescent="0.35">
      <c r="A2173" s="1" t="s">
        <v>8</v>
      </c>
      <c r="B2173" s="4">
        <f t="shared" ref="B2173" si="3088">B2164+Q2166</f>
        <v>6.021098420292244</v>
      </c>
      <c r="C2173" s="2"/>
      <c r="E2173" s="7" t="s">
        <v>919</v>
      </c>
      <c r="F2173" s="6">
        <f>C2171-F$3*B2169-0.5*(F$4)*B2169^2</f>
        <v>0</v>
      </c>
      <c r="H2173" s="2">
        <f t="shared" ref="H2173" si="3089">-B$1*SIN(C2171)</f>
        <v>-2.9997067756439253</v>
      </c>
      <c r="I2173" s="2">
        <f t="shared" ref="I2173" si="3090">-B$2*SIN(C2172)</f>
        <v>0.4997067756439254</v>
      </c>
      <c r="J2173" s="2">
        <f t="shared" ref="J2173" si="3091">-COS(B$6)</f>
        <v>-1</v>
      </c>
      <c r="L2173" s="2" cm="1">
        <f t="array" ref="L2173:N2175">MINVERSE(H2173:J2175)</f>
        <v>0</v>
      </c>
      <c r="M2173" s="2">
        <v>-4.6263814585128614E-18</v>
      </c>
      <c r="N2173" s="2">
        <v>1.0000000000000002</v>
      </c>
      <c r="O2173" s="10">
        <f t="shared" ref="O2173:O2175" si="3092">-F2171</f>
        <v>1.0413219765637027E-15</v>
      </c>
      <c r="Q2173" s="2" cm="1">
        <f t="array" ref="Q2173:Q2175">MMULT(L2173:N2175,O2173:O2175)</f>
        <v>0</v>
      </c>
    </row>
    <row r="2174" spans="1:17" x14ac:dyDescent="0.35">
      <c r="H2174" s="2">
        <f t="shared" ref="H2174" si="3093">B$1*COS(C2171)</f>
        <v>4.1943535329357011E-2</v>
      </c>
      <c r="I2174" s="2">
        <f t="shared" ref="I2174" si="3094">B$2*COS(C2172)</f>
        <v>5.9791548849628864</v>
      </c>
      <c r="J2174" s="2">
        <f t="shared" ref="J2174" si="3095">-SIN(B$6)</f>
        <v>0</v>
      </c>
      <c r="L2174" s="2">
        <v>0</v>
      </c>
      <c r="M2174" s="2">
        <v>0.16724771631437796</v>
      </c>
      <c r="N2174" s="2">
        <v>-7.0149604979863915E-3</v>
      </c>
      <c r="O2174" s="10">
        <f t="shared" si="3092"/>
        <v>0</v>
      </c>
      <c r="Q2174" s="2">
        <v>0</v>
      </c>
    </row>
    <row r="2175" spans="1:17" x14ac:dyDescent="0.35">
      <c r="H2175" s="2">
        <v>1</v>
      </c>
      <c r="I2175" s="2">
        <v>0</v>
      </c>
      <c r="J2175" s="2">
        <v>0</v>
      </c>
      <c r="L2175" s="2">
        <v>-1</v>
      </c>
      <c r="M2175" s="2">
        <v>8.3574817053267761E-2</v>
      </c>
      <c r="N2175" s="2">
        <v>-3.003212198935644</v>
      </c>
      <c r="O2175" s="10">
        <f t="shared" si="3092"/>
        <v>0</v>
      </c>
      <c r="Q2175" s="2">
        <v>-1.0413219765637027E-15</v>
      </c>
    </row>
    <row r="2178" spans="1:17" x14ac:dyDescent="0.35">
      <c r="A2178" s="1" t="s">
        <v>9</v>
      </c>
      <c r="B2178" s="2">
        <f t="shared" ref="B2178" si="3096">IF(AND((B2169 = B2160), ABS(B2173-B2164) &lt; 0.001),B2169+0.1,B2169)</f>
        <v>5.6999999999999975</v>
      </c>
    </row>
    <row r="2179" spans="1:17" x14ac:dyDescent="0.35">
      <c r="C2179" s="1" t="s">
        <v>3</v>
      </c>
    </row>
    <row r="2180" spans="1:17" x14ac:dyDescent="0.35">
      <c r="A2180" s="1" t="s">
        <v>920</v>
      </c>
      <c r="B2180" s="4">
        <f t="shared" ref="B2180:B2181" si="3097">C2180*180/PI()</f>
        <v>449.19891138256509</v>
      </c>
      <c r="C2180" s="2">
        <f t="shared" ref="C2180:C2181" si="3098">C2171+Q2173</f>
        <v>7.8399999999999936</v>
      </c>
      <c r="E2180" s="7" t="s">
        <v>921</v>
      </c>
      <c r="F2180" s="6">
        <f t="shared" ref="F2180" si="3099">-B2182*COS(B$6)+B$1*COS(C2180)+B$2*COS(C2181)-B$3*COS(C$4)</f>
        <v>-1.531435568635775E-16</v>
      </c>
      <c r="H2180" s="11" t="s">
        <v>14</v>
      </c>
      <c r="I2180" s="12"/>
      <c r="J2180" s="13"/>
      <c r="L2180" s="11" t="s">
        <v>922</v>
      </c>
      <c r="M2180" s="12"/>
      <c r="N2180" s="13"/>
      <c r="O2180" s="14" t="s">
        <v>18</v>
      </c>
      <c r="Q2180" s="16" t="s">
        <v>19</v>
      </c>
    </row>
    <row r="2181" spans="1:17" x14ac:dyDescent="0.35">
      <c r="A2181" s="1" t="s">
        <v>923</v>
      </c>
      <c r="B2181" s="4">
        <f t="shared" si="3097"/>
        <v>-4.7773819931624368</v>
      </c>
      <c r="C2181" s="2">
        <f t="shared" si="3098"/>
        <v>-8.3381045406173748E-2</v>
      </c>
      <c r="E2181" s="7" t="s">
        <v>924</v>
      </c>
      <c r="F2181" s="6">
        <f t="shared" ref="F2181" si="3100">-B2182*SIN(B$6)+B$1*SIN(C2180)+B$2*SIN(C2181)-B$3*SIN(C$4)</f>
        <v>0</v>
      </c>
      <c r="H2181" s="8" t="s">
        <v>16</v>
      </c>
      <c r="I2181" s="8" t="s">
        <v>15</v>
      </c>
      <c r="J2181" s="9" t="s">
        <v>8</v>
      </c>
      <c r="L2181" s="8" t="s">
        <v>16</v>
      </c>
      <c r="M2181" s="8" t="s">
        <v>15</v>
      </c>
      <c r="N2181" s="9" t="s">
        <v>8</v>
      </c>
      <c r="O2181" s="15"/>
      <c r="Q2181" s="17"/>
    </row>
    <row r="2182" spans="1:17" x14ac:dyDescent="0.35">
      <c r="A2182" s="1" t="s">
        <v>8</v>
      </c>
      <c r="B2182" s="4">
        <f t="shared" ref="B2182" si="3101">B2173+Q2175</f>
        <v>6.0210984202922431</v>
      </c>
      <c r="C2182" s="2"/>
      <c r="E2182" s="7" t="s">
        <v>925</v>
      </c>
      <c r="F2182" s="6">
        <f>C2180-F$3*B2178-0.5*(F$4)*B2178^2</f>
        <v>-0.28249999999999975</v>
      </c>
      <c r="H2182" s="2">
        <f t="shared" ref="H2182" si="3102">-B$1*SIN(C2180)</f>
        <v>-2.9997067756439253</v>
      </c>
      <c r="I2182" s="2">
        <f t="shared" ref="I2182" si="3103">-B$2*SIN(C2181)</f>
        <v>0.4997067756439254</v>
      </c>
      <c r="J2182" s="2">
        <f t="shared" ref="J2182" si="3104">-COS(B$6)</f>
        <v>-1</v>
      </c>
      <c r="L2182" s="2" cm="1">
        <f t="array" ref="L2182:N2184">MINVERSE(H2182:J2184)</f>
        <v>0</v>
      </c>
      <c r="M2182" s="2">
        <v>-4.6263814585128614E-18</v>
      </c>
      <c r="N2182" s="2">
        <v>1.0000000000000002</v>
      </c>
      <c r="O2182" s="10">
        <f t="shared" ref="O2182:O2184" si="3105">-F2180</f>
        <v>1.531435568635775E-16</v>
      </c>
      <c r="Q2182" s="2" cm="1">
        <f t="array" ref="Q2182:Q2184">MMULT(L2182:N2184,O2182:O2184)</f>
        <v>0.28249999999999981</v>
      </c>
    </row>
    <row r="2183" spans="1:17" x14ac:dyDescent="0.35">
      <c r="H2183" s="2">
        <f t="shared" ref="H2183" si="3106">B$1*COS(C2180)</f>
        <v>4.1943535329357011E-2</v>
      </c>
      <c r="I2183" s="2">
        <f t="shared" ref="I2183" si="3107">B$2*COS(C2181)</f>
        <v>5.9791548849628864</v>
      </c>
      <c r="J2183" s="2">
        <f t="shared" ref="J2183" si="3108">-SIN(B$6)</f>
        <v>0</v>
      </c>
      <c r="L2183" s="2">
        <v>0</v>
      </c>
      <c r="M2183" s="2">
        <v>0.16724771631437796</v>
      </c>
      <c r="N2183" s="2">
        <v>-7.0149604979863915E-3</v>
      </c>
      <c r="O2183" s="10">
        <f t="shared" si="3105"/>
        <v>0</v>
      </c>
      <c r="Q2183" s="2">
        <v>-1.9817263406811539E-3</v>
      </c>
    </row>
    <row r="2184" spans="1:17" x14ac:dyDescent="0.35">
      <c r="H2184" s="2">
        <v>1</v>
      </c>
      <c r="I2184" s="2">
        <v>0</v>
      </c>
      <c r="J2184" s="2">
        <v>0</v>
      </c>
      <c r="L2184" s="2">
        <v>-1</v>
      </c>
      <c r="M2184" s="2">
        <v>8.3574817053267761E-2</v>
      </c>
      <c r="N2184" s="2">
        <v>-3.003212198935644</v>
      </c>
      <c r="O2184" s="10">
        <f t="shared" si="3105"/>
        <v>0.28249999999999975</v>
      </c>
      <c r="Q2184" s="2">
        <v>-0.84840744619931874</v>
      </c>
    </row>
    <row r="2187" spans="1:17" x14ac:dyDescent="0.35">
      <c r="A2187" s="1" t="s">
        <v>9</v>
      </c>
      <c r="B2187" s="2">
        <f t="shared" ref="B2187" si="3109">IF(AND((B2178 = B2169), ABS(B2182-B2173) &lt; 0.001),B2178+0.1,B2178)</f>
        <v>5.6999999999999975</v>
      </c>
    </row>
    <row r="2188" spans="1:17" x14ac:dyDescent="0.35">
      <c r="C2188" s="1" t="s">
        <v>3</v>
      </c>
    </row>
    <row r="2189" spans="1:17" x14ac:dyDescent="0.35">
      <c r="A2189" s="1" t="s">
        <v>926</v>
      </c>
      <c r="B2189" s="4">
        <f t="shared" ref="B2189:B2190" si="3110">C2189*180/PI()</f>
        <v>465.38496909501077</v>
      </c>
      <c r="C2189" s="2">
        <f t="shared" ref="C2189:C2190" si="3111">C2180+Q2182</f>
        <v>8.1224999999999934</v>
      </c>
      <c r="E2189" s="7" t="s">
        <v>927</v>
      </c>
      <c r="F2189" s="6">
        <f t="shared" ref="F2189" si="3112">-B2191*COS(B$6)+B$1*COS(C2189)+B$2*COS(C2190)-B$3*COS(C$4)</f>
        <v>9.5523224420882152E-3</v>
      </c>
      <c r="H2189" s="11" t="s">
        <v>14</v>
      </c>
      <c r="I2189" s="12"/>
      <c r="J2189" s="13"/>
      <c r="L2189" s="11" t="s">
        <v>928</v>
      </c>
      <c r="M2189" s="12"/>
      <c r="N2189" s="13"/>
      <c r="O2189" s="14" t="s">
        <v>18</v>
      </c>
      <c r="Q2189" s="16" t="s">
        <v>19</v>
      </c>
    </row>
    <row r="2190" spans="1:17" x14ac:dyDescent="0.35">
      <c r="A2190" s="1" t="s">
        <v>929</v>
      </c>
      <c r="B2190" s="4">
        <f t="shared" si="3110"/>
        <v>-4.890926548633372</v>
      </c>
      <c r="C2190" s="2">
        <f t="shared" si="3111"/>
        <v>-8.5362771746854901E-2</v>
      </c>
      <c r="E2190" s="7" t="s">
        <v>930</v>
      </c>
      <c r="F2190" s="6">
        <f t="shared" ref="F2190" si="3113">-B2191*SIN(B$6)+B$1*SIN(C2189)+B$2*SIN(C2190)-B$3*SIN(C$4)</f>
        <v>-0.11905972520613961</v>
      </c>
      <c r="H2190" s="8" t="s">
        <v>16</v>
      </c>
      <c r="I2190" s="8" t="s">
        <v>15</v>
      </c>
      <c r="J2190" s="9" t="s">
        <v>8</v>
      </c>
      <c r="L2190" s="8" t="s">
        <v>16</v>
      </c>
      <c r="M2190" s="8" t="s">
        <v>15</v>
      </c>
      <c r="N2190" s="9" t="s">
        <v>8</v>
      </c>
      <c r="O2190" s="15"/>
      <c r="Q2190" s="17"/>
    </row>
    <row r="2191" spans="1:17" x14ac:dyDescent="0.35">
      <c r="A2191" s="1" t="s">
        <v>8</v>
      </c>
      <c r="B2191" s="4">
        <f t="shared" ref="B2191" si="3114">B2182+Q2184</f>
        <v>5.1726909740929248</v>
      </c>
      <c r="C2191" s="2"/>
      <c r="E2191" s="7" t="s">
        <v>931</v>
      </c>
      <c r="F2191" s="6">
        <f>C2189-F$3*B2187-0.5*(F$4)*B2187^2</f>
        <v>0</v>
      </c>
      <c r="H2191" s="2">
        <f t="shared" ref="H2191" si="3115">-B$1*SIN(C2189)</f>
        <v>-2.8924951101789356</v>
      </c>
      <c r="I2191" s="2">
        <f t="shared" ref="I2191" si="3116">-B$2*SIN(C2190)</f>
        <v>0.51155483538507529</v>
      </c>
      <c r="J2191" s="2">
        <f t="shared" ref="J2191" si="3117">-COS(B$6)</f>
        <v>-1</v>
      </c>
      <c r="L2191" s="2" cm="1">
        <f t="array" ref="L2191:N2193">MINVERSE(H2191:J2193)</f>
        <v>0</v>
      </c>
      <c r="M2191" s="2">
        <v>0</v>
      </c>
      <c r="N2191" s="2">
        <v>0.99999999999999989</v>
      </c>
      <c r="O2191" s="10">
        <f t="shared" ref="O2191:O2193" si="3118">-F2189</f>
        <v>-9.5523224420882152E-3</v>
      </c>
      <c r="Q2191" s="2" cm="1">
        <f t="array" ref="Q2191:Q2193">MMULT(L2191:N2193,O2191:O2193)</f>
        <v>0</v>
      </c>
    </row>
    <row r="2192" spans="1:17" x14ac:dyDescent="0.35">
      <c r="H2192" s="2">
        <f t="shared" ref="H2192" si="3119">B$1*COS(C2189)</f>
        <v>-0.79590956621399356</v>
      </c>
      <c r="I2192" s="2">
        <f t="shared" ref="I2192" si="3120">B$2*COS(C2190)</f>
        <v>5.978152862749007</v>
      </c>
      <c r="J2192" s="2">
        <f t="shared" ref="J2192" si="3121">-SIN(B$6)</f>
        <v>0</v>
      </c>
      <c r="L2192" s="2">
        <v>0</v>
      </c>
      <c r="M2192" s="2">
        <v>0.16727574937589632</v>
      </c>
      <c r="N2192" s="2">
        <v>0.13313636912389032</v>
      </c>
      <c r="O2192" s="10">
        <f t="shared" si="3118"/>
        <v>0.11905972520613961</v>
      </c>
      <c r="Q2192" s="2">
        <v>1.9915804754345293E-2</v>
      </c>
    </row>
    <row r="2193" spans="1:17" x14ac:dyDescent="0.35">
      <c r="H2193" s="2">
        <v>1</v>
      </c>
      <c r="I2193" s="2">
        <v>0</v>
      </c>
      <c r="J2193" s="2">
        <v>0</v>
      </c>
      <c r="L2193" s="2">
        <v>-1</v>
      </c>
      <c r="M2193" s="2">
        <v>8.5570718435901749E-2</v>
      </c>
      <c r="N2193" s="2">
        <v>-2.8243885567879969</v>
      </c>
      <c r="O2193" s="10">
        <f t="shared" si="3118"/>
        <v>0</v>
      </c>
      <c r="Q2193" s="2">
        <v>1.9740348664758621E-2</v>
      </c>
    </row>
    <row r="2196" spans="1:17" x14ac:dyDescent="0.35">
      <c r="A2196" s="1" t="s">
        <v>9</v>
      </c>
      <c r="B2196" s="2">
        <f t="shared" ref="B2196" si="3122">IF(AND((B2187 = B2178), ABS(B2191-B2182) &lt; 0.001),B2187+0.1,B2187)</f>
        <v>5.6999999999999975</v>
      </c>
    </row>
    <row r="2197" spans="1:17" x14ac:dyDescent="0.35">
      <c r="C2197" s="1" t="s">
        <v>3</v>
      </c>
    </row>
    <row r="2198" spans="1:17" x14ac:dyDescent="0.35">
      <c r="A2198" s="1" t="s">
        <v>932</v>
      </c>
      <c r="B2198" s="4">
        <f t="shared" ref="B2198:B2199" si="3123">C2198*180/PI()</f>
        <v>465.38496909501077</v>
      </c>
      <c r="C2198" s="2">
        <f t="shared" ref="C2198:C2199" si="3124">C2189+Q2191</f>
        <v>8.1224999999999934</v>
      </c>
      <c r="E2198" s="7" t="s">
        <v>933</v>
      </c>
      <c r="F2198" s="6">
        <f t="shared" ref="F2198" si="3125">-B2200*COS(B$6)+B$1*COS(C2198)+B$2*COS(C2199)-B$3*COS(C$4)</f>
        <v>-1.1862194155779914E-3</v>
      </c>
      <c r="H2198" s="11" t="s">
        <v>14</v>
      </c>
      <c r="I2198" s="12"/>
      <c r="J2198" s="13"/>
      <c r="L2198" s="11" t="s">
        <v>934</v>
      </c>
      <c r="M2198" s="12"/>
      <c r="N2198" s="13"/>
      <c r="O2198" s="14" t="s">
        <v>18</v>
      </c>
      <c r="Q2198" s="16" t="s">
        <v>19</v>
      </c>
    </row>
    <row r="2199" spans="1:17" x14ac:dyDescent="0.35">
      <c r="A2199" s="1" t="s">
        <v>935</v>
      </c>
      <c r="B2199" s="4">
        <f t="shared" si="3123"/>
        <v>-3.7498349906028072</v>
      </c>
      <c r="C2199" s="2">
        <f t="shared" si="3124"/>
        <v>-6.5446966992509611E-2</v>
      </c>
      <c r="E2199" s="7" t="s">
        <v>936</v>
      </c>
      <c r="F2199" s="6">
        <f t="shared" ref="F2199" si="3126">-B2200*SIN(B$6)+B$1*SIN(C2198)+B$2*SIN(C2199)-B$3*SIN(C$4)</f>
        <v>9.3577546113277066E-5</v>
      </c>
      <c r="H2199" s="8" t="s">
        <v>16</v>
      </c>
      <c r="I2199" s="8" t="s">
        <v>15</v>
      </c>
      <c r="J2199" s="9" t="s">
        <v>8</v>
      </c>
      <c r="L2199" s="8" t="s">
        <v>16</v>
      </c>
      <c r="M2199" s="8" t="s">
        <v>15</v>
      </c>
      <c r="N2199" s="9" t="s">
        <v>8</v>
      </c>
      <c r="O2199" s="15"/>
      <c r="Q2199" s="17"/>
    </row>
    <row r="2200" spans="1:17" x14ac:dyDescent="0.35">
      <c r="A2200" s="1" t="s">
        <v>8</v>
      </c>
      <c r="B2200" s="4">
        <f t="shared" ref="B2200" si="3127">B2191+Q2193</f>
        <v>5.1924313227576837</v>
      </c>
      <c r="C2200" s="2"/>
      <c r="E2200" s="7" t="s">
        <v>937</v>
      </c>
      <c r="F2200" s="6">
        <f>C2198-F$3*B2196-0.5*(F$4)*B2196^2</f>
        <v>0</v>
      </c>
      <c r="H2200" s="2">
        <f t="shared" ref="H2200" si="3128">-B$1*SIN(C2198)</f>
        <v>-2.8924951101789356</v>
      </c>
      <c r="I2200" s="2">
        <f t="shared" ref="I2200" si="3129">-B$2*SIN(C2199)</f>
        <v>0.39240153263282218</v>
      </c>
      <c r="J2200" s="2">
        <f t="shared" ref="J2200" si="3130">-COS(B$6)</f>
        <v>-1</v>
      </c>
      <c r="L2200" s="2" cm="1">
        <f t="array" ref="L2200:N2202">MINVERSE(H2200:J2202)</f>
        <v>0</v>
      </c>
      <c r="M2200" s="2">
        <v>4.7978604212596058E-18</v>
      </c>
      <c r="N2200" s="2">
        <v>1</v>
      </c>
      <c r="O2200" s="10">
        <f t="shared" ref="O2200:O2202" si="3131">-F2198</f>
        <v>1.1862194155779914E-3</v>
      </c>
      <c r="Q2200" s="2" cm="1">
        <f t="array" ref="Q2200:Q2202">MMULT(L2200:N2202,O2200:O2202)</f>
        <v>-4.4897200481548765E-22</v>
      </c>
    </row>
    <row r="2201" spans="1:17" x14ac:dyDescent="0.35">
      <c r="H2201" s="2">
        <f t="shared" ref="H2201" si="3132">B$1*COS(C2198)</f>
        <v>-0.79590956621399356</v>
      </c>
      <c r="I2201" s="2">
        <f t="shared" ref="I2201" si="3133">B$2*COS(C2199)</f>
        <v>5.9871546695560998</v>
      </c>
      <c r="J2201" s="2">
        <f t="shared" ref="J2201" si="3134">-SIN(B$6)</f>
        <v>0</v>
      </c>
      <c r="L2201" s="2">
        <v>0</v>
      </c>
      <c r="M2201" s="2">
        <v>0.1670242469406828</v>
      </c>
      <c r="N2201" s="2">
        <v>0.13293619592977776</v>
      </c>
      <c r="O2201" s="10">
        <f t="shared" si="3131"/>
        <v>-9.3577546113277066E-5</v>
      </c>
      <c r="Q2201" s="2">
        <v>-1.5629719170127119E-5</v>
      </c>
    </row>
    <row r="2202" spans="1:17" x14ac:dyDescent="0.35">
      <c r="H2202" s="2">
        <v>1</v>
      </c>
      <c r="I2202" s="2">
        <v>0</v>
      </c>
      <c r="J2202" s="2">
        <v>0</v>
      </c>
      <c r="L2202" s="2">
        <v>-1</v>
      </c>
      <c r="M2202" s="2">
        <v>6.5540570486366884E-2</v>
      </c>
      <c r="N2202" s="2">
        <v>-2.8403307431537135</v>
      </c>
      <c r="O2202" s="10">
        <f t="shared" si="3131"/>
        <v>0</v>
      </c>
      <c r="Q2202" s="2">
        <v>-1.1923525413349699E-3</v>
      </c>
    </row>
    <row r="2205" spans="1:17" x14ac:dyDescent="0.35">
      <c r="A2205" s="1" t="s">
        <v>9</v>
      </c>
      <c r="B2205" s="2">
        <f t="shared" ref="B2205" si="3135">IF(AND((B2196 = B2187), ABS(B2200-B2191) &lt; 0.001),B2196+0.1,B2196)</f>
        <v>5.6999999999999975</v>
      </c>
    </row>
    <row r="2206" spans="1:17" x14ac:dyDescent="0.35">
      <c r="C2206" s="1" t="s">
        <v>3</v>
      </c>
    </row>
    <row r="2207" spans="1:17" x14ac:dyDescent="0.35">
      <c r="A2207" s="1" t="s">
        <v>938</v>
      </c>
      <c r="B2207" s="4">
        <f t="shared" ref="B2207:B2208" si="3136">C2207*180/PI()</f>
        <v>465.38496909501077</v>
      </c>
      <c r="C2207" s="2">
        <f t="shared" ref="C2207:C2208" si="3137">C2198+Q2200</f>
        <v>8.1224999999999934</v>
      </c>
      <c r="E2207" s="7" t="s">
        <v>939</v>
      </c>
      <c r="F2207" s="6">
        <f t="shared" ref="F2207" si="3138">-B2209*COS(B$6)+B$1*COS(C2207)+B$2*COS(C2208)-B$3*COS(C$4)</f>
        <v>-7.3129428950153078E-10</v>
      </c>
      <c r="H2207" s="11" t="s">
        <v>14</v>
      </c>
      <c r="I2207" s="12"/>
      <c r="J2207" s="13"/>
      <c r="L2207" s="11" t="s">
        <v>940</v>
      </c>
      <c r="M2207" s="12"/>
      <c r="N2207" s="13"/>
      <c r="O2207" s="14" t="s">
        <v>18</v>
      </c>
      <c r="Q2207" s="16" t="s">
        <v>19</v>
      </c>
    </row>
    <row r="2208" spans="1:17" x14ac:dyDescent="0.35">
      <c r="A2208" s="1" t="s">
        <v>941</v>
      </c>
      <c r="B2208" s="4">
        <f t="shared" si="3136"/>
        <v>-3.7507305075462307</v>
      </c>
      <c r="C2208" s="2">
        <f t="shared" si="3137"/>
        <v>-6.5462596711679741E-2</v>
      </c>
      <c r="E2208" s="7" t="s">
        <v>942</v>
      </c>
      <c r="F2208" s="6">
        <f t="shared" ref="F2208" si="3139">-B2209*SIN(B$6)+B$1*SIN(C2207)+B$2*SIN(C2208)-B$3*SIN(C$4)</f>
        <v>4.7933212954376359E-11</v>
      </c>
      <c r="H2208" s="8" t="s">
        <v>16</v>
      </c>
      <c r="I2208" s="8" t="s">
        <v>15</v>
      </c>
      <c r="J2208" s="9" t="s">
        <v>8</v>
      </c>
      <c r="L2208" s="8" t="s">
        <v>16</v>
      </c>
      <c r="M2208" s="8" t="s">
        <v>15</v>
      </c>
      <c r="N2208" s="9" t="s">
        <v>8</v>
      </c>
      <c r="O2208" s="15"/>
      <c r="Q2208" s="17"/>
    </row>
    <row r="2209" spans="1:17" x14ac:dyDescent="0.35">
      <c r="A2209" s="1" t="s">
        <v>8</v>
      </c>
      <c r="B2209" s="4">
        <f t="shared" ref="B2209" si="3140">B2200+Q2202</f>
        <v>5.1912389702163484</v>
      </c>
      <c r="C2209" s="2"/>
      <c r="E2209" s="7" t="s">
        <v>943</v>
      </c>
      <c r="F2209" s="6">
        <f>C2207-F$3*B2205-0.5*(F$4)*B2205^2</f>
        <v>0</v>
      </c>
      <c r="H2209" s="2">
        <f t="shared" ref="H2209" si="3141">-B$1*SIN(C2207)</f>
        <v>-2.8924951101789356</v>
      </c>
      <c r="I2209" s="2">
        <f t="shared" ref="I2209" si="3142">-B$2*SIN(C2208)</f>
        <v>0.39249511013100213</v>
      </c>
      <c r="J2209" s="2">
        <f t="shared" ref="J2209" si="3143">-COS(B$6)</f>
        <v>-1</v>
      </c>
      <c r="L2209" s="2" cm="1">
        <f t="array" ref="L2209:N2211">MINVERSE(H2209:J2211)</f>
        <v>0</v>
      </c>
      <c r="M2209" s="2">
        <v>-4.7978604212596058E-18</v>
      </c>
      <c r="N2209" s="2">
        <v>0.99999999999999989</v>
      </c>
      <c r="O2209" s="10">
        <f t="shared" ref="O2209:O2211" si="3144">-F2207</f>
        <v>7.3129428950153078E-10</v>
      </c>
      <c r="Q2209" s="2" cm="1">
        <f t="array" ref="Q2209:Q2211">MMULT(L2209:N2211,O2209:O2211)</f>
        <v>2.2997686529761053E-28</v>
      </c>
    </row>
    <row r="2210" spans="1:17" x14ac:dyDescent="0.35">
      <c r="H2210" s="2">
        <f t="shared" ref="H2210" si="3145">B$1*COS(C2207)</f>
        <v>-0.79590956621399356</v>
      </c>
      <c r="I2210" s="2">
        <f t="shared" ref="I2210" si="3146">B$2*COS(C2208)</f>
        <v>5.9871485356990481</v>
      </c>
      <c r="J2210" s="2">
        <f t="shared" ref="J2210" si="3147">-SIN(B$6)</f>
        <v>0</v>
      </c>
      <c r="L2210" s="2">
        <v>0</v>
      </c>
      <c r="M2210" s="2">
        <v>0.1670244180576759</v>
      </c>
      <c r="N2210" s="2">
        <v>0.13293633212342951</v>
      </c>
      <c r="O2210" s="10">
        <f t="shared" si="3144"/>
        <v>-4.7933212954376359E-11</v>
      </c>
      <c r="Q2210" s="2">
        <v>-8.0060169993393635E-12</v>
      </c>
    </row>
    <row r="2211" spans="1:17" x14ac:dyDescent="0.35">
      <c r="H2211" s="2">
        <v>1</v>
      </c>
      <c r="I2211" s="2">
        <v>0</v>
      </c>
      <c r="J2211" s="2">
        <v>0</v>
      </c>
      <c r="L2211" s="2">
        <v>-1</v>
      </c>
      <c r="M2211" s="2">
        <v>6.5556267360114051E-2</v>
      </c>
      <c r="N2211" s="2">
        <v>-2.8403182498617383</v>
      </c>
      <c r="O2211" s="10">
        <f t="shared" si="3144"/>
        <v>0</v>
      </c>
      <c r="Q2211" s="2">
        <v>-7.3443661202539712E-10</v>
      </c>
    </row>
    <row r="2214" spans="1:17" x14ac:dyDescent="0.35">
      <c r="A2214" s="1" t="s">
        <v>9</v>
      </c>
      <c r="B2214" s="2">
        <f t="shared" ref="B2214" si="3148">IF(AND((B2205 = B2196), ABS(B2209-B2200) &lt; 0.001),B2205+0.1,B2205)</f>
        <v>5.6999999999999975</v>
      </c>
    </row>
    <row r="2215" spans="1:17" x14ac:dyDescent="0.35">
      <c r="C2215" s="1" t="s">
        <v>3</v>
      </c>
    </row>
    <row r="2216" spans="1:17" x14ac:dyDescent="0.35">
      <c r="A2216" s="1" t="s">
        <v>944</v>
      </c>
      <c r="B2216" s="4">
        <f t="shared" ref="B2216:B2217" si="3149">C2216*180/PI()</f>
        <v>465.38496909501077</v>
      </c>
      <c r="C2216" s="2">
        <f t="shared" ref="C2216:C2217" si="3150">C2207+Q2209</f>
        <v>8.1224999999999934</v>
      </c>
      <c r="E2216" s="7" t="s">
        <v>945</v>
      </c>
      <c r="F2216" s="6">
        <f t="shared" ref="F2216" si="3151">-B2218*COS(B$6)+B$1*COS(C2216)+B$2*COS(C2217)-B$3*COS(C$4)</f>
        <v>-1.531435568635775E-16</v>
      </c>
      <c r="H2216" s="11" t="s">
        <v>14</v>
      </c>
      <c r="I2216" s="12"/>
      <c r="J2216" s="13"/>
      <c r="L2216" s="11" t="s">
        <v>946</v>
      </c>
      <c r="M2216" s="12"/>
      <c r="N2216" s="13"/>
      <c r="O2216" s="14" t="s">
        <v>18</v>
      </c>
      <c r="Q2216" s="16" t="s">
        <v>19</v>
      </c>
    </row>
    <row r="2217" spans="1:17" x14ac:dyDescent="0.35">
      <c r="A2217" s="1" t="s">
        <v>947</v>
      </c>
      <c r="B2217" s="4">
        <f t="shared" si="3149"/>
        <v>-3.7507305080049411</v>
      </c>
      <c r="C2217" s="2">
        <f t="shared" si="3150"/>
        <v>-6.5462596719685753E-2</v>
      </c>
      <c r="E2217" s="7" t="s">
        <v>948</v>
      </c>
      <c r="F2217" s="6">
        <f t="shared" ref="F2217" si="3152">-B2218*SIN(B$6)+B$1*SIN(C2216)+B$2*SIN(C2217)-B$3*SIN(C$4)</f>
        <v>0</v>
      </c>
      <c r="H2217" s="8" t="s">
        <v>16</v>
      </c>
      <c r="I2217" s="8" t="s">
        <v>15</v>
      </c>
      <c r="J2217" s="9" t="s">
        <v>8</v>
      </c>
      <c r="L2217" s="8" t="s">
        <v>16</v>
      </c>
      <c r="M2217" s="8" t="s">
        <v>15</v>
      </c>
      <c r="N2217" s="9" t="s">
        <v>8</v>
      </c>
      <c r="O2217" s="15"/>
      <c r="Q2217" s="17"/>
    </row>
    <row r="2218" spans="1:17" x14ac:dyDescent="0.35">
      <c r="A2218" s="1" t="s">
        <v>8</v>
      </c>
      <c r="B2218" s="4">
        <f t="shared" ref="B2218" si="3153">B2209+Q2211</f>
        <v>5.1912389694819119</v>
      </c>
      <c r="C2218" s="2"/>
      <c r="E2218" s="7" t="s">
        <v>949</v>
      </c>
      <c r="F2218" s="6">
        <f>C2216-F$3*B2214-0.5*(F$4)*B2214^2</f>
        <v>0</v>
      </c>
      <c r="H2218" s="2">
        <f t="shared" ref="H2218" si="3154">-B$1*SIN(C2216)</f>
        <v>-2.8924951101789356</v>
      </c>
      <c r="I2218" s="2">
        <f t="shared" ref="I2218" si="3155">-B$2*SIN(C2217)</f>
        <v>0.39249511017893524</v>
      </c>
      <c r="J2218" s="2">
        <f t="shared" ref="J2218" si="3156">-COS(B$6)</f>
        <v>-1</v>
      </c>
      <c r="L2218" s="2" cm="1">
        <f t="array" ref="L2218:N2220">MINVERSE(H2218:J2220)</f>
        <v>0</v>
      </c>
      <c r="M2218" s="2">
        <v>4.7978604212596058E-18</v>
      </c>
      <c r="N2218" s="2">
        <v>1</v>
      </c>
      <c r="O2218" s="10">
        <f t="shared" ref="O2218:O2220" si="3157">-F2216</f>
        <v>1.531435568635775E-16</v>
      </c>
      <c r="Q2218" s="2" cm="1">
        <f t="array" ref="Q2218:Q2220">MMULT(L2218:N2220,O2218:O2220)</f>
        <v>0</v>
      </c>
    </row>
    <row r="2219" spans="1:17" x14ac:dyDescent="0.35">
      <c r="H2219" s="2">
        <f t="shared" ref="H2219" si="3158">B$1*COS(C2216)</f>
        <v>-0.79590956621399356</v>
      </c>
      <c r="I2219" s="2">
        <f t="shared" ref="I2219" si="3159">B$2*COS(C2217)</f>
        <v>5.9871485356959058</v>
      </c>
      <c r="J2219" s="2">
        <f t="shared" ref="J2219" si="3160">-SIN(B$6)</f>
        <v>0</v>
      </c>
      <c r="L2219" s="2">
        <v>0</v>
      </c>
      <c r="M2219" s="2">
        <v>0.16702441805776358</v>
      </c>
      <c r="N2219" s="2">
        <v>0.13293633212349931</v>
      </c>
      <c r="O2219" s="10">
        <f t="shared" si="3157"/>
        <v>0</v>
      </c>
      <c r="Q2219" s="2">
        <v>0</v>
      </c>
    </row>
    <row r="2220" spans="1:17" x14ac:dyDescent="0.35">
      <c r="H2220" s="2">
        <v>1</v>
      </c>
      <c r="I2220" s="2">
        <v>0</v>
      </c>
      <c r="J2220" s="2">
        <v>0</v>
      </c>
      <c r="L2220" s="2">
        <v>-1</v>
      </c>
      <c r="M2220" s="2">
        <v>6.5556267368154439E-2</v>
      </c>
      <c r="N2220" s="2">
        <v>-2.840318249855339</v>
      </c>
      <c r="O2220" s="10">
        <f t="shared" si="3157"/>
        <v>0</v>
      </c>
      <c r="Q2220" s="2">
        <v>-1.531435568635775E-16</v>
      </c>
    </row>
    <row r="2223" spans="1:17" x14ac:dyDescent="0.35">
      <c r="A2223" s="1" t="s">
        <v>9</v>
      </c>
      <c r="B2223" s="2">
        <f t="shared" ref="B2223" si="3161">IF(AND((B2214 = B2205), ABS(B2218-B2209) &lt; 0.001),B2214+0.1,B2214)</f>
        <v>5.7999999999999972</v>
      </c>
    </row>
    <row r="2224" spans="1:17" x14ac:dyDescent="0.35">
      <c r="C2224" s="1" t="s">
        <v>3</v>
      </c>
    </row>
    <row r="2225" spans="1:17" x14ac:dyDescent="0.35">
      <c r="A2225" s="1" t="s">
        <v>950</v>
      </c>
      <c r="B2225" s="4">
        <f t="shared" ref="B2225:B2226" si="3162">C2225*180/PI()</f>
        <v>465.38496909501077</v>
      </c>
      <c r="C2225" s="2">
        <f t="shared" ref="C2225:C2226" si="3163">C2216+Q2218</f>
        <v>8.1224999999999934</v>
      </c>
      <c r="E2225" s="7" t="s">
        <v>951</v>
      </c>
      <c r="F2225" s="6">
        <f t="shared" ref="F2225" si="3164">-B2227*COS(B$6)+B$1*COS(C2225)+B$2*COS(C2226)-B$3*COS(C$4)</f>
        <v>-1.531435568635775E-16</v>
      </c>
      <c r="H2225" s="11" t="s">
        <v>14</v>
      </c>
      <c r="I2225" s="12"/>
      <c r="J2225" s="13"/>
      <c r="L2225" s="11" t="s">
        <v>952</v>
      </c>
      <c r="M2225" s="12"/>
      <c r="N2225" s="13"/>
      <c r="O2225" s="14" t="s">
        <v>18</v>
      </c>
      <c r="Q2225" s="16" t="s">
        <v>19</v>
      </c>
    </row>
    <row r="2226" spans="1:17" x14ac:dyDescent="0.35">
      <c r="A2226" s="1" t="s">
        <v>953</v>
      </c>
      <c r="B2226" s="4">
        <f t="shared" si="3162"/>
        <v>-3.7507305080049411</v>
      </c>
      <c r="C2226" s="2">
        <f t="shared" si="3163"/>
        <v>-6.5462596719685753E-2</v>
      </c>
      <c r="E2226" s="7" t="s">
        <v>954</v>
      </c>
      <c r="F2226" s="6">
        <f t="shared" ref="F2226" si="3165">-B2227*SIN(B$6)+B$1*SIN(C2225)+B$2*SIN(C2226)-B$3*SIN(C$4)</f>
        <v>0</v>
      </c>
      <c r="H2226" s="8" t="s">
        <v>16</v>
      </c>
      <c r="I2226" s="8" t="s">
        <v>15</v>
      </c>
      <c r="J2226" s="9" t="s">
        <v>8</v>
      </c>
      <c r="L2226" s="8" t="s">
        <v>16</v>
      </c>
      <c r="M2226" s="8" t="s">
        <v>15</v>
      </c>
      <c r="N2226" s="9" t="s">
        <v>8</v>
      </c>
      <c r="O2226" s="15"/>
      <c r="Q2226" s="17"/>
    </row>
    <row r="2227" spans="1:17" x14ac:dyDescent="0.35">
      <c r="A2227" s="1" t="s">
        <v>8</v>
      </c>
      <c r="B2227" s="4">
        <f t="shared" ref="B2227" si="3166">B2218+Q2220</f>
        <v>5.1912389694819119</v>
      </c>
      <c r="C2227" s="2"/>
      <c r="E2227" s="7" t="s">
        <v>955</v>
      </c>
      <c r="F2227" s="6">
        <f>C2225-F$3*B2223-0.5*(F$4)*B2223^2</f>
        <v>-0.28749999999999787</v>
      </c>
      <c r="H2227" s="2">
        <f t="shared" ref="H2227" si="3167">-B$1*SIN(C2225)</f>
        <v>-2.8924951101789356</v>
      </c>
      <c r="I2227" s="2">
        <f t="shared" ref="I2227" si="3168">-B$2*SIN(C2226)</f>
        <v>0.39249511017893524</v>
      </c>
      <c r="J2227" s="2">
        <f t="shared" ref="J2227" si="3169">-COS(B$6)</f>
        <v>-1</v>
      </c>
      <c r="L2227" s="2" cm="1">
        <f t="array" ref="L2227:N2229">MINVERSE(H2227:J2229)</f>
        <v>0</v>
      </c>
      <c r="M2227" s="2">
        <v>4.7978604212596058E-18</v>
      </c>
      <c r="N2227" s="2">
        <v>1</v>
      </c>
      <c r="O2227" s="10">
        <f t="shared" ref="O2227:O2229" si="3170">-F2225</f>
        <v>1.531435568635775E-16</v>
      </c>
      <c r="Q2227" s="2" cm="1">
        <f t="array" ref="Q2227:Q2229">MMULT(L2227:N2229,O2227:O2229)</f>
        <v>0.28749999999999787</v>
      </c>
    </row>
    <row r="2228" spans="1:17" x14ac:dyDescent="0.35">
      <c r="H2228" s="2">
        <f t="shared" ref="H2228" si="3171">B$1*COS(C2225)</f>
        <v>-0.79590956621399356</v>
      </c>
      <c r="I2228" s="2">
        <f t="shared" ref="I2228" si="3172">B$2*COS(C2226)</f>
        <v>5.9871485356959058</v>
      </c>
      <c r="J2228" s="2">
        <f t="shared" ref="J2228" si="3173">-SIN(B$6)</f>
        <v>0</v>
      </c>
      <c r="L2228" s="2">
        <v>0</v>
      </c>
      <c r="M2228" s="2">
        <v>0.16702441805776358</v>
      </c>
      <c r="N2228" s="2">
        <v>0.13293633212349931</v>
      </c>
      <c r="O2228" s="10">
        <f t="shared" si="3170"/>
        <v>0</v>
      </c>
      <c r="Q2228" s="2">
        <v>3.8219195485505772E-2</v>
      </c>
    </row>
    <row r="2229" spans="1:17" x14ac:dyDescent="0.35">
      <c r="H2229" s="2">
        <v>1</v>
      </c>
      <c r="I2229" s="2">
        <v>0</v>
      </c>
      <c r="J2229" s="2">
        <v>0</v>
      </c>
      <c r="L2229" s="2">
        <v>-1</v>
      </c>
      <c r="M2229" s="2">
        <v>6.5556267368154439E-2</v>
      </c>
      <c r="N2229" s="2">
        <v>-2.840318249855339</v>
      </c>
      <c r="O2229" s="10">
        <f t="shared" si="3170"/>
        <v>0.28749999999999787</v>
      </c>
      <c r="Q2229" s="2">
        <v>-0.81659149683340404</v>
      </c>
    </row>
    <row r="2232" spans="1:17" x14ac:dyDescent="0.35">
      <c r="A2232" s="1" t="s">
        <v>9</v>
      </c>
      <c r="B2232" s="2">
        <f t="shared" ref="B2232" si="3174">IF(AND((B2223 = B2214), ABS(B2227-B2218) &lt; 0.001),B2223+0.1,B2223)</f>
        <v>5.7999999999999972</v>
      </c>
    </row>
    <row r="2233" spans="1:17" x14ac:dyDescent="0.35">
      <c r="C2233" s="1" t="s">
        <v>3</v>
      </c>
    </row>
    <row r="2234" spans="1:17" x14ac:dyDescent="0.35">
      <c r="A2234" s="1" t="s">
        <v>956</v>
      </c>
      <c r="B2234" s="4">
        <f t="shared" ref="B2234:B2235" si="3175">C2234*180/PI()</f>
        <v>481.85750570502182</v>
      </c>
      <c r="C2234" s="2">
        <f t="shared" ref="C2234:C2235" si="3176">C2225+Q2227</f>
        <v>8.4099999999999913</v>
      </c>
      <c r="E2234" s="7" t="s">
        <v>957</v>
      </c>
      <c r="F2234" s="6">
        <f t="shared" ref="F2234" si="3177">-B2236*COS(B$6)+B$1*COS(C2234)+B$2*COS(C2235)-B$3*COS(C$4)</f>
        <v>3.9700446685599314E-2</v>
      </c>
      <c r="H2234" s="11" t="s">
        <v>14</v>
      </c>
      <c r="I2234" s="12"/>
      <c r="J2234" s="13"/>
      <c r="L2234" s="11" t="s">
        <v>958</v>
      </c>
      <c r="M2234" s="12"/>
      <c r="N2234" s="13"/>
      <c r="O2234" s="14" t="s">
        <v>18</v>
      </c>
      <c r="Q2234" s="16" t="s">
        <v>19</v>
      </c>
    </row>
    <row r="2235" spans="1:17" x14ac:dyDescent="0.35">
      <c r="A2235" s="1" t="s">
        <v>959</v>
      </c>
      <c r="B2235" s="4">
        <f t="shared" si="3175"/>
        <v>-1.560931910300011</v>
      </c>
      <c r="C2235" s="2">
        <f t="shared" si="3176"/>
        <v>-2.7243401234179981E-2</v>
      </c>
      <c r="E2235" s="7" t="s">
        <v>960</v>
      </c>
      <c r="F2235" s="6">
        <f t="shared" ref="F2235" si="3178">-B2236*SIN(B$6)+B$1*SIN(C2234)+B$2*SIN(C2235)-B$3*SIN(C$4)</f>
        <v>-0.11535005250732633</v>
      </c>
      <c r="H2235" s="8" t="s">
        <v>16</v>
      </c>
      <c r="I2235" s="8" t="s">
        <v>15</v>
      </c>
      <c r="J2235" s="9" t="s">
        <v>8</v>
      </c>
      <c r="L2235" s="8" t="s">
        <v>16</v>
      </c>
      <c r="M2235" s="8" t="s">
        <v>15</v>
      </c>
      <c r="N2235" s="9" t="s">
        <v>8</v>
      </c>
      <c r="O2235" s="15"/>
      <c r="Q2235" s="17"/>
    </row>
    <row r="2236" spans="1:17" x14ac:dyDescent="0.35">
      <c r="A2236" s="1" t="s">
        <v>8</v>
      </c>
      <c r="B2236" s="4">
        <f t="shared" ref="B2236" si="3179">B2227+Q2229</f>
        <v>4.3746474726485083</v>
      </c>
      <c r="C2236" s="2"/>
      <c r="E2236" s="7" t="s">
        <v>961</v>
      </c>
      <c r="F2236" s="6">
        <f>C2234-F$3*B2232-0.5*(F$4)*B2232^2</f>
        <v>0</v>
      </c>
      <c r="H2236" s="2">
        <f t="shared" ref="H2236" si="3180">-B$1*SIN(C2234)</f>
        <v>-2.5480901355164161</v>
      </c>
      <c r="I2236" s="2">
        <f t="shared" ref="I2236" si="3181">-B$2*SIN(C2235)</f>
        <v>0.16344018802374238</v>
      </c>
      <c r="J2236" s="2">
        <f t="shared" ref="J2236" si="3182">-COS(B$6)</f>
        <v>-1</v>
      </c>
      <c r="L2236" s="2" cm="1">
        <f t="array" ref="L2236:N2238">MINVERSE(H2236:J2238)</f>
        <v>0</v>
      </c>
      <c r="M2236" s="2">
        <v>1.3615872153009487E-18</v>
      </c>
      <c r="N2236" s="2">
        <v>1</v>
      </c>
      <c r="O2236" s="10">
        <f t="shared" ref="O2236:O2238" si="3183">-F2234</f>
        <v>-3.9700446685599314E-2</v>
      </c>
      <c r="Q2236" s="2" cm="1">
        <f t="array" ref="Q2236:Q2238">MMULT(L2236:N2238,O2236:O2238)</f>
        <v>1.5705915677826867E-19</v>
      </c>
    </row>
    <row r="2237" spans="1:17" x14ac:dyDescent="0.35">
      <c r="H2237" s="2">
        <f t="shared" ref="H2237" si="3184">B$1*COS(C2234)</f>
        <v>-1.5834256096463557</v>
      </c>
      <c r="I2237" s="2">
        <f t="shared" ref="I2237" si="3185">B$2*COS(C2235)</f>
        <v>5.9977735289804635</v>
      </c>
      <c r="J2237" s="2">
        <f t="shared" ref="J2237" si="3186">-SIN(B$6)</f>
        <v>0</v>
      </c>
      <c r="L2237" s="2">
        <v>0</v>
      </c>
      <c r="M2237" s="2">
        <v>0.16672853604227134</v>
      </c>
      <c r="N2237" s="2">
        <v>0.26400223382817789</v>
      </c>
      <c r="O2237" s="10">
        <f t="shared" si="3183"/>
        <v>0.11535005250732633</v>
      </c>
      <c r="Q2237" s="2">
        <v>1.9232145386945648E-2</v>
      </c>
    </row>
    <row r="2238" spans="1:17" x14ac:dyDescent="0.35">
      <c r="H2238" s="2">
        <v>1</v>
      </c>
      <c r="I2238" s="2">
        <v>0</v>
      </c>
      <c r="J2238" s="2">
        <v>0</v>
      </c>
      <c r="L2238" s="2">
        <v>-1</v>
      </c>
      <c r="M2238" s="2">
        <v>2.7250143279672134E-2</v>
      </c>
      <c r="N2238" s="2">
        <v>-2.5049415607808507</v>
      </c>
      <c r="O2238" s="10">
        <f t="shared" si="3183"/>
        <v>0</v>
      </c>
      <c r="Q2238" s="2">
        <v>4.2843752143741663E-2</v>
      </c>
    </row>
    <row r="2241" spans="1:17" x14ac:dyDescent="0.35">
      <c r="A2241" s="1" t="s">
        <v>9</v>
      </c>
      <c r="B2241" s="2">
        <f t="shared" ref="B2241" si="3187">IF(AND((B2232 = B2223), ABS(B2236-B2227) &lt; 0.001),B2232+0.1,B2232)</f>
        <v>5.7999999999999972</v>
      </c>
    </row>
    <row r="2242" spans="1:17" x14ac:dyDescent="0.35">
      <c r="C2242" s="1" t="s">
        <v>3</v>
      </c>
    </row>
    <row r="2243" spans="1:17" x14ac:dyDescent="0.35">
      <c r="A2243" s="1" t="s">
        <v>962</v>
      </c>
      <c r="B2243" s="4">
        <f t="shared" ref="B2243:B2244" si="3188">C2243*180/PI()</f>
        <v>481.85750570502182</v>
      </c>
      <c r="C2243" s="2">
        <f t="shared" ref="C2243:C2244" si="3189">C2234+Q2236</f>
        <v>8.4099999999999913</v>
      </c>
      <c r="E2243" s="7" t="s">
        <v>963</v>
      </c>
      <c r="F2243" s="6">
        <f t="shared" ref="F2243" si="3190">-B2245*COS(B$6)+B$1*COS(C2243)+B$2*COS(C2244)-B$3*COS(C$4)</f>
        <v>-1.1093740695821562E-3</v>
      </c>
      <c r="H2243" s="11" t="s">
        <v>14</v>
      </c>
      <c r="I2243" s="12"/>
      <c r="J2243" s="13"/>
      <c r="L2243" s="11" t="s">
        <v>964</v>
      </c>
      <c r="M2243" s="12"/>
      <c r="N2243" s="13"/>
      <c r="O2243" s="14" t="s">
        <v>18</v>
      </c>
      <c r="Q2243" s="16" t="s">
        <v>19</v>
      </c>
    </row>
    <row r="2244" spans="1:17" x14ac:dyDescent="0.35">
      <c r="A2244" s="1" t="s">
        <v>965</v>
      </c>
      <c r="B2244" s="4">
        <f t="shared" si="3188"/>
        <v>-0.45901114864602988</v>
      </c>
      <c r="C2244" s="2">
        <f t="shared" si="3189"/>
        <v>-8.0112558472343331E-3</v>
      </c>
      <c r="E2244" s="7" t="s">
        <v>966</v>
      </c>
      <c r="F2244" s="6">
        <f t="shared" ref="F2244" si="3191">-B2245*SIN(B$6)+B$1*SIN(C2243)+B$2*SIN(C2244)-B$3*SIN(C$4)</f>
        <v>2.3114595524731385E-5</v>
      </c>
      <c r="H2244" s="8" t="s">
        <v>16</v>
      </c>
      <c r="I2244" s="8" t="s">
        <v>15</v>
      </c>
      <c r="J2244" s="9" t="s">
        <v>8</v>
      </c>
      <c r="L2244" s="8" t="s">
        <v>16</v>
      </c>
      <c r="M2244" s="8" t="s">
        <v>15</v>
      </c>
      <c r="N2244" s="9" t="s">
        <v>8</v>
      </c>
      <c r="O2244" s="15"/>
      <c r="Q2244" s="17"/>
    </row>
    <row r="2245" spans="1:17" x14ac:dyDescent="0.35">
      <c r="A2245" s="1" t="s">
        <v>8</v>
      </c>
      <c r="B2245" s="4">
        <f t="shared" ref="B2245" si="3192">B2236+Q2238</f>
        <v>4.4174912247922498</v>
      </c>
      <c r="C2245" s="2"/>
      <c r="E2245" s="7" t="s">
        <v>967</v>
      </c>
      <c r="F2245" s="6">
        <f>C2243-F$3*B2241-0.5*(F$4)*B2241^2</f>
        <v>0</v>
      </c>
      <c r="H2245" s="2">
        <f t="shared" ref="H2245" si="3193">-B$1*SIN(C2243)</f>
        <v>-2.5480901355164161</v>
      </c>
      <c r="I2245" s="2">
        <f t="shared" ref="I2245" si="3194">-B$2*SIN(C2244)</f>
        <v>4.8067020920891206E-2</v>
      </c>
      <c r="J2245" s="2">
        <f t="shared" ref="J2245" si="3195">-COS(B$6)</f>
        <v>-1</v>
      </c>
      <c r="L2245" s="2" cm="1">
        <f t="array" ref="L2245:N2247">MINVERSE(H2245:J2247)</f>
        <v>0</v>
      </c>
      <c r="M2245" s="2">
        <v>6.8079360765047436E-19</v>
      </c>
      <c r="N2245" s="2">
        <v>1.0000000000000002</v>
      </c>
      <c r="O2245" s="10">
        <f t="shared" ref="O2245:O2247" si="3196">-F2243</f>
        <v>1.1093740695821562E-3</v>
      </c>
      <c r="Q2245" s="2" cm="1">
        <f t="array" ref="Q2245:Q2247">MMULT(L2245:N2247,O2245:O2247)</f>
        <v>-1.5736268876663388E-23</v>
      </c>
    </row>
    <row r="2246" spans="1:17" x14ac:dyDescent="0.35">
      <c r="H2246" s="2">
        <f t="shared" ref="H2246" si="3197">B$1*COS(C2243)</f>
        <v>-1.5834256096463557</v>
      </c>
      <c r="I2246" s="2">
        <f t="shared" ref="I2246" si="3198">B$2*COS(C2244)</f>
        <v>5.9998074603690235</v>
      </c>
      <c r="J2246" s="2">
        <f t="shared" ref="J2246" si="3199">-SIN(B$6)</f>
        <v>0</v>
      </c>
      <c r="L2246" s="2">
        <v>0</v>
      </c>
      <c r="M2246" s="2">
        <v>0.16667201516138222</v>
      </c>
      <c r="N2246" s="2">
        <v>0.26391273721789832</v>
      </c>
      <c r="O2246" s="10">
        <f t="shared" si="3196"/>
        <v>-2.3114595524731385E-5</v>
      </c>
      <c r="Q2246" s="2">
        <v>-3.8525562157472468E-6</v>
      </c>
    </row>
    <row r="2247" spans="1:17" x14ac:dyDescent="0.35">
      <c r="H2247" s="2">
        <v>1</v>
      </c>
      <c r="I2247" s="2">
        <v>0</v>
      </c>
      <c r="J2247" s="2">
        <v>0</v>
      </c>
      <c r="L2247" s="2">
        <v>-1</v>
      </c>
      <c r="M2247" s="2">
        <v>8.0114272396892543E-3</v>
      </c>
      <c r="N2247" s="2">
        <v>-2.535404636455274</v>
      </c>
      <c r="O2247" s="10">
        <f t="shared" si="3196"/>
        <v>0</v>
      </c>
      <c r="Q2247" s="2">
        <v>-1.1095592504823774E-3</v>
      </c>
    </row>
    <row r="2250" spans="1:17" x14ac:dyDescent="0.35">
      <c r="A2250" s="1" t="s">
        <v>9</v>
      </c>
      <c r="B2250" s="2">
        <f t="shared" ref="B2250" si="3200">IF(AND((B2241 = B2232), ABS(B2245-B2236) &lt; 0.001),B2241+0.1,B2241)</f>
        <v>5.7999999999999972</v>
      </c>
    </row>
    <row r="2251" spans="1:17" x14ac:dyDescent="0.35">
      <c r="C2251" s="1" t="s">
        <v>3</v>
      </c>
    </row>
    <row r="2252" spans="1:17" x14ac:dyDescent="0.35">
      <c r="A2252" s="1" t="s">
        <v>968</v>
      </c>
      <c r="B2252" s="4">
        <f t="shared" ref="B2252:B2253" si="3201">C2252*180/PI()</f>
        <v>481.85750570502182</v>
      </c>
      <c r="C2252" s="2">
        <f t="shared" ref="C2252:C2253" si="3202">C2243+Q2245</f>
        <v>8.4099999999999913</v>
      </c>
      <c r="E2252" s="7" t="s">
        <v>969</v>
      </c>
      <c r="F2252" s="6">
        <f t="shared" ref="F2252" si="3203">-B2254*COS(B$6)+B$1*COS(C2252)+B$2*COS(C2253)-B$3*COS(C$4)</f>
        <v>-4.4525425501543842E-11</v>
      </c>
      <c r="H2252" s="11" t="s">
        <v>14</v>
      </c>
      <c r="I2252" s="12"/>
      <c r="J2252" s="13"/>
      <c r="L2252" s="11" t="s">
        <v>970</v>
      </c>
      <c r="M2252" s="12"/>
      <c r="N2252" s="13"/>
      <c r="O2252" s="14" t="s">
        <v>18</v>
      </c>
      <c r="Q2252" s="16" t="s">
        <v>19</v>
      </c>
    </row>
    <row r="2253" spans="1:17" x14ac:dyDescent="0.35">
      <c r="A2253" s="1" t="s">
        <v>971</v>
      </c>
      <c r="B2253" s="4">
        <f t="shared" si="3201"/>
        <v>-0.45923188385752911</v>
      </c>
      <c r="C2253" s="2">
        <f t="shared" si="3202"/>
        <v>-8.0151084034500806E-3</v>
      </c>
      <c r="E2253" s="7" t="s">
        <v>972</v>
      </c>
      <c r="F2253" s="6">
        <f t="shared" ref="F2253" si="3204">-B2254*SIN(B$6)+B$1*SIN(C2252)+B$2*SIN(C2253)-B$3*SIN(C$4)</f>
        <v>3.5704772471945034E-13</v>
      </c>
      <c r="H2253" s="8" t="s">
        <v>16</v>
      </c>
      <c r="I2253" s="8" t="s">
        <v>15</v>
      </c>
      <c r="J2253" s="9" t="s">
        <v>8</v>
      </c>
      <c r="L2253" s="8" t="s">
        <v>16</v>
      </c>
      <c r="M2253" s="8" t="s">
        <v>15</v>
      </c>
      <c r="N2253" s="9" t="s">
        <v>8</v>
      </c>
      <c r="O2253" s="15"/>
      <c r="Q2253" s="17"/>
    </row>
    <row r="2254" spans="1:17" x14ac:dyDescent="0.35">
      <c r="A2254" s="1" t="s">
        <v>8</v>
      </c>
      <c r="B2254" s="4">
        <f t="shared" ref="B2254" si="3205">B2245+Q2247</f>
        <v>4.4163816655417678</v>
      </c>
      <c r="C2254" s="2"/>
      <c r="E2254" s="7" t="s">
        <v>973</v>
      </c>
      <c r="F2254" s="6">
        <f>C2252-F$3*B2250-0.5*(F$4)*B2250^2</f>
        <v>0</v>
      </c>
      <c r="H2254" s="2">
        <f t="shared" ref="H2254" si="3206">-B$1*SIN(C2252)</f>
        <v>-2.5480901355164161</v>
      </c>
      <c r="I2254" s="2">
        <f t="shared" ref="I2254" si="3207">-B$2*SIN(C2253)</f>
        <v>4.809013551605916E-2</v>
      </c>
      <c r="J2254" s="2">
        <f t="shared" ref="J2254" si="3208">-COS(B$6)</f>
        <v>-1</v>
      </c>
      <c r="L2254" s="2" cm="1">
        <f t="array" ref="L2254:N2256">MINVERSE(H2254:J2256)</f>
        <v>0</v>
      </c>
      <c r="M2254" s="2">
        <v>0</v>
      </c>
      <c r="N2254" s="2">
        <v>1</v>
      </c>
      <c r="O2254" s="10">
        <f t="shared" ref="O2254:O2256" si="3209">-F2252</f>
        <v>4.4525425501543842E-11</v>
      </c>
      <c r="Q2254" s="2" cm="1">
        <f t="array" ref="Q2254:Q2256">MMULT(L2254:N2256,O2254:O2256)</f>
        <v>0</v>
      </c>
    </row>
    <row r="2255" spans="1:17" x14ac:dyDescent="0.35">
      <c r="H2255" s="2">
        <f t="shared" ref="H2255" si="3210">B$1*COS(C2252)</f>
        <v>-1.5834256096463557</v>
      </c>
      <c r="I2255" s="2">
        <f t="shared" ref="I2255" si="3211">B$2*COS(C2253)</f>
        <v>5.9998072751435982</v>
      </c>
      <c r="J2255" s="2">
        <f t="shared" ref="J2255" si="3212">-SIN(B$6)</f>
        <v>0</v>
      </c>
      <c r="L2255" s="2">
        <v>0</v>
      </c>
      <c r="M2255" s="2">
        <v>0.16667202030686332</v>
      </c>
      <c r="N2255" s="2">
        <v>0.26391274536538484</v>
      </c>
      <c r="O2255" s="10">
        <f t="shared" si="3209"/>
        <v>-3.5704772471945034E-13</v>
      </c>
      <c r="Q2255" s="2">
        <v>-5.9509865624959574E-14</v>
      </c>
    </row>
    <row r="2256" spans="1:17" x14ac:dyDescent="0.35">
      <c r="H2256" s="2">
        <v>1</v>
      </c>
      <c r="I2256" s="2">
        <v>0</v>
      </c>
      <c r="J2256" s="2">
        <v>0</v>
      </c>
      <c r="L2256" s="2">
        <v>-1</v>
      </c>
      <c r="M2256" s="2">
        <v>8.0152800432924214E-3</v>
      </c>
      <c r="N2256" s="2">
        <v>-2.5353985358273796</v>
      </c>
      <c r="O2256" s="10">
        <f t="shared" si="3209"/>
        <v>0</v>
      </c>
      <c r="Q2256" s="2">
        <v>-4.4528287339046289E-11</v>
      </c>
    </row>
    <row r="2259" spans="1:17" x14ac:dyDescent="0.35">
      <c r="A2259" s="1" t="s">
        <v>9</v>
      </c>
      <c r="B2259" s="2">
        <f t="shared" ref="B2259" si="3213">IF(AND((B2250 = B2241), ABS(B2254-B2245) &lt; 0.001),B2250+0.1,B2250)</f>
        <v>5.7999999999999972</v>
      </c>
    </row>
    <row r="2260" spans="1:17" x14ac:dyDescent="0.35">
      <c r="C2260" s="1" t="s">
        <v>3</v>
      </c>
    </row>
    <row r="2261" spans="1:17" x14ac:dyDescent="0.35">
      <c r="A2261" s="1" t="s">
        <v>974</v>
      </c>
      <c r="B2261" s="4">
        <f t="shared" ref="B2261:B2262" si="3214">C2261*180/PI()</f>
        <v>481.85750570502182</v>
      </c>
      <c r="C2261" s="2">
        <f t="shared" ref="C2261:C2262" si="3215">C2252+Q2254</f>
        <v>8.4099999999999913</v>
      </c>
      <c r="E2261" s="7" t="s">
        <v>975</v>
      </c>
      <c r="F2261" s="6">
        <f t="shared" ref="F2261" si="3216">-B2263*COS(B$6)+B$1*COS(C2261)+B$2*COS(C2262)-B$3*COS(C$4)</f>
        <v>-1.0413219765637027E-15</v>
      </c>
      <c r="H2261" s="11" t="s">
        <v>14</v>
      </c>
      <c r="I2261" s="12"/>
      <c r="J2261" s="13"/>
      <c r="L2261" s="11" t="s">
        <v>976</v>
      </c>
      <c r="M2261" s="12"/>
      <c r="N2261" s="13"/>
      <c r="O2261" s="14" t="s">
        <v>18</v>
      </c>
      <c r="Q2261" s="16" t="s">
        <v>19</v>
      </c>
    </row>
    <row r="2262" spans="1:17" x14ac:dyDescent="0.35">
      <c r="A2262" s="1" t="s">
        <v>977</v>
      </c>
      <c r="B2262" s="4">
        <f t="shared" si="3214"/>
        <v>-0.45923188386093877</v>
      </c>
      <c r="C2262" s="2">
        <f t="shared" si="3215"/>
        <v>-8.0151084035095903E-3</v>
      </c>
      <c r="E2262" s="7" t="s">
        <v>978</v>
      </c>
      <c r="F2262" s="6">
        <f t="shared" ref="F2262" si="3217">-B2263*SIN(B$6)+B$1*SIN(C2261)+B$2*SIN(C2262)-B$3*SIN(C$4)</f>
        <v>0</v>
      </c>
      <c r="H2262" s="8" t="s">
        <v>16</v>
      </c>
      <c r="I2262" s="8" t="s">
        <v>15</v>
      </c>
      <c r="J2262" s="9" t="s">
        <v>8</v>
      </c>
      <c r="L2262" s="8" t="s">
        <v>16</v>
      </c>
      <c r="M2262" s="8" t="s">
        <v>15</v>
      </c>
      <c r="N2262" s="9" t="s">
        <v>8</v>
      </c>
      <c r="O2262" s="15"/>
      <c r="Q2262" s="17"/>
    </row>
    <row r="2263" spans="1:17" x14ac:dyDescent="0.35">
      <c r="A2263" s="1" t="s">
        <v>8</v>
      </c>
      <c r="B2263" s="4">
        <f t="shared" ref="B2263" si="3218">B2254+Q2256</f>
        <v>4.4163816654972399</v>
      </c>
      <c r="C2263" s="2"/>
      <c r="E2263" s="7" t="s">
        <v>979</v>
      </c>
      <c r="F2263" s="6">
        <f>C2261-F$3*B2259-0.5*(F$4)*B2259^2</f>
        <v>0</v>
      </c>
      <c r="H2263" s="2">
        <f t="shared" ref="H2263" si="3219">-B$1*SIN(C2261)</f>
        <v>-2.5480901355164161</v>
      </c>
      <c r="I2263" s="2">
        <f t="shared" ref="I2263" si="3220">-B$2*SIN(C2262)</f>
        <v>4.8090135516416208E-2</v>
      </c>
      <c r="J2263" s="2">
        <f t="shared" ref="J2263" si="3221">-COS(B$6)</f>
        <v>-1</v>
      </c>
      <c r="L2263" s="2" cm="1">
        <f t="array" ref="L2263:N2265">MINVERSE(H2263:J2265)</f>
        <v>0</v>
      </c>
      <c r="M2263" s="2">
        <v>0</v>
      </c>
      <c r="N2263" s="2">
        <v>1.0000000000000002</v>
      </c>
      <c r="O2263" s="10">
        <f t="shared" ref="O2263:O2265" si="3222">-F2261</f>
        <v>1.0413219765637027E-15</v>
      </c>
      <c r="Q2263" s="2" cm="1">
        <f t="array" ref="Q2263:Q2265">MMULT(L2263:N2265,O2263:O2265)</f>
        <v>0</v>
      </c>
    </row>
    <row r="2264" spans="1:17" x14ac:dyDescent="0.35">
      <c r="H2264" s="2">
        <f t="shared" ref="H2264" si="3223">B$1*COS(C2261)</f>
        <v>-1.5834256096463557</v>
      </c>
      <c r="I2264" s="2">
        <f t="shared" ref="I2264" si="3224">B$2*COS(C2262)</f>
        <v>5.9998072751435947</v>
      </c>
      <c r="J2264" s="2">
        <f t="shared" ref="J2264" si="3225">-SIN(B$6)</f>
        <v>0</v>
      </c>
      <c r="L2264" s="2">
        <v>0</v>
      </c>
      <c r="M2264" s="2">
        <v>0.1666720203068634</v>
      </c>
      <c r="N2264" s="2">
        <v>0.263912745365385</v>
      </c>
      <c r="O2264" s="10">
        <f t="shared" si="3222"/>
        <v>0</v>
      </c>
      <c r="Q2264" s="2">
        <v>0</v>
      </c>
    </row>
    <row r="2265" spans="1:17" x14ac:dyDescent="0.35">
      <c r="H2265" s="2">
        <v>1</v>
      </c>
      <c r="I2265" s="2">
        <v>0</v>
      </c>
      <c r="J2265" s="2">
        <v>0</v>
      </c>
      <c r="L2265" s="2">
        <v>-1</v>
      </c>
      <c r="M2265" s="2">
        <v>8.0152800433519345E-3</v>
      </c>
      <c r="N2265" s="2">
        <v>-2.5353985358272855</v>
      </c>
      <c r="O2265" s="10">
        <f t="shared" si="3222"/>
        <v>0</v>
      </c>
      <c r="Q2265" s="2">
        <v>-1.0413219765637027E-15</v>
      </c>
    </row>
    <row r="2268" spans="1:17" x14ac:dyDescent="0.35">
      <c r="A2268" s="1" t="s">
        <v>9</v>
      </c>
      <c r="B2268" s="2">
        <f t="shared" ref="B2268" si="3226">IF(AND((B2259 = B2250), ABS(B2263-B2254) &lt; 0.001),B2259+0.1,B2259)</f>
        <v>5.8999999999999968</v>
      </c>
    </row>
    <row r="2269" spans="1:17" x14ac:dyDescent="0.35">
      <c r="C2269" s="1" t="s">
        <v>3</v>
      </c>
    </row>
    <row r="2270" spans="1:17" x14ac:dyDescent="0.35">
      <c r="A2270" s="1" t="s">
        <v>980</v>
      </c>
      <c r="B2270" s="4">
        <f t="shared" ref="B2270:B2271" si="3227">C2270*180/PI()</f>
        <v>481.85750570502182</v>
      </c>
      <c r="C2270" s="2">
        <f t="shared" ref="C2270:C2271" si="3228">C2261+Q2263</f>
        <v>8.4099999999999913</v>
      </c>
      <c r="E2270" s="7" t="s">
        <v>981</v>
      </c>
      <c r="F2270" s="6">
        <f t="shared" ref="F2270" si="3229">-B2272*COS(B$6)+B$1*COS(C2270)+B$2*COS(C2271)-B$3*COS(C$4)</f>
        <v>-1.531435568635775E-16</v>
      </c>
      <c r="H2270" s="11" t="s">
        <v>14</v>
      </c>
      <c r="I2270" s="12"/>
      <c r="J2270" s="13"/>
      <c r="L2270" s="11" t="s">
        <v>982</v>
      </c>
      <c r="M2270" s="12"/>
      <c r="N2270" s="13"/>
      <c r="O2270" s="14" t="s">
        <v>18</v>
      </c>
      <c r="Q2270" s="16" t="s">
        <v>19</v>
      </c>
    </row>
    <row r="2271" spans="1:17" x14ac:dyDescent="0.35">
      <c r="A2271" s="1" t="s">
        <v>983</v>
      </c>
      <c r="B2271" s="4">
        <f t="shared" si="3227"/>
        <v>-0.45923188386093877</v>
      </c>
      <c r="C2271" s="2">
        <f t="shared" si="3228"/>
        <v>-8.0151084035095903E-3</v>
      </c>
      <c r="E2271" s="7" t="s">
        <v>984</v>
      </c>
      <c r="F2271" s="6">
        <f t="shared" ref="F2271" si="3230">-B2272*SIN(B$6)+B$1*SIN(C2270)+B$2*SIN(C2271)-B$3*SIN(C$4)</f>
        <v>0</v>
      </c>
      <c r="H2271" s="8" t="s">
        <v>16</v>
      </c>
      <c r="I2271" s="8" t="s">
        <v>15</v>
      </c>
      <c r="J2271" s="9" t="s">
        <v>8</v>
      </c>
      <c r="L2271" s="8" t="s">
        <v>16</v>
      </c>
      <c r="M2271" s="8" t="s">
        <v>15</v>
      </c>
      <c r="N2271" s="9" t="s">
        <v>8</v>
      </c>
      <c r="O2271" s="15"/>
      <c r="Q2271" s="17"/>
    </row>
    <row r="2272" spans="1:17" x14ac:dyDescent="0.35">
      <c r="A2272" s="1" t="s">
        <v>8</v>
      </c>
      <c r="B2272" s="4">
        <f t="shared" ref="B2272" si="3231">B2263+Q2265</f>
        <v>4.416381665497239</v>
      </c>
      <c r="C2272" s="2"/>
      <c r="E2272" s="7" t="s">
        <v>985</v>
      </c>
      <c r="F2272" s="6">
        <f>C2270-F$3*B2268-0.5*(F$4)*B2268^2</f>
        <v>-0.29249999999999865</v>
      </c>
      <c r="H2272" s="2">
        <f t="shared" ref="H2272" si="3232">-B$1*SIN(C2270)</f>
        <v>-2.5480901355164161</v>
      </c>
      <c r="I2272" s="2">
        <f t="shared" ref="I2272" si="3233">-B$2*SIN(C2271)</f>
        <v>4.8090135516416208E-2</v>
      </c>
      <c r="J2272" s="2">
        <f t="shared" ref="J2272" si="3234">-COS(B$6)</f>
        <v>-1</v>
      </c>
      <c r="L2272" s="2" cm="1">
        <f t="array" ref="L2272:N2274">MINVERSE(H2272:J2274)</f>
        <v>0</v>
      </c>
      <c r="M2272" s="2">
        <v>0</v>
      </c>
      <c r="N2272" s="2">
        <v>1.0000000000000002</v>
      </c>
      <c r="O2272" s="10">
        <f t="shared" ref="O2272:O2274" si="3235">-F2270</f>
        <v>1.531435568635775E-16</v>
      </c>
      <c r="Q2272" s="2" cm="1">
        <f t="array" ref="Q2272:Q2274">MMULT(L2272:N2274,O2272:O2274)</f>
        <v>0.29249999999999871</v>
      </c>
    </row>
    <row r="2273" spans="1:17" x14ac:dyDescent="0.35">
      <c r="H2273" s="2">
        <f t="shared" ref="H2273" si="3236">B$1*COS(C2270)</f>
        <v>-1.5834256096463557</v>
      </c>
      <c r="I2273" s="2">
        <f t="shared" ref="I2273" si="3237">B$2*COS(C2271)</f>
        <v>5.9998072751435947</v>
      </c>
      <c r="J2273" s="2">
        <f t="shared" ref="J2273" si="3238">-SIN(B$6)</f>
        <v>0</v>
      </c>
      <c r="L2273" s="2">
        <v>0</v>
      </c>
      <c r="M2273" s="2">
        <v>0.1666720203068634</v>
      </c>
      <c r="N2273" s="2">
        <v>0.263912745365385</v>
      </c>
      <c r="O2273" s="10">
        <f t="shared" si="3235"/>
        <v>0</v>
      </c>
      <c r="Q2273" s="2">
        <v>7.7194478019374763E-2</v>
      </c>
    </row>
    <row r="2274" spans="1:17" x14ac:dyDescent="0.35">
      <c r="H2274" s="2">
        <v>1</v>
      </c>
      <c r="I2274" s="2">
        <v>0</v>
      </c>
      <c r="J2274" s="2">
        <v>0</v>
      </c>
      <c r="L2274" s="2">
        <v>-1</v>
      </c>
      <c r="M2274" s="2">
        <v>8.0152800433519345E-3</v>
      </c>
      <c r="N2274" s="2">
        <v>-2.5353985358272855</v>
      </c>
      <c r="O2274" s="10">
        <f t="shared" si="3235"/>
        <v>0.29249999999999865</v>
      </c>
      <c r="Q2274" s="2">
        <v>-0.74160407172947773</v>
      </c>
    </row>
    <row r="2277" spans="1:17" x14ac:dyDescent="0.35">
      <c r="A2277" s="1" t="s">
        <v>9</v>
      </c>
      <c r="B2277" s="2">
        <f t="shared" ref="B2277" si="3239">IF(AND((B2268 = B2259), ABS(B2272-B2263) &lt; 0.001),B2268+0.1,B2268)</f>
        <v>5.8999999999999968</v>
      </c>
    </row>
    <row r="2278" spans="1:17" x14ac:dyDescent="0.35">
      <c r="C2278" s="1" t="s">
        <v>3</v>
      </c>
    </row>
    <row r="2279" spans="1:17" x14ac:dyDescent="0.35">
      <c r="A2279" s="1" t="s">
        <v>986</v>
      </c>
      <c r="B2279" s="4">
        <f t="shared" ref="B2279:B2280" si="3240">C2279*180/PI()</f>
        <v>498.61652121259834</v>
      </c>
      <c r="C2279" s="2">
        <f t="shared" ref="C2279:C2280" si="3241">C2270+Q2272</f>
        <v>8.7024999999999899</v>
      </c>
      <c r="E2279" s="7" t="s">
        <v>987</v>
      </c>
      <c r="F2279" s="6">
        <f t="shared" ref="F2279" si="3242">-B2281*COS(B$6)+B$1*COS(C2279)+B$2*COS(C2280)-B$3*COS(C$4)</f>
        <v>5.9965593432781919E-2</v>
      </c>
      <c r="H2279" s="11" t="s">
        <v>14</v>
      </c>
      <c r="I2279" s="12"/>
      <c r="J2279" s="13"/>
      <c r="L2279" s="11" t="s">
        <v>988</v>
      </c>
      <c r="M2279" s="12"/>
      <c r="N2279" s="13"/>
      <c r="O2279" s="14" t="s">
        <v>18</v>
      </c>
      <c r="Q2279" s="16" t="s">
        <v>19</v>
      </c>
    </row>
    <row r="2280" spans="1:17" x14ac:dyDescent="0.35">
      <c r="A2280" s="1" t="s">
        <v>989</v>
      </c>
      <c r="B2280" s="4">
        <f t="shared" si="3240"/>
        <v>3.9636859083646372</v>
      </c>
      <c r="C2280" s="2">
        <f t="shared" si="3241"/>
        <v>6.9179369615865169E-2</v>
      </c>
      <c r="E2280" s="7" t="s">
        <v>990</v>
      </c>
      <c r="F2280" s="6">
        <f t="shared" ref="F2280" si="3243">-B2281*SIN(B$6)+B$1*SIN(C2279)+B$2*SIN(C2280)-B$3*SIN(C$4)</f>
        <v>-0.10196814977232638</v>
      </c>
      <c r="H2280" s="8" t="s">
        <v>16</v>
      </c>
      <c r="I2280" s="8" t="s">
        <v>15</v>
      </c>
      <c r="J2280" s="9" t="s">
        <v>8</v>
      </c>
      <c r="L2280" s="8" t="s">
        <v>16</v>
      </c>
      <c r="M2280" s="8" t="s">
        <v>15</v>
      </c>
      <c r="N2280" s="9" t="s">
        <v>8</v>
      </c>
      <c r="O2280" s="15"/>
      <c r="Q2280" s="17"/>
    </row>
    <row r="2281" spans="1:17" x14ac:dyDescent="0.35">
      <c r="A2281" s="1" t="s">
        <v>8</v>
      </c>
      <c r="B2281" s="4">
        <f t="shared" ref="B2281" si="3244">B2272+Q2274</f>
        <v>3.6747775937677614</v>
      </c>
      <c r="C2281" s="2"/>
      <c r="E2281" s="7" t="s">
        <v>991</v>
      </c>
      <c r="F2281" s="6">
        <f>C2279-F$3*B2277-0.5*(F$4)*B2277^2</f>
        <v>0</v>
      </c>
      <c r="H2281" s="2">
        <f t="shared" ref="H2281" si="3245">-B$1*SIN(C2279)</f>
        <v>-1.9832866309200958</v>
      </c>
      <c r="I2281" s="2">
        <f t="shared" ref="I2281" si="3246">-B$2*SIN(C2280)</f>
        <v>-0.41474521930757802</v>
      </c>
      <c r="J2281" s="2">
        <f t="shared" ref="J2281" si="3247">-COS(B$6)</f>
        <v>-1</v>
      </c>
      <c r="L2281" s="2" cm="1">
        <f t="array" ref="L2281:N2283">MINVERSE(H2281:J2283)</f>
        <v>0</v>
      </c>
      <c r="M2281" s="2">
        <v>0</v>
      </c>
      <c r="N2281" s="2">
        <v>1.0000000000000002</v>
      </c>
      <c r="O2281" s="10">
        <f t="shared" ref="O2281:O2283" si="3248">-F2279</f>
        <v>-5.9965593432781919E-2</v>
      </c>
      <c r="Q2281" s="2" cm="1">
        <f t="array" ref="Q2281:Q2283">MMULT(L2281:N2283,O2281:O2283)</f>
        <v>0</v>
      </c>
    </row>
    <row r="2282" spans="1:17" x14ac:dyDescent="0.35">
      <c r="H2282" s="2">
        <f t="shared" ref="H2282" si="3249">B$1*COS(C2279)</f>
        <v>-2.250905182279701</v>
      </c>
      <c r="I2282" s="2">
        <f t="shared" ref="I2282" si="3250">B$2*COS(C2280)</f>
        <v>5.9856483694802449</v>
      </c>
      <c r="J2282" s="2">
        <f t="shared" ref="J2282" si="3251">-SIN(B$6)</f>
        <v>0</v>
      </c>
      <c r="L2282" s="2">
        <v>0</v>
      </c>
      <c r="M2282" s="2">
        <v>0.16706627891789</v>
      </c>
      <c r="N2282" s="2">
        <v>0.37605035300046458</v>
      </c>
      <c r="O2282" s="10">
        <f t="shared" si="3248"/>
        <v>0.10196814977232638</v>
      </c>
      <c r="Q2282" s="2">
        <v>1.7035439350604659E-2</v>
      </c>
    </row>
    <row r="2283" spans="1:17" x14ac:dyDescent="0.35">
      <c r="H2283" s="2">
        <v>1</v>
      </c>
      <c r="I2283" s="2">
        <v>0</v>
      </c>
      <c r="J2283" s="2">
        <v>0</v>
      </c>
      <c r="L2283" s="2">
        <v>-1</v>
      </c>
      <c r="M2283" s="2">
        <v>-6.9289940488701435E-2</v>
      </c>
      <c r="N2283" s="2">
        <v>-2.139251717045966</v>
      </c>
      <c r="O2283" s="10">
        <f t="shared" si="3248"/>
        <v>0</v>
      </c>
      <c r="Q2283" s="2">
        <v>5.2900226403314432E-2</v>
      </c>
    </row>
    <row r="2286" spans="1:17" x14ac:dyDescent="0.35">
      <c r="A2286" s="1" t="s">
        <v>9</v>
      </c>
      <c r="B2286" s="2">
        <f t="shared" ref="B2286" si="3252">IF(AND((B2277 = B2268), ABS(B2281-B2272) &lt; 0.001),B2277+0.1,B2277)</f>
        <v>5.8999999999999968</v>
      </c>
    </row>
    <row r="2287" spans="1:17" x14ac:dyDescent="0.35">
      <c r="C2287" s="1" t="s">
        <v>3</v>
      </c>
    </row>
    <row r="2288" spans="1:17" x14ac:dyDescent="0.35">
      <c r="A2288" s="1" t="s">
        <v>992</v>
      </c>
      <c r="B2288" s="4">
        <f t="shared" ref="B2288:B2289" si="3253">C2288*180/PI()</f>
        <v>498.61652121259834</v>
      </c>
      <c r="C2288" s="2">
        <f t="shared" ref="C2288:C2289" si="3254">C2279+Q2281</f>
        <v>8.7024999999999899</v>
      </c>
      <c r="E2288" s="7" t="s">
        <v>993</v>
      </c>
      <c r="F2288" s="6">
        <f t="shared" ref="F2288" si="3255">-B2290*COS(B$6)+B$1*COS(C2288)+B$2*COS(C2289)-B$3*COS(C$4)</f>
        <v>-8.6817338063942305E-4</v>
      </c>
      <c r="H2288" s="11" t="s">
        <v>14</v>
      </c>
      <c r="I2288" s="12"/>
      <c r="J2288" s="13"/>
      <c r="L2288" s="11" t="s">
        <v>994</v>
      </c>
      <c r="M2288" s="12"/>
      <c r="N2288" s="13"/>
      <c r="O2288" s="14" t="s">
        <v>18</v>
      </c>
      <c r="Q2288" s="16" t="s">
        <v>19</v>
      </c>
    </row>
    <row r="2289" spans="1:17" x14ac:dyDescent="0.35">
      <c r="A2289" s="1" t="s">
        <v>995</v>
      </c>
      <c r="B2289" s="4">
        <f t="shared" si="3253"/>
        <v>4.9397446853053681</v>
      </c>
      <c r="C2289" s="2">
        <f t="shared" si="3254"/>
        <v>8.6214808966469825E-2</v>
      </c>
      <c r="E2289" s="7" t="s">
        <v>996</v>
      </c>
      <c r="F2289" s="6">
        <f t="shared" ref="F2289" si="3256">-B2290*SIN(B$6)+B$1*SIN(C2288)+B$2*SIN(C2289)-B$3*SIN(C$4)</f>
        <v>-6.5111253579885897E-5</v>
      </c>
      <c r="H2289" s="8" t="s">
        <v>16</v>
      </c>
      <c r="I2289" s="8" t="s">
        <v>15</v>
      </c>
      <c r="J2289" s="9" t="s">
        <v>8</v>
      </c>
      <c r="L2289" s="8" t="s">
        <v>16</v>
      </c>
      <c r="M2289" s="8" t="s">
        <v>15</v>
      </c>
      <c r="N2289" s="9" t="s">
        <v>8</v>
      </c>
      <c r="O2289" s="15"/>
      <c r="Q2289" s="17"/>
    </row>
    <row r="2290" spans="1:17" x14ac:dyDescent="0.35">
      <c r="A2290" s="1" t="s">
        <v>8</v>
      </c>
      <c r="B2290" s="4">
        <f t="shared" ref="B2290" si="3257">B2281+Q2283</f>
        <v>3.7276778201710759</v>
      </c>
      <c r="C2290" s="2"/>
      <c r="E2290" s="7" t="s">
        <v>997</v>
      </c>
      <c r="F2290" s="6">
        <f>C2288-F$3*B2286-0.5*(F$4)*B2286^2</f>
        <v>0</v>
      </c>
      <c r="H2290" s="2">
        <f t="shared" ref="H2290" si="3258">-B$1*SIN(C2288)</f>
        <v>-1.9832866309200958</v>
      </c>
      <c r="I2290" s="2">
        <f t="shared" ref="I2290" si="3259">-B$2*SIN(C2289)</f>
        <v>-0.51664825782632429</v>
      </c>
      <c r="J2290" s="2">
        <f t="shared" ref="J2290" si="3260">-COS(B$6)</f>
        <v>-1</v>
      </c>
      <c r="L2290" s="2" cm="1">
        <f t="array" ref="L2290:N2292">MINVERSE(H2290:J2292)</f>
        <v>0</v>
      </c>
      <c r="M2290" s="2">
        <v>0</v>
      </c>
      <c r="N2290" s="2">
        <v>1</v>
      </c>
      <c r="O2290" s="10">
        <f t="shared" ref="O2290:O2292" si="3261">-F2288</f>
        <v>8.6817338063942305E-4</v>
      </c>
      <c r="Q2290" s="2" cm="1">
        <f t="array" ref="Q2290:Q2292">MMULT(L2290:N2292,O2290:O2292)</f>
        <v>0</v>
      </c>
    </row>
    <row r="2291" spans="1:17" x14ac:dyDescent="0.35">
      <c r="H2291" s="2">
        <f t="shared" ref="H2291" si="3262">B$1*COS(C2288)</f>
        <v>-2.250905182279701</v>
      </c>
      <c r="I2291" s="2">
        <f t="shared" ref="I2291" si="3263">B$2*COS(C2289)</f>
        <v>5.9777148290701376</v>
      </c>
      <c r="J2291" s="2">
        <f t="shared" ref="J2291" si="3264">-SIN(B$6)</f>
        <v>0</v>
      </c>
      <c r="L2291" s="2">
        <v>0</v>
      </c>
      <c r="M2291" s="2">
        <v>0.16728800697164653</v>
      </c>
      <c r="N2291" s="2">
        <v>0.37654944182572192</v>
      </c>
      <c r="O2291" s="10">
        <f t="shared" si="3261"/>
        <v>6.5111253579885897E-5</v>
      </c>
      <c r="Q2291" s="2">
        <v>1.0892331842804597E-5</v>
      </c>
    </row>
    <row r="2292" spans="1:17" x14ac:dyDescent="0.35">
      <c r="H2292" s="2">
        <v>1</v>
      </c>
      <c r="I2292" s="2">
        <v>0</v>
      </c>
      <c r="J2292" s="2">
        <v>0</v>
      </c>
      <c r="L2292" s="2">
        <v>-1</v>
      </c>
      <c r="M2292" s="2">
        <v>-8.6429057357139114E-2</v>
      </c>
      <c r="N2292" s="2">
        <v>-2.1778302440248298</v>
      </c>
      <c r="O2292" s="10">
        <f t="shared" si="3261"/>
        <v>0</v>
      </c>
      <c r="Q2292" s="2">
        <v>-8.7380088490967428E-4</v>
      </c>
    </row>
    <row r="2295" spans="1:17" x14ac:dyDescent="0.35">
      <c r="A2295" s="1" t="s">
        <v>9</v>
      </c>
      <c r="B2295" s="2">
        <f t="shared" ref="B2295" si="3265">IF(AND((B2286 = B2277), ABS(B2290-B2281) &lt; 0.001),B2286+0.1,B2286)</f>
        <v>5.8999999999999968</v>
      </c>
    </row>
    <row r="2296" spans="1:17" x14ac:dyDescent="0.35">
      <c r="C2296" s="1" t="s">
        <v>3</v>
      </c>
    </row>
    <row r="2297" spans="1:17" x14ac:dyDescent="0.35">
      <c r="A2297" s="1" t="s">
        <v>998</v>
      </c>
      <c r="B2297" s="4">
        <f t="shared" ref="B2297:B2298" si="3266">C2297*180/PI()</f>
        <v>498.61652121259834</v>
      </c>
      <c r="C2297" s="2">
        <f t="shared" ref="C2297:C2298" si="3267">C2288+Q2290</f>
        <v>8.7024999999999899</v>
      </c>
      <c r="E2297" s="7" t="s">
        <v>999</v>
      </c>
      <c r="F2297" s="6">
        <f t="shared" ref="F2297" si="3268">-B2299*COS(B$6)+B$1*COS(C2297)+B$2*COS(C2298)-B$3*COS(C$4)</f>
        <v>-3.5460627538725156E-10</v>
      </c>
      <c r="H2297" s="11" t="s">
        <v>14</v>
      </c>
      <c r="I2297" s="12"/>
      <c r="J2297" s="13"/>
      <c r="L2297" s="11" t="s">
        <v>1000</v>
      </c>
      <c r="M2297" s="12"/>
      <c r="N2297" s="13"/>
      <c r="O2297" s="14" t="s">
        <v>18</v>
      </c>
      <c r="Q2297" s="16" t="s">
        <v>19</v>
      </c>
    </row>
    <row r="2298" spans="1:17" x14ac:dyDescent="0.35">
      <c r="A2298" s="1" t="s">
        <v>1001</v>
      </c>
      <c r="B2298" s="4">
        <f t="shared" si="3266"/>
        <v>4.9403687699490169</v>
      </c>
      <c r="C2298" s="2">
        <f t="shared" si="3267"/>
        <v>8.6225701298312626E-2</v>
      </c>
      <c r="E2298" s="7" t="s">
        <v>1002</v>
      </c>
      <c r="F2298" s="6">
        <f t="shared" ref="F2298" si="3269">-B2299*SIN(B$6)+B$1*SIN(C2297)+B$2*SIN(C2298)-B$3*SIN(C$4)</f>
        <v>-3.0649704996221772E-11</v>
      </c>
      <c r="H2298" s="8" t="s">
        <v>16</v>
      </c>
      <c r="I2298" s="8" t="s">
        <v>15</v>
      </c>
      <c r="J2298" s="9" t="s">
        <v>8</v>
      </c>
      <c r="L2298" s="8" t="s">
        <v>16</v>
      </c>
      <c r="M2298" s="8" t="s">
        <v>15</v>
      </c>
      <c r="N2298" s="9" t="s">
        <v>8</v>
      </c>
      <c r="O2298" s="15"/>
      <c r="Q2298" s="17"/>
    </row>
    <row r="2299" spans="1:17" x14ac:dyDescent="0.35">
      <c r="A2299" s="1" t="s">
        <v>8</v>
      </c>
      <c r="B2299" s="4">
        <f t="shared" ref="B2299" si="3270">B2290+Q2292</f>
        <v>3.726804019286166</v>
      </c>
      <c r="C2299" s="2"/>
      <c r="E2299" s="7" t="s">
        <v>1003</v>
      </c>
      <c r="F2299" s="6">
        <f>C2297-F$3*B2295-0.5*(F$4)*B2295^2</f>
        <v>0</v>
      </c>
      <c r="H2299" s="2">
        <f t="shared" ref="H2299" si="3271">-B$1*SIN(C2297)</f>
        <v>-1.9832866309200958</v>
      </c>
      <c r="I2299" s="2">
        <f t="shared" ref="I2299" si="3272">-B$2*SIN(C2298)</f>
        <v>-0.51671336904925447</v>
      </c>
      <c r="J2299" s="2">
        <f t="shared" ref="J2299" si="3273">-COS(B$6)</f>
        <v>-1</v>
      </c>
      <c r="L2299" s="2" cm="1">
        <f t="array" ref="L2299:N2301">MINVERSE(H2299:J2301)</f>
        <v>0</v>
      </c>
      <c r="M2299" s="2">
        <v>0</v>
      </c>
      <c r="N2299" s="2">
        <v>1</v>
      </c>
      <c r="O2299" s="10">
        <f t="shared" ref="O2299:O2301" si="3274">-F2297</f>
        <v>3.5460627538725156E-10</v>
      </c>
      <c r="Q2299" s="2" cm="1">
        <f t="array" ref="Q2299:Q2301">MMULT(L2299:N2301,O2299:O2301)</f>
        <v>0</v>
      </c>
    </row>
    <row r="2300" spans="1:17" x14ac:dyDescent="0.35">
      <c r="H2300" s="2">
        <f t="shared" ref="H2300" si="3275">B$1*COS(C2297)</f>
        <v>-2.250905182279701</v>
      </c>
      <c r="I2300" s="2">
        <f t="shared" ref="I2300" si="3276">B$2*COS(C2298)</f>
        <v>5.9777092012112609</v>
      </c>
      <c r="J2300" s="2">
        <f t="shared" ref="J2300" si="3277">-SIN(B$6)</f>
        <v>0</v>
      </c>
      <c r="L2300" s="2">
        <v>0</v>
      </c>
      <c r="M2300" s="2">
        <v>0.16728816446898595</v>
      </c>
      <c r="N2300" s="2">
        <v>0.3765497963372994</v>
      </c>
      <c r="O2300" s="10">
        <f t="shared" si="3274"/>
        <v>3.0649704996221772E-11</v>
      </c>
      <c r="Q2300" s="2">
        <v>5.1273328903338478E-12</v>
      </c>
    </row>
    <row r="2301" spans="1:17" x14ac:dyDescent="0.35">
      <c r="H2301" s="2">
        <v>1</v>
      </c>
      <c r="I2301" s="2">
        <v>0</v>
      </c>
      <c r="J2301" s="2">
        <v>0</v>
      </c>
      <c r="L2301" s="2">
        <v>-1</v>
      </c>
      <c r="M2301" s="2">
        <v>-8.6440031064835485E-2</v>
      </c>
      <c r="N2301" s="2">
        <v>-2.1778549448003521</v>
      </c>
      <c r="O2301" s="10">
        <f t="shared" si="3274"/>
        <v>0</v>
      </c>
      <c r="Q2301" s="2">
        <v>-3.5725563683925301E-10</v>
      </c>
    </row>
    <row r="2304" spans="1:17" x14ac:dyDescent="0.35">
      <c r="A2304" s="1" t="s">
        <v>9</v>
      </c>
      <c r="B2304" s="2">
        <f t="shared" ref="B2304" si="3278">IF(AND((B2295 = B2286), ABS(B2299-B2290) &lt; 0.001),B2295+0.1,B2295)</f>
        <v>5.9999999999999964</v>
      </c>
    </row>
    <row r="2305" spans="1:17" x14ac:dyDescent="0.35">
      <c r="C2305" s="1" t="s">
        <v>3</v>
      </c>
    </row>
    <row r="2306" spans="1:17" x14ac:dyDescent="0.35">
      <c r="A2306" s="1" t="s">
        <v>1004</v>
      </c>
      <c r="B2306" s="4">
        <f t="shared" ref="B2306:B2307" si="3279">C2306*180/PI()</f>
        <v>498.61652121259834</v>
      </c>
      <c r="C2306" s="2">
        <f t="shared" ref="C2306:C2307" si="3280">C2297+Q2299</f>
        <v>8.7024999999999899</v>
      </c>
      <c r="E2306" s="7" t="s">
        <v>1005</v>
      </c>
      <c r="F2306" s="6">
        <f t="shared" ref="F2306" si="3281">-B2308*COS(B$6)+B$1*COS(C2306)+B$2*COS(C2307)-B$3*COS(C$4)</f>
        <v>-1.531435568635775E-16</v>
      </c>
      <c r="H2306" s="11" t="s">
        <v>14</v>
      </c>
      <c r="I2306" s="12"/>
      <c r="J2306" s="13"/>
      <c r="L2306" s="11" t="s">
        <v>1006</v>
      </c>
      <c r="M2306" s="12"/>
      <c r="N2306" s="13"/>
      <c r="O2306" s="14" t="s">
        <v>18</v>
      </c>
      <c r="Q2306" s="16" t="s">
        <v>19</v>
      </c>
    </row>
    <row r="2307" spans="1:17" x14ac:dyDescent="0.35">
      <c r="A2307" s="1" t="s">
        <v>1007</v>
      </c>
      <c r="B2307" s="4">
        <f t="shared" si="3279"/>
        <v>4.9403687702427908</v>
      </c>
      <c r="C2307" s="2">
        <f t="shared" si="3280"/>
        <v>8.6225701303439956E-2</v>
      </c>
      <c r="E2307" s="7" t="s">
        <v>1008</v>
      </c>
      <c r="F2307" s="6">
        <f t="shared" ref="F2307" si="3282">-B2308*SIN(B$6)+B$1*SIN(C2306)+B$2*SIN(C2307)-B$3*SIN(C$4)</f>
        <v>0</v>
      </c>
      <c r="H2307" s="8" t="s">
        <v>16</v>
      </c>
      <c r="I2307" s="8" t="s">
        <v>15</v>
      </c>
      <c r="J2307" s="9" t="s">
        <v>8</v>
      </c>
      <c r="L2307" s="8" t="s">
        <v>16</v>
      </c>
      <c r="M2307" s="8" t="s">
        <v>15</v>
      </c>
      <c r="N2307" s="9" t="s">
        <v>8</v>
      </c>
      <c r="O2307" s="15"/>
      <c r="Q2307" s="17"/>
    </row>
    <row r="2308" spans="1:17" x14ac:dyDescent="0.35">
      <c r="A2308" s="1" t="s">
        <v>8</v>
      </c>
      <c r="B2308" s="4">
        <f t="shared" ref="B2308" si="3283">B2299+Q2301</f>
        <v>3.7268040189289104</v>
      </c>
      <c r="C2308" s="2"/>
      <c r="E2308" s="7" t="s">
        <v>1009</v>
      </c>
      <c r="F2308" s="6">
        <f>C2306-F$3*B2304-0.5*(F$4)*B2304^2</f>
        <v>-0.29749999999999943</v>
      </c>
      <c r="H2308" s="2">
        <f t="shared" ref="H2308" si="3284">-B$1*SIN(C2306)</f>
        <v>-1.9832866309200958</v>
      </c>
      <c r="I2308" s="2">
        <f t="shared" ref="I2308" si="3285">-B$2*SIN(C2307)</f>
        <v>-0.51671336907990417</v>
      </c>
      <c r="J2308" s="2">
        <f t="shared" ref="J2308" si="3286">-COS(B$6)</f>
        <v>-1</v>
      </c>
      <c r="L2308" s="2" cm="1">
        <f t="array" ref="L2308:N2310">MINVERSE(H2308:J2310)</f>
        <v>0</v>
      </c>
      <c r="M2308" s="2">
        <v>9.8646805148916176E-17</v>
      </c>
      <c r="N2308" s="2">
        <v>1</v>
      </c>
      <c r="O2308" s="10">
        <f t="shared" ref="O2308:O2310" si="3287">-F2306</f>
        <v>1.531435568635775E-16</v>
      </c>
      <c r="Q2308" s="2" cm="1">
        <f t="array" ref="Q2308:Q2310">MMULT(L2308:N2310,O2308:O2310)</f>
        <v>0.29749999999999943</v>
      </c>
    </row>
    <row r="2309" spans="1:17" x14ac:dyDescent="0.35">
      <c r="H2309" s="2">
        <f t="shared" ref="H2309" si="3288">B$1*COS(C2306)</f>
        <v>-2.250905182279701</v>
      </c>
      <c r="I2309" s="2">
        <f t="shared" ref="I2309" si="3289">B$2*COS(C2307)</f>
        <v>5.9777092012086115</v>
      </c>
      <c r="J2309" s="2">
        <f t="shared" ref="J2309" si="3290">-SIN(B$6)</f>
        <v>0</v>
      </c>
      <c r="L2309" s="2">
        <v>0</v>
      </c>
      <c r="M2309" s="2">
        <v>0.16728816446906011</v>
      </c>
      <c r="N2309" s="2">
        <v>0.37654979633746632</v>
      </c>
      <c r="O2309" s="10">
        <f t="shared" si="3287"/>
        <v>0</v>
      </c>
      <c r="Q2309" s="2">
        <v>0.11202356441039601</v>
      </c>
    </row>
    <row r="2310" spans="1:17" x14ac:dyDescent="0.35">
      <c r="H2310" s="2">
        <v>1</v>
      </c>
      <c r="I2310" s="2">
        <v>0</v>
      </c>
      <c r="J2310" s="2">
        <v>0</v>
      </c>
      <c r="L2310" s="2">
        <v>-1</v>
      </c>
      <c r="M2310" s="2">
        <v>-8.6440031070001283E-2</v>
      </c>
      <c r="N2310" s="2">
        <v>-2.1778549448119802</v>
      </c>
      <c r="O2310" s="10">
        <f t="shared" si="3287"/>
        <v>0.29749999999999943</v>
      </c>
      <c r="Q2310" s="2">
        <v>-0.64791184608156294</v>
      </c>
    </row>
    <row r="2313" spans="1:17" x14ac:dyDescent="0.35">
      <c r="A2313" s="1" t="s">
        <v>9</v>
      </c>
      <c r="B2313" s="2">
        <f t="shared" ref="B2313" si="3291">IF(AND((B2304 = B2295), ABS(B2308-B2299) &lt; 0.001),B2304+0.1,B2304)</f>
        <v>5.9999999999999964</v>
      </c>
    </row>
    <row r="2314" spans="1:17" x14ac:dyDescent="0.35">
      <c r="C2314" s="1" t="s">
        <v>3</v>
      </c>
    </row>
    <row r="2315" spans="1:17" x14ac:dyDescent="0.35">
      <c r="A2315" s="1" t="s">
        <v>1010</v>
      </c>
      <c r="B2315" s="4">
        <f t="shared" ref="B2315:B2316" si="3292">C2315*180/PI()</f>
        <v>515.66201561774028</v>
      </c>
      <c r="C2315" s="2">
        <f t="shared" ref="C2315:C2316" si="3293">C2306+Q2308</f>
        <v>8.9999999999999893</v>
      </c>
      <c r="E2315" s="7" t="s">
        <v>1011</v>
      </c>
      <c r="F2315" s="6">
        <f t="shared" ref="F2315" si="3294">-B2317*COS(B$6)+B$1*COS(C2315)+B$2*COS(C2316)-B$3*COS(C$4)</f>
        <v>7.0194398816908102E-2</v>
      </c>
      <c r="H2315" s="11" t="s">
        <v>14</v>
      </c>
      <c r="I2315" s="12"/>
      <c r="J2315" s="13"/>
      <c r="L2315" s="11" t="s">
        <v>1012</v>
      </c>
      <c r="M2315" s="12"/>
      <c r="N2315" s="13"/>
      <c r="O2315" s="14" t="s">
        <v>18</v>
      </c>
      <c r="Q2315" s="16" t="s">
        <v>19</v>
      </c>
    </row>
    <row r="2316" spans="1:17" x14ac:dyDescent="0.35">
      <c r="A2316" s="1" t="s">
        <v>1013</v>
      </c>
      <c r="B2316" s="4">
        <f t="shared" si="3292"/>
        <v>11.358846216970417</v>
      </c>
      <c r="C2316" s="2">
        <f t="shared" si="3293"/>
        <v>0.19824926571383597</v>
      </c>
      <c r="E2316" s="7" t="s">
        <v>1014</v>
      </c>
      <c r="F2316" s="6">
        <f t="shared" ref="F2316" si="3295">-B2317*SIN(B$6)+B$1*SIN(C2315)+B$2*SIN(C2316)-B$3*SIN(C$4)</f>
        <v>-8.1925398014549344E-2</v>
      </c>
      <c r="H2316" s="8" t="s">
        <v>16</v>
      </c>
      <c r="I2316" s="8" t="s">
        <v>15</v>
      </c>
      <c r="J2316" s="9" t="s">
        <v>8</v>
      </c>
      <c r="L2316" s="8" t="s">
        <v>16</v>
      </c>
      <c r="M2316" s="8" t="s">
        <v>15</v>
      </c>
      <c r="N2316" s="9" t="s">
        <v>8</v>
      </c>
      <c r="O2316" s="15"/>
      <c r="Q2316" s="17"/>
    </row>
    <row r="2317" spans="1:17" x14ac:dyDescent="0.35">
      <c r="A2317" s="1" t="s">
        <v>8</v>
      </c>
      <c r="B2317" s="4">
        <f t="shared" ref="B2317" si="3296">B2308+Q2310</f>
        <v>3.0788921728473477</v>
      </c>
      <c r="C2317" s="2"/>
      <c r="E2317" s="7" t="s">
        <v>1015</v>
      </c>
      <c r="F2317" s="6">
        <f>C2315-F$3*B2313-0.5*(F$4)*B2313^2</f>
        <v>0</v>
      </c>
      <c r="H2317" s="2">
        <f t="shared" ref="H2317" si="3297">-B$1*SIN(C2315)</f>
        <v>-1.2363554557252989</v>
      </c>
      <c r="I2317" s="2">
        <f t="shared" ref="I2317" si="3298">-B$2*SIN(C2316)</f>
        <v>-1.1817191462601517</v>
      </c>
      <c r="J2317" s="2">
        <f t="shared" ref="J2317" si="3299">-COS(B$6)</f>
        <v>-1</v>
      </c>
      <c r="L2317" s="2" cm="1">
        <f t="array" ref="L2317:N2319">MINVERSE(H2317:J2319)</f>
        <v>0</v>
      </c>
      <c r="M2317" s="2">
        <v>8.1234123598577484E-17</v>
      </c>
      <c r="N2317" s="2">
        <v>1</v>
      </c>
      <c r="O2317" s="10">
        <f t="shared" ref="O2317:O2319" si="3300">-F2315</f>
        <v>-7.0194398816908102E-2</v>
      </c>
      <c r="Q2317" s="2" cm="1">
        <f t="array" ref="Q2317:Q2319">MMULT(L2317:N2319,O2317:O2319)</f>
        <v>6.655137908176556E-18</v>
      </c>
    </row>
    <row r="2318" spans="1:17" x14ac:dyDescent="0.35">
      <c r="H2318" s="2">
        <f t="shared" ref="H2318" si="3301">B$1*COS(C2315)</f>
        <v>-2.7333907856540178</v>
      </c>
      <c r="I2318" s="2">
        <f t="shared" ref="I2318" si="3302">B$2*COS(C2316)</f>
        <v>5.8824773573182734</v>
      </c>
      <c r="J2318" s="2">
        <f t="shared" ref="J2318" si="3303">-SIN(B$6)</f>
        <v>0</v>
      </c>
      <c r="L2318" s="2">
        <v>0</v>
      </c>
      <c r="M2318" s="2">
        <v>0.1699964044495505</v>
      </c>
      <c r="N2318" s="2">
        <v>0.46466660551671496</v>
      </c>
      <c r="O2318" s="10">
        <f t="shared" si="3300"/>
        <v>8.1925398014549344E-2</v>
      </c>
      <c r="Q2318" s="2">
        <v>1.3927023095571731E-2</v>
      </c>
    </row>
    <row r="2319" spans="1:17" x14ac:dyDescent="0.35">
      <c r="H2319" s="2">
        <v>1</v>
      </c>
      <c r="I2319" s="2">
        <v>0</v>
      </c>
      <c r="J2319" s="2">
        <v>0</v>
      </c>
      <c r="L2319" s="2">
        <v>-1</v>
      </c>
      <c r="M2319" s="2">
        <v>-0.20088800593341824</v>
      </c>
      <c r="N2319" s="2">
        <v>-1.7854608800921141</v>
      </c>
      <c r="O2319" s="10">
        <f t="shared" si="3300"/>
        <v>0</v>
      </c>
      <c r="Q2319" s="2">
        <v>5.3736568974463661E-2</v>
      </c>
    </row>
    <row r="2322" spans="1:17" x14ac:dyDescent="0.35">
      <c r="A2322" s="1" t="s">
        <v>9</v>
      </c>
      <c r="B2322" s="2">
        <f t="shared" ref="B2322" si="3304">IF(AND((B2313 = B2304), ABS(B2317-B2308) &lt; 0.001),B2313+0.1,B2313)</f>
        <v>5.9999999999999964</v>
      </c>
    </row>
    <row r="2323" spans="1:17" x14ac:dyDescent="0.35">
      <c r="C2323" s="1" t="s">
        <v>3</v>
      </c>
    </row>
    <row r="2324" spans="1:17" x14ac:dyDescent="0.35">
      <c r="A2324" s="1" t="s">
        <v>1016</v>
      </c>
      <c r="B2324" s="4">
        <f t="shared" ref="B2324:B2325" si="3305">C2324*180/PI()</f>
        <v>515.66201561774028</v>
      </c>
      <c r="C2324" s="2">
        <f t="shared" ref="C2324:C2325" si="3306">C2315+Q2317</f>
        <v>8.9999999999999893</v>
      </c>
      <c r="E2324" s="7" t="s">
        <v>1017</v>
      </c>
      <c r="F2324" s="6">
        <f t="shared" ref="F2324" si="3307">-B2326*COS(B$6)+B$1*COS(C2324)+B$2*COS(C2325)-B$3*COS(C$4)</f>
        <v>-5.6994720707341561E-4</v>
      </c>
      <c r="H2324" s="11" t="s">
        <v>14</v>
      </c>
      <c r="I2324" s="12"/>
      <c r="J2324" s="13"/>
      <c r="L2324" s="11" t="s">
        <v>1018</v>
      </c>
      <c r="M2324" s="12"/>
      <c r="N2324" s="13"/>
      <c r="O2324" s="14" t="s">
        <v>18</v>
      </c>
      <c r="Q2324" s="16" t="s">
        <v>19</v>
      </c>
    </row>
    <row r="2325" spans="1:17" x14ac:dyDescent="0.35">
      <c r="A2325" s="1" t="s">
        <v>1019</v>
      </c>
      <c r="B2325" s="4">
        <f t="shared" si="3305"/>
        <v>12.1568058615279</v>
      </c>
      <c r="C2325" s="2">
        <f t="shared" si="3306"/>
        <v>0.2121762888094077</v>
      </c>
      <c r="E2325" s="7" t="s">
        <v>1020</v>
      </c>
      <c r="F2325" s="6">
        <f t="shared" ref="F2325" si="3308">-B2326*SIN(B$6)+B$1*SIN(C2324)+B$2*SIN(C2325)-B$3*SIN(C$4)</f>
        <v>-1.1725081204438936E-4</v>
      </c>
      <c r="H2325" s="8" t="s">
        <v>16</v>
      </c>
      <c r="I2325" s="8" t="s">
        <v>15</v>
      </c>
      <c r="J2325" s="9" t="s">
        <v>8</v>
      </c>
      <c r="L2325" s="8" t="s">
        <v>16</v>
      </c>
      <c r="M2325" s="8" t="s">
        <v>15</v>
      </c>
      <c r="N2325" s="9" t="s">
        <v>8</v>
      </c>
      <c r="O2325" s="15"/>
      <c r="Q2325" s="17"/>
    </row>
    <row r="2326" spans="1:17" x14ac:dyDescent="0.35">
      <c r="A2326" s="1" t="s">
        <v>8</v>
      </c>
      <c r="B2326" s="4">
        <f t="shared" ref="B2326" si="3309">B2317+Q2319</f>
        <v>3.1326287418218115</v>
      </c>
      <c r="C2326" s="2"/>
      <c r="E2326" s="7" t="s">
        <v>1021</v>
      </c>
      <c r="F2326" s="6">
        <f>C2324-F$3*B2322-0.5*(F$4)*B2322^2</f>
        <v>0</v>
      </c>
      <c r="H2326" s="2">
        <f t="shared" ref="H2326" si="3310">-B$1*SIN(C2324)</f>
        <v>-1.2363554557252989</v>
      </c>
      <c r="I2326" s="2">
        <f t="shared" ref="I2326" si="3311">-B$2*SIN(C2325)</f>
        <v>-1.2635272934626569</v>
      </c>
      <c r="J2326" s="2">
        <f t="shared" ref="J2326" si="3312">-COS(B$6)</f>
        <v>-1</v>
      </c>
      <c r="L2326" s="2" cm="1">
        <f t="array" ref="L2326:N2328">MINVERSE(H2326:J2328)</f>
        <v>0</v>
      </c>
      <c r="M2326" s="2">
        <v>0</v>
      </c>
      <c r="N2326" s="2">
        <v>1</v>
      </c>
      <c r="O2326" s="10">
        <f t="shared" ref="O2326:O2328" si="3313">-F2324</f>
        <v>5.6994720707341561E-4</v>
      </c>
      <c r="Q2326" s="2" cm="1">
        <f t="array" ref="Q2326:Q2328">MMULT(L2326:N2328,O2326:O2328)</f>
        <v>0</v>
      </c>
    </row>
    <row r="2327" spans="1:17" x14ac:dyDescent="0.35">
      <c r="H2327" s="2">
        <f t="shared" ref="H2327" si="3314">B$1*COS(C2324)</f>
        <v>-2.7333907856540178</v>
      </c>
      <c r="I2327" s="2">
        <f t="shared" ref="I2327" si="3315">B$2*COS(C2325)</f>
        <v>5.8654495802687565</v>
      </c>
      <c r="J2327" s="2">
        <f t="shared" ref="J2327" si="3316">-SIN(B$6)</f>
        <v>0</v>
      </c>
      <c r="L2327" s="2">
        <v>0</v>
      </c>
      <c r="M2327" s="2">
        <v>0.17048991493575838</v>
      </c>
      <c r="N2327" s="2">
        <v>0.46601556253233928</v>
      </c>
      <c r="O2327" s="10">
        <f t="shared" si="3313"/>
        <v>1.1725081204438936E-4</v>
      </c>
      <c r="Q2327" s="2">
        <v>1.9990080971596537E-5</v>
      </c>
    </row>
    <row r="2328" spans="1:17" x14ac:dyDescent="0.35">
      <c r="H2328" s="2">
        <v>1</v>
      </c>
      <c r="I2328" s="2">
        <v>0</v>
      </c>
      <c r="J2328" s="2">
        <v>0</v>
      </c>
      <c r="L2328" s="2">
        <v>-1</v>
      </c>
      <c r="M2328" s="2">
        <v>-0.21541866078145747</v>
      </c>
      <c r="N2328" s="2">
        <v>-1.8251788381632634</v>
      </c>
      <c r="O2328" s="10">
        <f t="shared" si="3313"/>
        <v>0</v>
      </c>
      <c r="Q2328" s="2">
        <v>-5.952052199795564E-4</v>
      </c>
    </row>
    <row r="2331" spans="1:17" x14ac:dyDescent="0.35">
      <c r="A2331" s="1" t="s">
        <v>9</v>
      </c>
      <c r="B2331" s="2">
        <f t="shared" ref="B2331" si="3317">IF(AND((B2322 = B2313), ABS(B2326-B2317) &lt; 0.001),B2322+0.1,B2322)</f>
        <v>5.9999999999999964</v>
      </c>
    </row>
    <row r="2332" spans="1:17" x14ac:dyDescent="0.35">
      <c r="C2332" s="1" t="s">
        <v>3</v>
      </c>
    </row>
    <row r="2333" spans="1:17" x14ac:dyDescent="0.35">
      <c r="A2333" s="1" t="s">
        <v>1022</v>
      </c>
      <c r="B2333" s="4">
        <f t="shared" ref="B2333:B2334" si="3318">C2333*180/PI()</f>
        <v>515.66201561774028</v>
      </c>
      <c r="C2333" s="2">
        <f t="shared" ref="C2333:C2334" si="3319">C2324+Q2326</f>
        <v>8.9999999999999893</v>
      </c>
      <c r="E2333" s="7" t="s">
        <v>1023</v>
      </c>
      <c r="F2333" s="6">
        <f t="shared" ref="F2333" si="3320">-B2335*COS(B$6)+B$1*COS(C2333)+B$2*COS(C2334)-B$3*COS(C$4)</f>
        <v>-1.1719240444068614E-9</v>
      </c>
      <c r="H2333" s="11" t="s">
        <v>14</v>
      </c>
      <c r="I2333" s="12"/>
      <c r="J2333" s="13"/>
      <c r="L2333" s="11" t="s">
        <v>1024</v>
      </c>
      <c r="M2333" s="12"/>
      <c r="N2333" s="13"/>
      <c r="O2333" s="14" t="s">
        <v>18</v>
      </c>
      <c r="Q2333" s="16" t="s">
        <v>19</v>
      </c>
    </row>
    <row r="2334" spans="1:17" x14ac:dyDescent="0.35">
      <c r="A2334" s="1" t="s">
        <v>1025</v>
      </c>
      <c r="B2334" s="4">
        <f t="shared" si="3318"/>
        <v>12.157951208799696</v>
      </c>
      <c r="C2334" s="2">
        <f t="shared" si="3319"/>
        <v>0.21219627889037929</v>
      </c>
      <c r="E2334" s="7" t="s">
        <v>1026</v>
      </c>
      <c r="F2334" s="6">
        <f t="shared" ref="F2334" si="3321">-B2335*SIN(B$6)+B$1*SIN(C2333)+B$2*SIN(C2334)-B$3*SIN(C$4)</f>
        <v>-2.5246249535371135E-10</v>
      </c>
      <c r="H2334" s="8" t="s">
        <v>16</v>
      </c>
      <c r="I2334" s="8" t="s">
        <v>15</v>
      </c>
      <c r="J2334" s="9" t="s">
        <v>8</v>
      </c>
      <c r="L2334" s="8" t="s">
        <v>16</v>
      </c>
      <c r="M2334" s="8" t="s">
        <v>15</v>
      </c>
      <c r="N2334" s="9" t="s">
        <v>8</v>
      </c>
      <c r="O2334" s="15"/>
      <c r="Q2334" s="17"/>
    </row>
    <row r="2335" spans="1:17" x14ac:dyDescent="0.35">
      <c r="A2335" s="1" t="s">
        <v>8</v>
      </c>
      <c r="B2335" s="4">
        <f t="shared" ref="B2335" si="3322">B2326+Q2328</f>
        <v>3.1320335366018321</v>
      </c>
      <c r="C2335" s="2"/>
      <c r="E2335" s="7" t="s">
        <v>1027</v>
      </c>
      <c r="F2335" s="6">
        <f>C2333-F$3*B2331-0.5*(F$4)*B2331^2</f>
        <v>0</v>
      </c>
      <c r="H2335" s="2">
        <f t="shared" ref="H2335" si="3323">-B$1*SIN(C2333)</f>
        <v>-1.2363554557252989</v>
      </c>
      <c r="I2335" s="2">
        <f t="shared" ref="I2335" si="3324">-B$2*SIN(C2334)</f>
        <v>-1.2636445440222386</v>
      </c>
      <c r="J2335" s="2">
        <f t="shared" ref="J2335" si="3325">-COS(B$6)</f>
        <v>-1</v>
      </c>
      <c r="L2335" s="2" cm="1">
        <f t="array" ref="L2335:N2337">MINVERSE(H2335:J2337)</f>
        <v>0</v>
      </c>
      <c r="M2335" s="2">
        <v>-8.1234123598577484E-17</v>
      </c>
      <c r="N2335" s="2">
        <v>0.99999999999999989</v>
      </c>
      <c r="O2335" s="10">
        <f t="shared" ref="O2335:O2337" si="3326">-F2333</f>
        <v>1.1719240444068614E-9</v>
      </c>
      <c r="Q2335" s="2" cm="1">
        <f t="array" ref="Q2335:Q2337">MMULT(L2335:N2337,O2335:O2337)</f>
        <v>-2.0508569551568681E-26</v>
      </c>
    </row>
    <row r="2336" spans="1:17" x14ac:dyDescent="0.35">
      <c r="H2336" s="2">
        <f t="shared" ref="H2336" si="3327">B$1*COS(C2333)</f>
        <v>-2.7333907856540178</v>
      </c>
      <c r="I2336" s="2">
        <f t="shared" ref="I2336" si="3328">B$2*COS(C2334)</f>
        <v>5.8654243210839256</v>
      </c>
      <c r="J2336" s="2">
        <f t="shared" ref="J2336" si="3329">-SIN(B$6)</f>
        <v>0</v>
      </c>
      <c r="L2336" s="2">
        <v>0</v>
      </c>
      <c r="M2336" s="2">
        <v>0.17049064914287404</v>
      </c>
      <c r="N2336" s="2">
        <v>0.46601756940730404</v>
      </c>
      <c r="O2336" s="10">
        <f t="shared" si="3326"/>
        <v>2.5246249535371135E-10</v>
      </c>
      <c r="Q2336" s="2">
        <v>4.3042494717084068E-11</v>
      </c>
    </row>
    <row r="2337" spans="1:17" x14ac:dyDescent="0.35">
      <c r="H2337" s="2">
        <v>1</v>
      </c>
      <c r="I2337" s="2">
        <v>0</v>
      </c>
      <c r="J2337" s="2">
        <v>0</v>
      </c>
      <c r="L2337" s="2">
        <v>-1</v>
      </c>
      <c r="M2337" s="2">
        <v>-0.21543957859620247</v>
      </c>
      <c r="N2337" s="2">
        <v>-1.8252360147253435</v>
      </c>
      <c r="O2337" s="10">
        <f t="shared" si="3326"/>
        <v>0</v>
      </c>
      <c r="Q2337" s="2">
        <v>-1.2263144580172107E-9</v>
      </c>
    </row>
    <row r="2340" spans="1:17" x14ac:dyDescent="0.35">
      <c r="A2340" s="1" t="s">
        <v>9</v>
      </c>
      <c r="B2340" s="2">
        <f t="shared" ref="B2340" si="3330">IF(AND((B2331 = B2322), ABS(B2335-B2326) &lt; 0.001),B2331+0.1,B2331)</f>
        <v>6.0999999999999961</v>
      </c>
    </row>
    <row r="2341" spans="1:17" x14ac:dyDescent="0.35">
      <c r="C2341" s="1" t="s">
        <v>3</v>
      </c>
    </row>
    <row r="2342" spans="1:17" x14ac:dyDescent="0.35">
      <c r="A2342" s="1" t="s">
        <v>1028</v>
      </c>
      <c r="B2342" s="4">
        <f t="shared" ref="B2342:B2343" si="3331">C2342*180/PI()</f>
        <v>515.66201561774028</v>
      </c>
      <c r="C2342" s="2">
        <f t="shared" ref="C2342:C2343" si="3332">C2333+Q2335</f>
        <v>8.9999999999999893</v>
      </c>
      <c r="E2342" s="7" t="s">
        <v>1029</v>
      </c>
      <c r="F2342" s="6">
        <f t="shared" ref="F2342" si="3333">-B2344*COS(B$6)+B$1*COS(C2342)+B$2*COS(C2343)-B$3*COS(C$4)</f>
        <v>-1.531435568635775E-16</v>
      </c>
      <c r="H2342" s="11" t="s">
        <v>14</v>
      </c>
      <c r="I2342" s="12"/>
      <c r="J2342" s="13"/>
      <c r="L2342" s="11" t="s">
        <v>1030</v>
      </c>
      <c r="M2342" s="12"/>
      <c r="N2342" s="13"/>
      <c r="O2342" s="14" t="s">
        <v>18</v>
      </c>
      <c r="Q2342" s="16" t="s">
        <v>19</v>
      </c>
    </row>
    <row r="2343" spans="1:17" x14ac:dyDescent="0.35">
      <c r="A2343" s="1" t="s">
        <v>1031</v>
      </c>
      <c r="B2343" s="4">
        <f t="shared" si="3331"/>
        <v>12.157951211265848</v>
      </c>
      <c r="C2343" s="2">
        <f t="shared" si="3332"/>
        <v>0.21219627893342177</v>
      </c>
      <c r="E2343" s="7" t="s">
        <v>1032</v>
      </c>
      <c r="F2343" s="6">
        <f t="shared" ref="F2343" si="3334">-B2344*SIN(B$6)+B$1*SIN(C2342)+B$2*SIN(C2343)-B$3*SIN(C$4)</f>
        <v>0</v>
      </c>
      <c r="H2343" s="8" t="s">
        <v>16</v>
      </c>
      <c r="I2343" s="8" t="s">
        <v>15</v>
      </c>
      <c r="J2343" s="9" t="s">
        <v>8</v>
      </c>
      <c r="L2343" s="8" t="s">
        <v>16</v>
      </c>
      <c r="M2343" s="8" t="s">
        <v>15</v>
      </c>
      <c r="N2343" s="9" t="s">
        <v>8</v>
      </c>
      <c r="O2343" s="15"/>
      <c r="Q2343" s="17"/>
    </row>
    <row r="2344" spans="1:17" x14ac:dyDescent="0.35">
      <c r="A2344" s="1" t="s">
        <v>8</v>
      </c>
      <c r="B2344" s="4">
        <f t="shared" ref="B2344" si="3335">B2335+Q2337</f>
        <v>3.1320335353755175</v>
      </c>
      <c r="C2344" s="2"/>
      <c r="E2344" s="7" t="s">
        <v>1033</v>
      </c>
      <c r="F2344" s="6">
        <f>C2342-F$3*B2340-0.5*(F$4)*B2340^2</f>
        <v>-0.30249999999999844</v>
      </c>
      <c r="H2344" s="2">
        <f t="shared" ref="H2344" si="3336">-B$1*SIN(C2342)</f>
        <v>-1.2363554557252989</v>
      </c>
      <c r="I2344" s="2">
        <f t="shared" ref="I2344" si="3337">-B$2*SIN(C2343)</f>
        <v>-1.2636445442747011</v>
      </c>
      <c r="J2344" s="2">
        <f t="shared" ref="J2344" si="3338">-COS(B$6)</f>
        <v>-1</v>
      </c>
      <c r="L2344" s="2" cm="1">
        <f t="array" ref="L2344:N2346">MINVERSE(H2344:J2346)</f>
        <v>0</v>
      </c>
      <c r="M2344" s="2">
        <v>0</v>
      </c>
      <c r="N2344" s="2">
        <v>1</v>
      </c>
      <c r="O2344" s="10">
        <f t="shared" ref="O2344:O2346" si="3339">-F2342</f>
        <v>1.531435568635775E-16</v>
      </c>
      <c r="Q2344" s="2" cm="1">
        <f t="array" ref="Q2344:Q2346">MMULT(L2344:N2346,O2344:O2346)</f>
        <v>0.30249999999999844</v>
      </c>
    </row>
    <row r="2345" spans="1:17" x14ac:dyDescent="0.35">
      <c r="H2345" s="2">
        <f t="shared" ref="H2345" si="3340">B$1*COS(C2342)</f>
        <v>-2.7333907856540178</v>
      </c>
      <c r="I2345" s="2">
        <f t="shared" ref="I2345" si="3341">B$2*COS(C2343)</f>
        <v>5.8654243210295354</v>
      </c>
      <c r="J2345" s="2">
        <f t="shared" ref="J2345" si="3342">-SIN(B$6)</f>
        <v>0</v>
      </c>
      <c r="L2345" s="2">
        <v>0</v>
      </c>
      <c r="M2345" s="2">
        <v>0.17049064914445505</v>
      </c>
      <c r="N2345" s="2">
        <v>0.46601756941162548</v>
      </c>
      <c r="O2345" s="10">
        <f t="shared" si="3339"/>
        <v>0</v>
      </c>
      <c r="Q2345" s="2">
        <v>0.14097031474701599</v>
      </c>
    </row>
    <row r="2346" spans="1:17" x14ac:dyDescent="0.35">
      <c r="H2346" s="2">
        <v>1</v>
      </c>
      <c r="I2346" s="2">
        <v>0</v>
      </c>
      <c r="J2346" s="2">
        <v>0</v>
      </c>
      <c r="L2346" s="2">
        <v>-1</v>
      </c>
      <c r="M2346" s="2">
        <v>-0.2154395786412428</v>
      </c>
      <c r="N2346" s="2">
        <v>-1.8252360148484563</v>
      </c>
      <c r="O2346" s="10">
        <f t="shared" si="3339"/>
        <v>0.30249999999999844</v>
      </c>
      <c r="Q2346" s="2">
        <v>-0.55213389449165529</v>
      </c>
    </row>
    <row r="2349" spans="1:17" x14ac:dyDescent="0.35">
      <c r="A2349" s="1" t="s">
        <v>9</v>
      </c>
      <c r="B2349" s="2">
        <f t="shared" ref="B2349" si="3343">IF(AND((B2340 = B2331), ABS(B2344-B2335) &lt; 0.001),B2340+0.1,B2340)</f>
        <v>6.0999999999999961</v>
      </c>
    </row>
    <row r="2350" spans="1:17" x14ac:dyDescent="0.35">
      <c r="C2350" s="1" t="s">
        <v>3</v>
      </c>
    </row>
    <row r="2351" spans="1:17" x14ac:dyDescent="0.35">
      <c r="A2351" s="1" t="s">
        <v>1034</v>
      </c>
      <c r="B2351" s="4">
        <f t="shared" ref="B2351:B2352" si="3344">C2351*180/PI()</f>
        <v>532.99398892044758</v>
      </c>
      <c r="C2351" s="2">
        <f t="shared" ref="C2351:C2352" si="3345">C2342+Q2344</f>
        <v>9.3024999999999878</v>
      </c>
      <c r="E2351" s="7" t="s">
        <v>1035</v>
      </c>
      <c r="F2351" s="6">
        <f t="shared" ref="F2351" si="3346">-B2353*COS(B$6)+B$1*COS(C2351)+B$2*COS(C2352)-B$3*COS(C$4)</f>
        <v>7.2193399317088083E-2</v>
      </c>
      <c r="H2351" s="11" t="s">
        <v>14</v>
      </c>
      <c r="I2351" s="12"/>
      <c r="J2351" s="13"/>
      <c r="L2351" s="11" t="s">
        <v>1036</v>
      </c>
      <c r="M2351" s="12"/>
      <c r="N2351" s="13"/>
      <c r="O2351" s="14" t="s">
        <v>18</v>
      </c>
      <c r="Q2351" s="16" t="s">
        <v>19</v>
      </c>
    </row>
    <row r="2352" spans="1:17" x14ac:dyDescent="0.35">
      <c r="A2352" s="1" t="s">
        <v>1037</v>
      </c>
      <c r="B2352" s="4">
        <f t="shared" si="3344"/>
        <v>20.234955282900696</v>
      </c>
      <c r="C2352" s="2">
        <f t="shared" si="3345"/>
        <v>0.35316659368043779</v>
      </c>
      <c r="E2352" s="7" t="s">
        <v>1038</v>
      </c>
      <c r="F2352" s="6">
        <f t="shared" ref="F2352" si="3347">-B2353*SIN(B$6)+B$1*SIN(C2351)+B$2*SIN(C2352)-B$3*SIN(C$4)</f>
        <v>-5.8855408370620754E-2</v>
      </c>
      <c r="H2352" s="8" t="s">
        <v>16</v>
      </c>
      <c r="I2352" s="8" t="s">
        <v>15</v>
      </c>
      <c r="J2352" s="9" t="s">
        <v>8</v>
      </c>
      <c r="L2352" s="8" t="s">
        <v>16</v>
      </c>
      <c r="M2352" s="8" t="s">
        <v>15</v>
      </c>
      <c r="N2352" s="9" t="s">
        <v>8</v>
      </c>
      <c r="O2352" s="15"/>
      <c r="Q2352" s="17"/>
    </row>
    <row r="2353" spans="1:17" x14ac:dyDescent="0.35">
      <c r="A2353" s="1" t="s">
        <v>8</v>
      </c>
      <c r="B2353" s="4">
        <f t="shared" ref="B2353" si="3348">B2344+Q2346</f>
        <v>2.5798996408838621</v>
      </c>
      <c r="C2353" s="2"/>
      <c r="E2353" s="7" t="s">
        <v>1039</v>
      </c>
      <c r="F2353" s="6">
        <f>C2351-F$3*B2349-0.5*(F$4)*B2349^2</f>
        <v>0</v>
      </c>
      <c r="H2353" s="2">
        <f t="shared" ref="H2353" si="3349">-B$1*SIN(C2351)</f>
        <v>-0.36592042157247429</v>
      </c>
      <c r="I2353" s="2">
        <f t="shared" ref="I2353" si="3350">-B$2*SIN(C2352)</f>
        <v>-2.075224170056905</v>
      </c>
      <c r="J2353" s="2">
        <f t="shared" ref="J2353" si="3351">-COS(B$6)</f>
        <v>-1</v>
      </c>
      <c r="L2353" s="2" cm="1">
        <f t="array" ref="L2353:N2355">MINVERSE(H2353:J2355)</f>
        <v>0</v>
      </c>
      <c r="M2353" s="2">
        <v>0</v>
      </c>
      <c r="N2353" s="2">
        <v>0.99999999999999989</v>
      </c>
      <c r="O2353" s="10">
        <f t="shared" ref="O2353:O2355" si="3352">-F2351</f>
        <v>-7.2193399317088083E-2</v>
      </c>
      <c r="Q2353" s="2" cm="1">
        <f t="array" ref="Q2353:Q2355">MMULT(L2353:N2355,O2353:O2355)</f>
        <v>0</v>
      </c>
    </row>
    <row r="2354" spans="1:17" x14ac:dyDescent="0.35">
      <c r="H2354" s="2">
        <f t="shared" ref="H2354" si="3353">B$1*COS(C2351)</f>
        <v>-2.9776000814542276</v>
      </c>
      <c r="I2354" s="2">
        <f t="shared" ref="I2354" si="3354">B$2*COS(C2352)</f>
        <v>5.629693121655178</v>
      </c>
      <c r="J2354" s="2">
        <f t="shared" ref="J2354" si="3355">-SIN(B$6)</f>
        <v>0</v>
      </c>
      <c r="L2354" s="2">
        <v>0</v>
      </c>
      <c r="M2354" s="2">
        <v>0.17762957560748738</v>
      </c>
      <c r="N2354" s="2">
        <v>0.52890983879753417</v>
      </c>
      <c r="O2354" s="10">
        <f t="shared" si="3352"/>
        <v>5.8855408370620754E-2</v>
      </c>
      <c r="Q2354" s="2">
        <v>1.0454461211078724E-2</v>
      </c>
    </row>
    <row r="2355" spans="1:17" x14ac:dyDescent="0.35">
      <c r="H2355" s="2">
        <v>1</v>
      </c>
      <c r="I2355" s="2">
        <v>0</v>
      </c>
      <c r="J2355" s="2">
        <v>0</v>
      </c>
      <c r="L2355" s="2">
        <v>-1</v>
      </c>
      <c r="M2355" s="2">
        <v>-0.36862118861760823</v>
      </c>
      <c r="N2355" s="2">
        <v>-1.4635269028260185</v>
      </c>
      <c r="O2355" s="10">
        <f t="shared" si="3352"/>
        <v>0</v>
      </c>
      <c r="Q2355" s="2">
        <v>5.0498048726935127E-2</v>
      </c>
    </row>
    <row r="2358" spans="1:17" x14ac:dyDescent="0.35">
      <c r="A2358" s="1" t="s">
        <v>9</v>
      </c>
      <c r="B2358" s="2">
        <f t="shared" ref="B2358" si="3356">IF(AND((B2349 = B2340), ABS(B2353-B2344) &lt; 0.001),B2349+0.1,B2349)</f>
        <v>6.0999999999999961</v>
      </c>
    </row>
    <row r="2359" spans="1:17" x14ac:dyDescent="0.35">
      <c r="C2359" s="1" t="s">
        <v>3</v>
      </c>
    </row>
    <row r="2360" spans="1:17" x14ac:dyDescent="0.35">
      <c r="A2360" s="1" t="s">
        <v>1040</v>
      </c>
      <c r="B2360" s="4">
        <f t="shared" ref="B2360:B2361" si="3357">C2360*180/PI()</f>
        <v>532.99398892044758</v>
      </c>
      <c r="C2360" s="2">
        <f t="shared" ref="C2360:C2361" si="3358">C2351+Q2353</f>
        <v>9.3024999999999878</v>
      </c>
      <c r="E2360" s="7" t="s">
        <v>1041</v>
      </c>
      <c r="F2360" s="6">
        <f t="shared" ref="F2360" si="3359">-B2362*COS(B$6)+B$1*COS(C2360)+B$2*COS(C2361)-B$3*COS(C$4)</f>
        <v>-3.0725279039260693E-4</v>
      </c>
      <c r="H2360" s="11" t="s">
        <v>14</v>
      </c>
      <c r="I2360" s="12"/>
      <c r="J2360" s="13"/>
      <c r="L2360" s="11" t="s">
        <v>1042</v>
      </c>
      <c r="M2360" s="12"/>
      <c r="N2360" s="13"/>
      <c r="O2360" s="14" t="s">
        <v>18</v>
      </c>
      <c r="Q2360" s="16" t="s">
        <v>19</v>
      </c>
    </row>
    <row r="2361" spans="1:17" x14ac:dyDescent="0.35">
      <c r="A2361" s="1" t="s">
        <v>1043</v>
      </c>
      <c r="B2361" s="4">
        <f t="shared" si="3357"/>
        <v>20.833951787378734</v>
      </c>
      <c r="C2361" s="2">
        <f t="shared" si="3358"/>
        <v>0.36362105489151653</v>
      </c>
      <c r="E2361" s="7" t="s">
        <v>1044</v>
      </c>
      <c r="F2361" s="6">
        <f t="shared" ref="F2361" si="3360">-B2362*SIN(B$6)+B$1*SIN(C2360)+B$2*SIN(C2361)-B$3*SIN(C$4)</f>
        <v>-1.1447766959982175E-4</v>
      </c>
      <c r="H2361" s="8" t="s">
        <v>16</v>
      </c>
      <c r="I2361" s="8" t="s">
        <v>15</v>
      </c>
      <c r="J2361" s="9" t="s">
        <v>8</v>
      </c>
      <c r="L2361" s="8" t="s">
        <v>16</v>
      </c>
      <c r="M2361" s="8" t="s">
        <v>15</v>
      </c>
      <c r="N2361" s="9" t="s">
        <v>8</v>
      </c>
      <c r="O2361" s="15"/>
      <c r="Q2361" s="17"/>
    </row>
    <row r="2362" spans="1:17" x14ac:dyDescent="0.35">
      <c r="A2362" s="1" t="s">
        <v>8</v>
      </c>
      <c r="B2362" s="4">
        <f t="shared" ref="B2362" si="3361">B2353+Q2355</f>
        <v>2.6303976896107972</v>
      </c>
      <c r="C2362" s="2"/>
      <c r="E2362" s="7" t="s">
        <v>1045</v>
      </c>
      <c r="F2362" s="6">
        <f>C2360-F$3*B2358-0.5*(F$4)*B2358^2</f>
        <v>0</v>
      </c>
      <c r="H2362" s="2">
        <f t="shared" ref="H2362" si="3362">-B$1*SIN(C2360)</f>
        <v>-0.36592042157247429</v>
      </c>
      <c r="I2362" s="2">
        <f t="shared" ref="I2362" si="3363">-B$2*SIN(C2361)</f>
        <v>-2.1339651007579259</v>
      </c>
      <c r="J2362" s="2">
        <f t="shared" ref="J2362" si="3364">-COS(B$6)</f>
        <v>-1</v>
      </c>
      <c r="L2362" s="2" cm="1">
        <f t="array" ref="L2362:N2364">MINVERSE(H2362:J2364)</f>
        <v>0</v>
      </c>
      <c r="M2362" s="2">
        <v>7.4571668071887997E-17</v>
      </c>
      <c r="N2362" s="2">
        <v>1</v>
      </c>
      <c r="O2362" s="10">
        <f t="shared" ref="O2362:O2364" si="3365">-F2360</f>
        <v>3.0725279039260693E-4</v>
      </c>
      <c r="Q2362" s="2" cm="1">
        <f t="array" ref="Q2362:Q2364">MMULT(L2362:N2364,O2362:O2364)</f>
        <v>8.5367907790411707E-21</v>
      </c>
    </row>
    <row r="2363" spans="1:17" x14ac:dyDescent="0.35">
      <c r="H2363" s="2">
        <f t="shared" ref="H2363" si="3366">B$1*COS(C2360)</f>
        <v>-2.9776000814542276</v>
      </c>
      <c r="I2363" s="2">
        <f t="shared" ref="I2363" si="3367">B$2*COS(C2361)</f>
        <v>5.6076905182746319</v>
      </c>
      <c r="J2363" s="2">
        <f t="shared" ref="J2363" si="3368">-SIN(B$6)</f>
        <v>0</v>
      </c>
      <c r="L2363" s="2">
        <v>0</v>
      </c>
      <c r="M2363" s="2">
        <v>0.17832653152686448</v>
      </c>
      <c r="N2363" s="2">
        <v>0.53098509479984146</v>
      </c>
      <c r="O2363" s="10">
        <f t="shared" si="3365"/>
        <v>1.1447766959982175E-4</v>
      </c>
      <c r="Q2363" s="2">
        <v>2.0414405757014588E-5</v>
      </c>
    </row>
    <row r="2364" spans="1:17" x14ac:dyDescent="0.35">
      <c r="H2364" s="2">
        <v>1</v>
      </c>
      <c r="I2364" s="2">
        <v>0</v>
      </c>
      <c r="J2364" s="2">
        <v>0</v>
      </c>
      <c r="L2364" s="2">
        <v>-1</v>
      </c>
      <c r="M2364" s="2">
        <v>-0.38054259481753683</v>
      </c>
      <c r="N2364" s="2">
        <v>-1.4990240828979751</v>
      </c>
      <c r="O2364" s="10">
        <f t="shared" si="3365"/>
        <v>0</v>
      </c>
      <c r="Q2364" s="2">
        <v>-3.5081641983078775E-4</v>
      </c>
    </row>
    <row r="2367" spans="1:17" x14ac:dyDescent="0.35">
      <c r="A2367" s="1" t="s">
        <v>9</v>
      </c>
      <c r="B2367" s="2">
        <f t="shared" ref="B2367" si="3369">IF(AND((B2358 = B2349), ABS(B2362-B2353) &lt; 0.001),B2358+0.1,B2358)</f>
        <v>6.0999999999999961</v>
      </c>
    </row>
    <row r="2368" spans="1:17" x14ac:dyDescent="0.35">
      <c r="C2368" s="1" t="s">
        <v>3</v>
      </c>
    </row>
    <row r="2369" spans="1:17" x14ac:dyDescent="0.35">
      <c r="A2369" s="1" t="s">
        <v>1046</v>
      </c>
      <c r="B2369" s="4">
        <f t="shared" ref="B2369:B2370" si="3370">C2369*180/PI()</f>
        <v>532.99398892044758</v>
      </c>
      <c r="C2369" s="2">
        <f t="shared" ref="C2369:C2370" si="3371">C2360+Q2362</f>
        <v>9.3024999999999878</v>
      </c>
      <c r="E2369" s="7" t="s">
        <v>1047</v>
      </c>
      <c r="F2369" s="6">
        <f t="shared" ref="F2369" si="3372">-B2371*COS(B$6)+B$1*COS(C2369)+B$2*COS(C2370)-B$3*COS(C$4)</f>
        <v>-1.1684930111715598E-9</v>
      </c>
      <c r="H2369" s="11" t="s">
        <v>14</v>
      </c>
      <c r="I2369" s="12"/>
      <c r="J2369" s="13"/>
      <c r="L2369" s="11" t="s">
        <v>1048</v>
      </c>
      <c r="M2369" s="12"/>
      <c r="N2369" s="13"/>
      <c r="O2369" s="14" t="s">
        <v>18</v>
      </c>
      <c r="Q2369" s="16" t="s">
        <v>19</v>
      </c>
    </row>
    <row r="2370" spans="1:17" x14ac:dyDescent="0.35">
      <c r="A2370" s="1" t="s">
        <v>1049</v>
      </c>
      <c r="B2370" s="4">
        <f t="shared" si="3370"/>
        <v>20.835121446669881</v>
      </c>
      <c r="C2370" s="2">
        <f t="shared" si="3371"/>
        <v>0.36364146929727353</v>
      </c>
      <c r="E2370" s="7" t="s">
        <v>1050</v>
      </c>
      <c r="F2370" s="6">
        <f t="shared" ref="F2370" si="3373">-B2371*SIN(B$6)+B$1*SIN(C2369)+B$2*SIN(C2370)-B$3*SIN(C$4)</f>
        <v>-4.4467052262575635E-10</v>
      </c>
      <c r="H2370" s="8" t="s">
        <v>16</v>
      </c>
      <c r="I2370" s="8" t="s">
        <v>15</v>
      </c>
      <c r="J2370" s="9" t="s">
        <v>8</v>
      </c>
      <c r="L2370" s="8" t="s">
        <v>16</v>
      </c>
      <c r="M2370" s="8" t="s">
        <v>15</v>
      </c>
      <c r="N2370" s="9" t="s">
        <v>8</v>
      </c>
      <c r="O2370" s="15"/>
      <c r="Q2370" s="17"/>
    </row>
    <row r="2371" spans="1:17" x14ac:dyDescent="0.35">
      <c r="A2371" s="1" t="s">
        <v>8</v>
      </c>
      <c r="B2371" s="4">
        <f t="shared" ref="B2371" si="3374">B2362+Q2364</f>
        <v>2.6300468731909663</v>
      </c>
      <c r="C2371" s="2"/>
      <c r="E2371" s="7" t="s">
        <v>1051</v>
      </c>
      <c r="F2371" s="6">
        <f>C2369-F$3*B2367-0.5*(F$4)*B2367^2</f>
        <v>0</v>
      </c>
      <c r="H2371" s="2">
        <f t="shared" ref="H2371" si="3375">-B$1*SIN(C2369)</f>
        <v>-0.36592042157247429</v>
      </c>
      <c r="I2371" s="2">
        <f t="shared" ref="I2371" si="3376">-B$2*SIN(C2370)</f>
        <v>-2.1340795779828552</v>
      </c>
      <c r="J2371" s="2">
        <f t="shared" ref="J2371" si="3377">-COS(B$6)</f>
        <v>-1</v>
      </c>
      <c r="L2371" s="2" cm="1">
        <f t="array" ref="L2371:N2373">MINVERSE(H2371:J2373)</f>
        <v>0</v>
      </c>
      <c r="M2371" s="2">
        <v>0</v>
      </c>
      <c r="N2371" s="2">
        <v>1</v>
      </c>
      <c r="O2371" s="10">
        <f t="shared" ref="O2371:O2373" si="3378">-F2369</f>
        <v>1.1684930111715598E-9</v>
      </c>
      <c r="Q2371" s="2" cm="1">
        <f t="array" ref="Q2371:Q2373">MMULT(L2371:N2373,O2371:O2373)</f>
        <v>0</v>
      </c>
    </row>
    <row r="2372" spans="1:17" x14ac:dyDescent="0.35">
      <c r="H2372" s="2">
        <f t="shared" ref="H2372" si="3379">B$1*COS(C2369)</f>
        <v>-2.9776000814542276</v>
      </c>
      <c r="I2372" s="2">
        <f t="shared" ref="I2372" si="3380">B$2*COS(C2370)</f>
        <v>5.6076469534767011</v>
      </c>
      <c r="J2372" s="2">
        <f t="shared" ref="J2372" si="3381">-SIN(B$6)</f>
        <v>0</v>
      </c>
      <c r="L2372" s="2">
        <v>0</v>
      </c>
      <c r="M2372" s="2">
        <v>0.17832791691352951</v>
      </c>
      <c r="N2372" s="2">
        <v>0.5309892199272882</v>
      </c>
      <c r="O2372" s="10">
        <f t="shared" si="3378"/>
        <v>4.4467052262575635E-10</v>
      </c>
      <c r="Q2372" s="2">
        <v>7.9297168012701624E-11</v>
      </c>
    </row>
    <row r="2373" spans="1:17" x14ac:dyDescent="0.35">
      <c r="H2373" s="2">
        <v>1</v>
      </c>
      <c r="I2373" s="2">
        <v>0</v>
      </c>
      <c r="J2373" s="2">
        <v>0</v>
      </c>
      <c r="L2373" s="2">
        <v>-1</v>
      </c>
      <c r="M2373" s="2">
        <v>-0.38056596566938677</v>
      </c>
      <c r="N2373" s="2">
        <v>-1.499093671948347</v>
      </c>
      <c r="O2373" s="10">
        <f t="shared" si="3378"/>
        <v>0</v>
      </c>
      <c r="Q2373" s="2">
        <v>-1.3377194780193416E-9</v>
      </c>
    </row>
    <row r="2376" spans="1:17" x14ac:dyDescent="0.35">
      <c r="A2376" s="1" t="s">
        <v>9</v>
      </c>
      <c r="B2376" s="2">
        <f t="shared" ref="B2376" si="3382">IF(AND((B2367 = B2358), ABS(B2371-B2362) &lt; 0.001),B2367+0.1,B2367)</f>
        <v>6.1999999999999957</v>
      </c>
    </row>
    <row r="2377" spans="1:17" x14ac:dyDescent="0.35">
      <c r="C2377" s="1" t="s">
        <v>3</v>
      </c>
    </row>
    <row r="2378" spans="1:17" x14ac:dyDescent="0.35">
      <c r="A2378" s="1" t="s">
        <v>1052</v>
      </c>
      <c r="B2378" s="4">
        <f t="shared" ref="B2378:B2379" si="3383">C2378*180/PI()</f>
        <v>532.99398892044758</v>
      </c>
      <c r="C2378" s="2">
        <f t="shared" ref="C2378:C2379" si="3384">C2369+Q2371</f>
        <v>9.3024999999999878</v>
      </c>
      <c r="E2378" s="7" t="s">
        <v>1053</v>
      </c>
      <c r="F2378" s="6">
        <f t="shared" ref="F2378" si="3385">-B2380*COS(B$6)+B$1*COS(C2378)+B$2*COS(C2379)-B$3*COS(C$4)</f>
        <v>-1.0413219765637027E-15</v>
      </c>
      <c r="H2378" s="11" t="s">
        <v>14</v>
      </c>
      <c r="I2378" s="12"/>
      <c r="J2378" s="13"/>
      <c r="L2378" s="11" t="s">
        <v>1054</v>
      </c>
      <c r="M2378" s="12"/>
      <c r="N2378" s="13"/>
      <c r="O2378" s="14" t="s">
        <v>18</v>
      </c>
      <c r="Q2378" s="16" t="s">
        <v>19</v>
      </c>
    </row>
    <row r="2379" spans="1:17" x14ac:dyDescent="0.35">
      <c r="A2379" s="1" t="s">
        <v>1055</v>
      </c>
      <c r="B2379" s="4">
        <f t="shared" si="3383"/>
        <v>20.835121451213276</v>
      </c>
      <c r="C2379" s="2">
        <f t="shared" si="3384"/>
        <v>0.36364146937657071</v>
      </c>
      <c r="E2379" s="7" t="s">
        <v>1056</v>
      </c>
      <c r="F2379" s="6">
        <f t="shared" ref="F2379" si="3386">-B2380*SIN(B$6)+B$1*SIN(C2378)+B$2*SIN(C2379)-B$3*SIN(C$4)</f>
        <v>0</v>
      </c>
      <c r="H2379" s="8" t="s">
        <v>16</v>
      </c>
      <c r="I2379" s="8" t="s">
        <v>15</v>
      </c>
      <c r="J2379" s="9" t="s">
        <v>8</v>
      </c>
      <c r="L2379" s="8" t="s">
        <v>16</v>
      </c>
      <c r="M2379" s="8" t="s">
        <v>15</v>
      </c>
      <c r="N2379" s="9" t="s">
        <v>8</v>
      </c>
      <c r="O2379" s="15"/>
      <c r="Q2379" s="17"/>
    </row>
    <row r="2380" spans="1:17" x14ac:dyDescent="0.35">
      <c r="A2380" s="1" t="s">
        <v>8</v>
      </c>
      <c r="B2380" s="4">
        <f t="shared" ref="B2380" si="3387">B2371+Q2373</f>
        <v>2.630046871853247</v>
      </c>
      <c r="C2380" s="2"/>
      <c r="E2380" s="7" t="s">
        <v>1057</v>
      </c>
      <c r="F2380" s="6">
        <f>C2378-F$3*B2376-0.5*(F$4)*B2376^2</f>
        <v>-0.30749999999999922</v>
      </c>
      <c r="H2380" s="2">
        <f t="shared" ref="H2380" si="3388">-B$1*SIN(C2378)</f>
        <v>-0.36592042157247429</v>
      </c>
      <c r="I2380" s="2">
        <f t="shared" ref="I2380" si="3389">-B$2*SIN(C2379)</f>
        <v>-2.1340795784275253</v>
      </c>
      <c r="J2380" s="2">
        <f t="shared" ref="J2380" si="3390">-COS(B$6)</f>
        <v>-1</v>
      </c>
      <c r="L2380" s="2" cm="1">
        <f t="array" ref="L2380:N2382">MINVERSE(H2380:J2382)</f>
        <v>0</v>
      </c>
      <c r="M2380" s="2">
        <v>-3.7285834035943998E-17</v>
      </c>
      <c r="N2380" s="2">
        <v>0.99999999999999989</v>
      </c>
      <c r="O2380" s="10">
        <f t="shared" ref="O2380:O2382" si="3391">-F2378</f>
        <v>1.0413219765637027E-15</v>
      </c>
      <c r="Q2380" s="2" cm="1">
        <f t="array" ref="Q2380:Q2382">MMULT(L2380:N2382,O2380:O2382)</f>
        <v>0.30749999999999916</v>
      </c>
    </row>
    <row r="2381" spans="1:17" x14ac:dyDescent="0.35">
      <c r="H2381" s="2">
        <f t="shared" ref="H2381" si="3392">B$1*COS(C2378)</f>
        <v>-2.9776000814542276</v>
      </c>
      <c r="I2381" s="2">
        <f t="shared" ref="I2381" si="3393">B$2*COS(C2379)</f>
        <v>5.6076469533074738</v>
      </c>
      <c r="J2381" s="2">
        <f t="shared" ref="J2381" si="3394">-SIN(B$6)</f>
        <v>0</v>
      </c>
      <c r="L2381" s="2">
        <v>0</v>
      </c>
      <c r="M2381" s="2">
        <v>0.17832791691891106</v>
      </c>
      <c r="N2381" s="2">
        <v>0.53098921994331227</v>
      </c>
      <c r="O2381" s="10">
        <f t="shared" si="3391"/>
        <v>0</v>
      </c>
      <c r="Q2381" s="2">
        <v>0.16327918513256812</v>
      </c>
    </row>
    <row r="2382" spans="1:17" x14ac:dyDescent="0.35">
      <c r="H2382" s="2">
        <v>1</v>
      </c>
      <c r="I2382" s="2">
        <v>0</v>
      </c>
      <c r="J2382" s="2">
        <v>0</v>
      </c>
      <c r="L2382" s="2">
        <v>-1</v>
      </c>
      <c r="M2382" s="2">
        <v>-0.38056596576016843</v>
      </c>
      <c r="N2382" s="2">
        <v>-1.4990936722186585</v>
      </c>
      <c r="O2382" s="10">
        <f t="shared" si="3391"/>
        <v>0.30749999999999922</v>
      </c>
      <c r="Q2382" s="2">
        <v>-0.46097130420723736</v>
      </c>
    </row>
  </sheetData>
  <mergeCells count="1056">
    <mergeCell ref="H1838:J1838"/>
    <mergeCell ref="L1838:N1838"/>
    <mergeCell ref="O1838:O1839"/>
    <mergeCell ref="Q1838:Q1839"/>
    <mergeCell ref="H1811:J1811"/>
    <mergeCell ref="L1811:N1811"/>
    <mergeCell ref="O1811:O1812"/>
    <mergeCell ref="Q1811:Q1812"/>
    <mergeCell ref="H1820:J1820"/>
    <mergeCell ref="L1820:N1820"/>
    <mergeCell ref="O1820:O1821"/>
    <mergeCell ref="Q1820:Q1821"/>
    <mergeCell ref="H1865:J1865"/>
    <mergeCell ref="L1865:N1865"/>
    <mergeCell ref="O1865:O1866"/>
    <mergeCell ref="Q1865:Q1866"/>
    <mergeCell ref="H1847:J1847"/>
    <mergeCell ref="L1847:N1847"/>
    <mergeCell ref="O1847:O1848"/>
    <mergeCell ref="Q1847:Q1848"/>
    <mergeCell ref="H1856:J1856"/>
    <mergeCell ref="L1856:N1856"/>
    <mergeCell ref="O1856:O1857"/>
    <mergeCell ref="Q1856:Q1857"/>
    <mergeCell ref="H1793:J1793"/>
    <mergeCell ref="L1793:N1793"/>
    <mergeCell ref="O1793:O1794"/>
    <mergeCell ref="Q1793:Q1794"/>
    <mergeCell ref="H1802:J1802"/>
    <mergeCell ref="L1802:N1802"/>
    <mergeCell ref="O1802:O1803"/>
    <mergeCell ref="Q1802:Q1803"/>
    <mergeCell ref="H1775:J1775"/>
    <mergeCell ref="L1775:N1775"/>
    <mergeCell ref="O1775:O1776"/>
    <mergeCell ref="Q1775:Q1776"/>
    <mergeCell ref="H1784:J1784"/>
    <mergeCell ref="L1784:N1784"/>
    <mergeCell ref="O1784:O1785"/>
    <mergeCell ref="Q1784:Q1785"/>
    <mergeCell ref="H1829:J1829"/>
    <mergeCell ref="L1829:N1829"/>
    <mergeCell ref="O1829:O1830"/>
    <mergeCell ref="Q1829:Q1830"/>
    <mergeCell ref="H1730:J1730"/>
    <mergeCell ref="L1730:N1730"/>
    <mergeCell ref="O1730:O1731"/>
    <mergeCell ref="Q1730:Q1731"/>
    <mergeCell ref="H1703:J1703"/>
    <mergeCell ref="L1703:N1703"/>
    <mergeCell ref="O1703:O1704"/>
    <mergeCell ref="Q1703:Q1704"/>
    <mergeCell ref="H1712:J1712"/>
    <mergeCell ref="L1712:N1712"/>
    <mergeCell ref="O1712:O1713"/>
    <mergeCell ref="Q1712:Q1713"/>
    <mergeCell ref="H1757:J1757"/>
    <mergeCell ref="L1757:N1757"/>
    <mergeCell ref="O1757:O1758"/>
    <mergeCell ref="Q1757:Q1758"/>
    <mergeCell ref="H1766:J1766"/>
    <mergeCell ref="L1766:N1766"/>
    <mergeCell ref="O1766:O1767"/>
    <mergeCell ref="Q1766:Q1767"/>
    <mergeCell ref="H1739:J1739"/>
    <mergeCell ref="L1739:N1739"/>
    <mergeCell ref="O1739:O1740"/>
    <mergeCell ref="Q1739:Q1740"/>
    <mergeCell ref="H1748:J1748"/>
    <mergeCell ref="L1748:N1748"/>
    <mergeCell ref="O1748:O1749"/>
    <mergeCell ref="Q1748:Q1749"/>
    <mergeCell ref="H1685:J1685"/>
    <mergeCell ref="L1685:N1685"/>
    <mergeCell ref="O1685:O1686"/>
    <mergeCell ref="Q1685:Q1686"/>
    <mergeCell ref="H1694:J1694"/>
    <mergeCell ref="L1694:N1694"/>
    <mergeCell ref="O1694:O1695"/>
    <mergeCell ref="Q1694:Q1695"/>
    <mergeCell ref="H1667:J1667"/>
    <mergeCell ref="L1667:N1667"/>
    <mergeCell ref="O1667:O1668"/>
    <mergeCell ref="Q1667:Q1668"/>
    <mergeCell ref="H1676:J1676"/>
    <mergeCell ref="L1676:N1676"/>
    <mergeCell ref="O1676:O1677"/>
    <mergeCell ref="Q1676:Q1677"/>
    <mergeCell ref="H1721:J1721"/>
    <mergeCell ref="L1721:N1721"/>
    <mergeCell ref="O1721:O1722"/>
    <mergeCell ref="Q1721:Q1722"/>
    <mergeCell ref="H1622:J1622"/>
    <mergeCell ref="L1622:N1622"/>
    <mergeCell ref="O1622:O1623"/>
    <mergeCell ref="Q1622:Q1623"/>
    <mergeCell ref="H1595:J1595"/>
    <mergeCell ref="L1595:N1595"/>
    <mergeCell ref="O1595:O1596"/>
    <mergeCell ref="Q1595:Q1596"/>
    <mergeCell ref="H1604:J1604"/>
    <mergeCell ref="L1604:N1604"/>
    <mergeCell ref="O1604:O1605"/>
    <mergeCell ref="Q1604:Q1605"/>
    <mergeCell ref="H1649:J1649"/>
    <mergeCell ref="L1649:N1649"/>
    <mergeCell ref="O1649:O1650"/>
    <mergeCell ref="Q1649:Q1650"/>
    <mergeCell ref="H1658:J1658"/>
    <mergeCell ref="L1658:N1658"/>
    <mergeCell ref="O1658:O1659"/>
    <mergeCell ref="Q1658:Q1659"/>
    <mergeCell ref="H1631:J1631"/>
    <mergeCell ref="L1631:N1631"/>
    <mergeCell ref="O1631:O1632"/>
    <mergeCell ref="Q1631:Q1632"/>
    <mergeCell ref="H1640:J1640"/>
    <mergeCell ref="L1640:N1640"/>
    <mergeCell ref="O1640:O1641"/>
    <mergeCell ref="Q1640:Q1641"/>
    <mergeCell ref="H1577:J1577"/>
    <mergeCell ref="L1577:N1577"/>
    <mergeCell ref="O1577:O1578"/>
    <mergeCell ref="Q1577:Q1578"/>
    <mergeCell ref="H1586:J1586"/>
    <mergeCell ref="L1586:N1586"/>
    <mergeCell ref="O1586:O1587"/>
    <mergeCell ref="Q1586:Q1587"/>
    <mergeCell ref="H1559:J1559"/>
    <mergeCell ref="L1559:N1559"/>
    <mergeCell ref="O1559:O1560"/>
    <mergeCell ref="Q1559:Q1560"/>
    <mergeCell ref="H1568:J1568"/>
    <mergeCell ref="L1568:N1568"/>
    <mergeCell ref="O1568:O1569"/>
    <mergeCell ref="Q1568:Q1569"/>
    <mergeCell ref="H1613:J1613"/>
    <mergeCell ref="L1613:N1613"/>
    <mergeCell ref="O1613:O1614"/>
    <mergeCell ref="Q1613:Q1614"/>
    <mergeCell ref="H1514:J1514"/>
    <mergeCell ref="L1514:N1514"/>
    <mergeCell ref="O1514:O1515"/>
    <mergeCell ref="Q1514:Q1515"/>
    <mergeCell ref="H1487:J1487"/>
    <mergeCell ref="L1487:N1487"/>
    <mergeCell ref="O1487:O1488"/>
    <mergeCell ref="Q1487:Q1488"/>
    <mergeCell ref="H1496:J1496"/>
    <mergeCell ref="L1496:N1496"/>
    <mergeCell ref="O1496:O1497"/>
    <mergeCell ref="Q1496:Q1497"/>
    <mergeCell ref="H1541:J1541"/>
    <mergeCell ref="L1541:N1541"/>
    <mergeCell ref="O1541:O1542"/>
    <mergeCell ref="Q1541:Q1542"/>
    <mergeCell ref="H1550:J1550"/>
    <mergeCell ref="L1550:N1550"/>
    <mergeCell ref="O1550:O1551"/>
    <mergeCell ref="Q1550:Q1551"/>
    <mergeCell ref="H1523:J1523"/>
    <mergeCell ref="L1523:N1523"/>
    <mergeCell ref="O1523:O1524"/>
    <mergeCell ref="Q1523:Q1524"/>
    <mergeCell ref="H1532:J1532"/>
    <mergeCell ref="L1532:N1532"/>
    <mergeCell ref="O1532:O1533"/>
    <mergeCell ref="Q1532:Q1533"/>
    <mergeCell ref="H1469:J1469"/>
    <mergeCell ref="L1469:N1469"/>
    <mergeCell ref="O1469:O1470"/>
    <mergeCell ref="Q1469:Q1470"/>
    <mergeCell ref="H1478:J1478"/>
    <mergeCell ref="L1478:N1478"/>
    <mergeCell ref="O1478:O1479"/>
    <mergeCell ref="Q1478:Q1479"/>
    <mergeCell ref="H1451:J1451"/>
    <mergeCell ref="L1451:N1451"/>
    <mergeCell ref="O1451:O1452"/>
    <mergeCell ref="Q1451:Q1452"/>
    <mergeCell ref="H1460:J1460"/>
    <mergeCell ref="L1460:N1460"/>
    <mergeCell ref="O1460:O1461"/>
    <mergeCell ref="Q1460:Q1461"/>
    <mergeCell ref="H1505:J1505"/>
    <mergeCell ref="L1505:N1505"/>
    <mergeCell ref="O1505:O1506"/>
    <mergeCell ref="Q1505:Q1506"/>
    <mergeCell ref="H1406:J1406"/>
    <mergeCell ref="L1406:N1406"/>
    <mergeCell ref="O1406:O1407"/>
    <mergeCell ref="Q1406:Q1407"/>
    <mergeCell ref="H1379:J1379"/>
    <mergeCell ref="L1379:N1379"/>
    <mergeCell ref="O1379:O1380"/>
    <mergeCell ref="Q1379:Q1380"/>
    <mergeCell ref="H1388:J1388"/>
    <mergeCell ref="L1388:N1388"/>
    <mergeCell ref="O1388:O1389"/>
    <mergeCell ref="Q1388:Q1389"/>
    <mergeCell ref="H1433:J1433"/>
    <mergeCell ref="L1433:N1433"/>
    <mergeCell ref="O1433:O1434"/>
    <mergeCell ref="Q1433:Q1434"/>
    <mergeCell ref="H1442:J1442"/>
    <mergeCell ref="L1442:N1442"/>
    <mergeCell ref="O1442:O1443"/>
    <mergeCell ref="Q1442:Q1443"/>
    <mergeCell ref="H1415:J1415"/>
    <mergeCell ref="L1415:N1415"/>
    <mergeCell ref="O1415:O1416"/>
    <mergeCell ref="Q1415:Q1416"/>
    <mergeCell ref="H1424:J1424"/>
    <mergeCell ref="L1424:N1424"/>
    <mergeCell ref="O1424:O1425"/>
    <mergeCell ref="Q1424:Q1425"/>
    <mergeCell ref="H1361:J1361"/>
    <mergeCell ref="L1361:N1361"/>
    <mergeCell ref="O1361:O1362"/>
    <mergeCell ref="Q1361:Q1362"/>
    <mergeCell ref="H1370:J1370"/>
    <mergeCell ref="L1370:N1370"/>
    <mergeCell ref="O1370:O1371"/>
    <mergeCell ref="Q1370:Q1371"/>
    <mergeCell ref="H1343:J1343"/>
    <mergeCell ref="L1343:N1343"/>
    <mergeCell ref="O1343:O1344"/>
    <mergeCell ref="Q1343:Q1344"/>
    <mergeCell ref="H1352:J1352"/>
    <mergeCell ref="L1352:N1352"/>
    <mergeCell ref="O1352:O1353"/>
    <mergeCell ref="Q1352:Q1353"/>
    <mergeCell ref="H1397:J1397"/>
    <mergeCell ref="L1397:N1397"/>
    <mergeCell ref="O1397:O1398"/>
    <mergeCell ref="Q1397:Q1398"/>
    <mergeCell ref="H1298:J1298"/>
    <mergeCell ref="L1298:N1298"/>
    <mergeCell ref="O1298:O1299"/>
    <mergeCell ref="Q1298:Q1299"/>
    <mergeCell ref="H1271:J1271"/>
    <mergeCell ref="L1271:N1271"/>
    <mergeCell ref="O1271:O1272"/>
    <mergeCell ref="Q1271:Q1272"/>
    <mergeCell ref="H1280:J1280"/>
    <mergeCell ref="L1280:N1280"/>
    <mergeCell ref="O1280:O1281"/>
    <mergeCell ref="Q1280:Q1281"/>
    <mergeCell ref="H1325:J1325"/>
    <mergeCell ref="L1325:N1325"/>
    <mergeCell ref="O1325:O1326"/>
    <mergeCell ref="Q1325:Q1326"/>
    <mergeCell ref="H1334:J1334"/>
    <mergeCell ref="L1334:N1334"/>
    <mergeCell ref="O1334:O1335"/>
    <mergeCell ref="Q1334:Q1335"/>
    <mergeCell ref="H1307:J1307"/>
    <mergeCell ref="L1307:N1307"/>
    <mergeCell ref="O1307:O1308"/>
    <mergeCell ref="Q1307:Q1308"/>
    <mergeCell ref="H1316:J1316"/>
    <mergeCell ref="L1316:N1316"/>
    <mergeCell ref="O1316:O1317"/>
    <mergeCell ref="Q1316:Q1317"/>
    <mergeCell ref="H1253:J1253"/>
    <mergeCell ref="L1253:N1253"/>
    <mergeCell ref="O1253:O1254"/>
    <mergeCell ref="Q1253:Q1254"/>
    <mergeCell ref="H1262:J1262"/>
    <mergeCell ref="L1262:N1262"/>
    <mergeCell ref="O1262:O1263"/>
    <mergeCell ref="Q1262:Q1263"/>
    <mergeCell ref="H1235:J1235"/>
    <mergeCell ref="L1235:N1235"/>
    <mergeCell ref="O1235:O1236"/>
    <mergeCell ref="Q1235:Q1236"/>
    <mergeCell ref="H1244:J1244"/>
    <mergeCell ref="L1244:N1244"/>
    <mergeCell ref="O1244:O1245"/>
    <mergeCell ref="Q1244:Q1245"/>
    <mergeCell ref="H1289:J1289"/>
    <mergeCell ref="L1289:N1289"/>
    <mergeCell ref="O1289:O1290"/>
    <mergeCell ref="Q1289:Q1290"/>
    <mergeCell ref="H1190:J1190"/>
    <mergeCell ref="L1190:N1190"/>
    <mergeCell ref="O1190:O1191"/>
    <mergeCell ref="Q1190:Q1191"/>
    <mergeCell ref="H1163:J1163"/>
    <mergeCell ref="L1163:N1163"/>
    <mergeCell ref="O1163:O1164"/>
    <mergeCell ref="Q1163:Q1164"/>
    <mergeCell ref="H1172:J1172"/>
    <mergeCell ref="L1172:N1172"/>
    <mergeCell ref="O1172:O1173"/>
    <mergeCell ref="Q1172:Q1173"/>
    <mergeCell ref="H1217:J1217"/>
    <mergeCell ref="L1217:N1217"/>
    <mergeCell ref="O1217:O1218"/>
    <mergeCell ref="Q1217:Q1218"/>
    <mergeCell ref="H1226:J1226"/>
    <mergeCell ref="L1226:N1226"/>
    <mergeCell ref="O1226:O1227"/>
    <mergeCell ref="Q1226:Q1227"/>
    <mergeCell ref="H1199:J1199"/>
    <mergeCell ref="L1199:N1199"/>
    <mergeCell ref="O1199:O1200"/>
    <mergeCell ref="Q1199:Q1200"/>
    <mergeCell ref="H1208:J1208"/>
    <mergeCell ref="L1208:N1208"/>
    <mergeCell ref="O1208:O1209"/>
    <mergeCell ref="Q1208:Q1209"/>
    <mergeCell ref="H1145:J1145"/>
    <mergeCell ref="L1145:N1145"/>
    <mergeCell ref="O1145:O1146"/>
    <mergeCell ref="Q1145:Q1146"/>
    <mergeCell ref="H1154:J1154"/>
    <mergeCell ref="L1154:N1154"/>
    <mergeCell ref="O1154:O1155"/>
    <mergeCell ref="Q1154:Q1155"/>
    <mergeCell ref="H1127:J1127"/>
    <mergeCell ref="L1127:N1127"/>
    <mergeCell ref="O1127:O1128"/>
    <mergeCell ref="Q1127:Q1128"/>
    <mergeCell ref="H1136:J1136"/>
    <mergeCell ref="L1136:N1136"/>
    <mergeCell ref="O1136:O1137"/>
    <mergeCell ref="Q1136:Q1137"/>
    <mergeCell ref="H1181:J1181"/>
    <mergeCell ref="L1181:N1181"/>
    <mergeCell ref="O1181:O1182"/>
    <mergeCell ref="Q1181:Q1182"/>
    <mergeCell ref="H1082:J1082"/>
    <mergeCell ref="L1082:N1082"/>
    <mergeCell ref="O1082:O1083"/>
    <mergeCell ref="Q1082:Q1083"/>
    <mergeCell ref="H1055:J1055"/>
    <mergeCell ref="L1055:N1055"/>
    <mergeCell ref="O1055:O1056"/>
    <mergeCell ref="Q1055:Q1056"/>
    <mergeCell ref="H1064:J1064"/>
    <mergeCell ref="L1064:N1064"/>
    <mergeCell ref="O1064:O1065"/>
    <mergeCell ref="Q1064:Q1065"/>
    <mergeCell ref="H1109:J1109"/>
    <mergeCell ref="L1109:N1109"/>
    <mergeCell ref="O1109:O1110"/>
    <mergeCell ref="Q1109:Q1110"/>
    <mergeCell ref="H1118:J1118"/>
    <mergeCell ref="L1118:N1118"/>
    <mergeCell ref="O1118:O1119"/>
    <mergeCell ref="Q1118:Q1119"/>
    <mergeCell ref="H1091:J1091"/>
    <mergeCell ref="L1091:N1091"/>
    <mergeCell ref="O1091:O1092"/>
    <mergeCell ref="Q1091:Q1092"/>
    <mergeCell ref="H1100:J1100"/>
    <mergeCell ref="L1100:N1100"/>
    <mergeCell ref="O1100:O1101"/>
    <mergeCell ref="Q1100:Q1101"/>
    <mergeCell ref="H1037:J1037"/>
    <mergeCell ref="L1037:N1037"/>
    <mergeCell ref="O1037:O1038"/>
    <mergeCell ref="Q1037:Q1038"/>
    <mergeCell ref="H1046:J1046"/>
    <mergeCell ref="L1046:N1046"/>
    <mergeCell ref="O1046:O1047"/>
    <mergeCell ref="Q1046:Q1047"/>
    <mergeCell ref="H1019:J1019"/>
    <mergeCell ref="L1019:N1019"/>
    <mergeCell ref="O1019:O1020"/>
    <mergeCell ref="Q1019:Q1020"/>
    <mergeCell ref="H1028:J1028"/>
    <mergeCell ref="L1028:N1028"/>
    <mergeCell ref="O1028:O1029"/>
    <mergeCell ref="Q1028:Q1029"/>
    <mergeCell ref="H1073:J1073"/>
    <mergeCell ref="L1073:N1073"/>
    <mergeCell ref="O1073:O1074"/>
    <mergeCell ref="Q1073:Q1074"/>
    <mergeCell ref="H974:J974"/>
    <mergeCell ref="L974:N974"/>
    <mergeCell ref="O974:O975"/>
    <mergeCell ref="Q974:Q975"/>
    <mergeCell ref="H947:J947"/>
    <mergeCell ref="L947:N947"/>
    <mergeCell ref="O947:O948"/>
    <mergeCell ref="Q947:Q948"/>
    <mergeCell ref="H956:J956"/>
    <mergeCell ref="L956:N956"/>
    <mergeCell ref="O956:O957"/>
    <mergeCell ref="Q956:Q957"/>
    <mergeCell ref="H1001:J1001"/>
    <mergeCell ref="L1001:N1001"/>
    <mergeCell ref="O1001:O1002"/>
    <mergeCell ref="Q1001:Q1002"/>
    <mergeCell ref="H1010:J1010"/>
    <mergeCell ref="L1010:N1010"/>
    <mergeCell ref="O1010:O1011"/>
    <mergeCell ref="Q1010:Q1011"/>
    <mergeCell ref="H983:J983"/>
    <mergeCell ref="L983:N983"/>
    <mergeCell ref="O983:O984"/>
    <mergeCell ref="Q983:Q984"/>
    <mergeCell ref="H992:J992"/>
    <mergeCell ref="L992:N992"/>
    <mergeCell ref="O992:O993"/>
    <mergeCell ref="Q992:Q993"/>
    <mergeCell ref="H929:J929"/>
    <mergeCell ref="L929:N929"/>
    <mergeCell ref="O929:O930"/>
    <mergeCell ref="Q929:Q930"/>
    <mergeCell ref="H938:J938"/>
    <mergeCell ref="L938:N938"/>
    <mergeCell ref="O938:O939"/>
    <mergeCell ref="Q938:Q939"/>
    <mergeCell ref="H911:J911"/>
    <mergeCell ref="L911:N911"/>
    <mergeCell ref="O911:O912"/>
    <mergeCell ref="Q911:Q912"/>
    <mergeCell ref="H920:J920"/>
    <mergeCell ref="L920:N920"/>
    <mergeCell ref="O920:O921"/>
    <mergeCell ref="Q920:Q921"/>
    <mergeCell ref="H965:J965"/>
    <mergeCell ref="L965:N965"/>
    <mergeCell ref="O965:O966"/>
    <mergeCell ref="Q965:Q966"/>
    <mergeCell ref="H866:J866"/>
    <mergeCell ref="L866:N866"/>
    <mergeCell ref="O866:O867"/>
    <mergeCell ref="Q866:Q867"/>
    <mergeCell ref="H839:J839"/>
    <mergeCell ref="L839:N839"/>
    <mergeCell ref="O839:O840"/>
    <mergeCell ref="Q839:Q840"/>
    <mergeCell ref="H848:J848"/>
    <mergeCell ref="L848:N848"/>
    <mergeCell ref="O848:O849"/>
    <mergeCell ref="Q848:Q849"/>
    <mergeCell ref="H893:J893"/>
    <mergeCell ref="L893:N893"/>
    <mergeCell ref="O893:O894"/>
    <mergeCell ref="Q893:Q894"/>
    <mergeCell ref="H902:J902"/>
    <mergeCell ref="L902:N902"/>
    <mergeCell ref="O902:O903"/>
    <mergeCell ref="Q902:Q903"/>
    <mergeCell ref="H875:J875"/>
    <mergeCell ref="L875:N875"/>
    <mergeCell ref="O875:O876"/>
    <mergeCell ref="Q875:Q876"/>
    <mergeCell ref="H884:J884"/>
    <mergeCell ref="L884:N884"/>
    <mergeCell ref="O884:O885"/>
    <mergeCell ref="Q884:Q885"/>
    <mergeCell ref="H821:J821"/>
    <mergeCell ref="L821:N821"/>
    <mergeCell ref="O821:O822"/>
    <mergeCell ref="Q821:Q822"/>
    <mergeCell ref="H830:J830"/>
    <mergeCell ref="L830:N830"/>
    <mergeCell ref="O830:O831"/>
    <mergeCell ref="Q830:Q831"/>
    <mergeCell ref="H803:J803"/>
    <mergeCell ref="L803:N803"/>
    <mergeCell ref="O803:O804"/>
    <mergeCell ref="Q803:Q804"/>
    <mergeCell ref="H812:J812"/>
    <mergeCell ref="L812:N812"/>
    <mergeCell ref="O812:O813"/>
    <mergeCell ref="Q812:Q813"/>
    <mergeCell ref="H857:J857"/>
    <mergeCell ref="L857:N857"/>
    <mergeCell ref="O857:O858"/>
    <mergeCell ref="Q857:Q858"/>
    <mergeCell ref="H758:J758"/>
    <mergeCell ref="L758:N758"/>
    <mergeCell ref="O758:O759"/>
    <mergeCell ref="Q758:Q759"/>
    <mergeCell ref="H731:J731"/>
    <mergeCell ref="L731:N731"/>
    <mergeCell ref="O731:O732"/>
    <mergeCell ref="Q731:Q732"/>
    <mergeCell ref="H740:J740"/>
    <mergeCell ref="L740:N740"/>
    <mergeCell ref="O740:O741"/>
    <mergeCell ref="Q740:Q741"/>
    <mergeCell ref="H785:J785"/>
    <mergeCell ref="L785:N785"/>
    <mergeCell ref="O785:O786"/>
    <mergeCell ref="Q785:Q786"/>
    <mergeCell ref="H794:J794"/>
    <mergeCell ref="L794:N794"/>
    <mergeCell ref="O794:O795"/>
    <mergeCell ref="Q794:Q795"/>
    <mergeCell ref="H767:J767"/>
    <mergeCell ref="L767:N767"/>
    <mergeCell ref="O767:O768"/>
    <mergeCell ref="Q767:Q768"/>
    <mergeCell ref="H776:J776"/>
    <mergeCell ref="L776:N776"/>
    <mergeCell ref="O776:O777"/>
    <mergeCell ref="Q776:Q777"/>
    <mergeCell ref="H713:J713"/>
    <mergeCell ref="L713:N713"/>
    <mergeCell ref="O713:O714"/>
    <mergeCell ref="Q713:Q714"/>
    <mergeCell ref="H722:J722"/>
    <mergeCell ref="L722:N722"/>
    <mergeCell ref="O722:O723"/>
    <mergeCell ref="Q722:Q723"/>
    <mergeCell ref="H695:J695"/>
    <mergeCell ref="L695:N695"/>
    <mergeCell ref="O695:O696"/>
    <mergeCell ref="Q695:Q696"/>
    <mergeCell ref="H704:J704"/>
    <mergeCell ref="L704:N704"/>
    <mergeCell ref="O704:O705"/>
    <mergeCell ref="Q704:Q705"/>
    <mergeCell ref="H749:J749"/>
    <mergeCell ref="L749:N749"/>
    <mergeCell ref="O749:O750"/>
    <mergeCell ref="Q749:Q750"/>
    <mergeCell ref="H650:J650"/>
    <mergeCell ref="L650:N650"/>
    <mergeCell ref="O650:O651"/>
    <mergeCell ref="Q650:Q651"/>
    <mergeCell ref="H623:J623"/>
    <mergeCell ref="L623:N623"/>
    <mergeCell ref="O623:O624"/>
    <mergeCell ref="Q623:Q624"/>
    <mergeCell ref="H632:J632"/>
    <mergeCell ref="L632:N632"/>
    <mergeCell ref="O632:O633"/>
    <mergeCell ref="Q632:Q633"/>
    <mergeCell ref="H677:J677"/>
    <mergeCell ref="L677:N677"/>
    <mergeCell ref="O677:O678"/>
    <mergeCell ref="Q677:Q678"/>
    <mergeCell ref="H686:J686"/>
    <mergeCell ref="L686:N686"/>
    <mergeCell ref="O686:O687"/>
    <mergeCell ref="Q686:Q687"/>
    <mergeCell ref="H659:J659"/>
    <mergeCell ref="L659:N659"/>
    <mergeCell ref="O659:O660"/>
    <mergeCell ref="Q659:Q660"/>
    <mergeCell ref="H668:J668"/>
    <mergeCell ref="L668:N668"/>
    <mergeCell ref="O668:O669"/>
    <mergeCell ref="Q668:Q669"/>
    <mergeCell ref="H605:J605"/>
    <mergeCell ref="L605:N605"/>
    <mergeCell ref="O605:O606"/>
    <mergeCell ref="Q605:Q606"/>
    <mergeCell ref="H614:J614"/>
    <mergeCell ref="L614:N614"/>
    <mergeCell ref="O614:O615"/>
    <mergeCell ref="Q614:Q615"/>
    <mergeCell ref="H587:J587"/>
    <mergeCell ref="L587:N587"/>
    <mergeCell ref="O587:O588"/>
    <mergeCell ref="Q587:Q588"/>
    <mergeCell ref="H596:J596"/>
    <mergeCell ref="L596:N596"/>
    <mergeCell ref="O596:O597"/>
    <mergeCell ref="Q596:Q597"/>
    <mergeCell ref="H641:J641"/>
    <mergeCell ref="L641:N641"/>
    <mergeCell ref="O641:O642"/>
    <mergeCell ref="Q641:Q642"/>
    <mergeCell ref="H542:J542"/>
    <mergeCell ref="L542:N542"/>
    <mergeCell ref="O542:O543"/>
    <mergeCell ref="Q542:Q543"/>
    <mergeCell ref="H515:J515"/>
    <mergeCell ref="L515:N515"/>
    <mergeCell ref="O515:O516"/>
    <mergeCell ref="Q515:Q516"/>
    <mergeCell ref="H524:J524"/>
    <mergeCell ref="L524:N524"/>
    <mergeCell ref="O524:O525"/>
    <mergeCell ref="Q524:Q525"/>
    <mergeCell ref="H569:J569"/>
    <mergeCell ref="L569:N569"/>
    <mergeCell ref="O569:O570"/>
    <mergeCell ref="Q569:Q570"/>
    <mergeCell ref="H578:J578"/>
    <mergeCell ref="L578:N578"/>
    <mergeCell ref="O578:O579"/>
    <mergeCell ref="Q578:Q579"/>
    <mergeCell ref="H551:J551"/>
    <mergeCell ref="L551:N551"/>
    <mergeCell ref="O551:O552"/>
    <mergeCell ref="Q551:Q552"/>
    <mergeCell ref="H560:J560"/>
    <mergeCell ref="L560:N560"/>
    <mergeCell ref="O560:O561"/>
    <mergeCell ref="Q560:Q561"/>
    <mergeCell ref="H497:J497"/>
    <mergeCell ref="L497:N497"/>
    <mergeCell ref="O497:O498"/>
    <mergeCell ref="Q497:Q498"/>
    <mergeCell ref="H506:J506"/>
    <mergeCell ref="L506:N506"/>
    <mergeCell ref="O506:O507"/>
    <mergeCell ref="Q506:Q507"/>
    <mergeCell ref="H479:J479"/>
    <mergeCell ref="L479:N479"/>
    <mergeCell ref="O479:O480"/>
    <mergeCell ref="Q479:Q480"/>
    <mergeCell ref="H488:J488"/>
    <mergeCell ref="L488:N488"/>
    <mergeCell ref="O488:O489"/>
    <mergeCell ref="Q488:Q489"/>
    <mergeCell ref="H533:J533"/>
    <mergeCell ref="L533:N533"/>
    <mergeCell ref="O533:O534"/>
    <mergeCell ref="Q533:Q534"/>
    <mergeCell ref="H434:J434"/>
    <mergeCell ref="L434:N434"/>
    <mergeCell ref="O434:O435"/>
    <mergeCell ref="Q434:Q435"/>
    <mergeCell ref="H407:J407"/>
    <mergeCell ref="L407:N407"/>
    <mergeCell ref="O407:O408"/>
    <mergeCell ref="Q407:Q408"/>
    <mergeCell ref="H416:J416"/>
    <mergeCell ref="L416:N416"/>
    <mergeCell ref="O416:O417"/>
    <mergeCell ref="Q416:Q417"/>
    <mergeCell ref="H461:J461"/>
    <mergeCell ref="L461:N461"/>
    <mergeCell ref="O461:O462"/>
    <mergeCell ref="Q461:Q462"/>
    <mergeCell ref="H470:J470"/>
    <mergeCell ref="L470:N470"/>
    <mergeCell ref="O470:O471"/>
    <mergeCell ref="Q470:Q471"/>
    <mergeCell ref="H443:J443"/>
    <mergeCell ref="L443:N443"/>
    <mergeCell ref="O443:O444"/>
    <mergeCell ref="Q443:Q444"/>
    <mergeCell ref="H452:J452"/>
    <mergeCell ref="L452:N452"/>
    <mergeCell ref="O452:O453"/>
    <mergeCell ref="Q452:Q453"/>
    <mergeCell ref="H389:J389"/>
    <mergeCell ref="L389:N389"/>
    <mergeCell ref="O389:O390"/>
    <mergeCell ref="Q389:Q390"/>
    <mergeCell ref="H398:J398"/>
    <mergeCell ref="L398:N398"/>
    <mergeCell ref="O398:O399"/>
    <mergeCell ref="Q398:Q399"/>
    <mergeCell ref="H371:J371"/>
    <mergeCell ref="L371:N371"/>
    <mergeCell ref="O371:O372"/>
    <mergeCell ref="Q371:Q372"/>
    <mergeCell ref="H380:J380"/>
    <mergeCell ref="L380:N380"/>
    <mergeCell ref="O380:O381"/>
    <mergeCell ref="Q380:Q381"/>
    <mergeCell ref="H425:J425"/>
    <mergeCell ref="L425:N425"/>
    <mergeCell ref="O425:O426"/>
    <mergeCell ref="Q425:Q426"/>
    <mergeCell ref="H326:J326"/>
    <mergeCell ref="L326:N326"/>
    <mergeCell ref="O326:O327"/>
    <mergeCell ref="Q326:Q327"/>
    <mergeCell ref="H299:J299"/>
    <mergeCell ref="L299:N299"/>
    <mergeCell ref="O299:O300"/>
    <mergeCell ref="Q299:Q300"/>
    <mergeCell ref="H308:J308"/>
    <mergeCell ref="L308:N308"/>
    <mergeCell ref="O308:O309"/>
    <mergeCell ref="Q308:Q309"/>
    <mergeCell ref="H353:J353"/>
    <mergeCell ref="L353:N353"/>
    <mergeCell ref="O353:O354"/>
    <mergeCell ref="Q353:Q354"/>
    <mergeCell ref="H362:J362"/>
    <mergeCell ref="L362:N362"/>
    <mergeCell ref="O362:O363"/>
    <mergeCell ref="Q362:Q363"/>
    <mergeCell ref="H335:J335"/>
    <mergeCell ref="L335:N335"/>
    <mergeCell ref="O335:O336"/>
    <mergeCell ref="Q335:Q336"/>
    <mergeCell ref="H344:J344"/>
    <mergeCell ref="L344:N344"/>
    <mergeCell ref="O344:O345"/>
    <mergeCell ref="Q344:Q345"/>
    <mergeCell ref="H281:J281"/>
    <mergeCell ref="L281:N281"/>
    <mergeCell ref="O281:O282"/>
    <mergeCell ref="Q281:Q282"/>
    <mergeCell ref="H290:J290"/>
    <mergeCell ref="L290:N290"/>
    <mergeCell ref="O290:O291"/>
    <mergeCell ref="Q290:Q291"/>
    <mergeCell ref="H263:J263"/>
    <mergeCell ref="L263:N263"/>
    <mergeCell ref="O263:O264"/>
    <mergeCell ref="Q263:Q264"/>
    <mergeCell ref="H272:J272"/>
    <mergeCell ref="L272:N272"/>
    <mergeCell ref="O272:O273"/>
    <mergeCell ref="Q272:Q273"/>
    <mergeCell ref="H317:J317"/>
    <mergeCell ref="L317:N317"/>
    <mergeCell ref="O317:O318"/>
    <mergeCell ref="Q317:Q318"/>
    <mergeCell ref="H218:J218"/>
    <mergeCell ref="L218:N218"/>
    <mergeCell ref="O218:O219"/>
    <mergeCell ref="Q218:Q219"/>
    <mergeCell ref="H191:J191"/>
    <mergeCell ref="L191:N191"/>
    <mergeCell ref="O191:O192"/>
    <mergeCell ref="Q191:Q192"/>
    <mergeCell ref="H200:J200"/>
    <mergeCell ref="L200:N200"/>
    <mergeCell ref="O200:O201"/>
    <mergeCell ref="Q200:Q201"/>
    <mergeCell ref="H245:J245"/>
    <mergeCell ref="L245:N245"/>
    <mergeCell ref="O245:O246"/>
    <mergeCell ref="Q245:Q246"/>
    <mergeCell ref="H254:J254"/>
    <mergeCell ref="L254:N254"/>
    <mergeCell ref="O254:O255"/>
    <mergeCell ref="Q254:Q255"/>
    <mergeCell ref="H227:J227"/>
    <mergeCell ref="L227:N227"/>
    <mergeCell ref="O227:O228"/>
    <mergeCell ref="Q227:Q228"/>
    <mergeCell ref="H236:J236"/>
    <mergeCell ref="L236:N236"/>
    <mergeCell ref="O236:O237"/>
    <mergeCell ref="Q236:Q237"/>
    <mergeCell ref="H173:J173"/>
    <mergeCell ref="L173:N173"/>
    <mergeCell ref="O173:O174"/>
    <mergeCell ref="Q173:Q174"/>
    <mergeCell ref="H182:J182"/>
    <mergeCell ref="L182:N182"/>
    <mergeCell ref="O182:O183"/>
    <mergeCell ref="Q182:Q183"/>
    <mergeCell ref="H155:J155"/>
    <mergeCell ref="L155:N155"/>
    <mergeCell ref="O155:O156"/>
    <mergeCell ref="Q155:Q156"/>
    <mergeCell ref="H164:J164"/>
    <mergeCell ref="L164:N164"/>
    <mergeCell ref="O164:O165"/>
    <mergeCell ref="Q164:Q165"/>
    <mergeCell ref="H209:J209"/>
    <mergeCell ref="L209:N209"/>
    <mergeCell ref="O209:O210"/>
    <mergeCell ref="Q209:Q210"/>
    <mergeCell ref="H92:J92"/>
    <mergeCell ref="L92:N92"/>
    <mergeCell ref="O92:O93"/>
    <mergeCell ref="Q92:Q93"/>
    <mergeCell ref="H137:J137"/>
    <mergeCell ref="L137:N137"/>
    <mergeCell ref="O137:O138"/>
    <mergeCell ref="Q137:Q138"/>
    <mergeCell ref="H146:J146"/>
    <mergeCell ref="L146:N146"/>
    <mergeCell ref="O146:O147"/>
    <mergeCell ref="Q146:Q147"/>
    <mergeCell ref="H119:J119"/>
    <mergeCell ref="L119:N119"/>
    <mergeCell ref="O119:O120"/>
    <mergeCell ref="Q119:Q120"/>
    <mergeCell ref="H128:J128"/>
    <mergeCell ref="L128:N128"/>
    <mergeCell ref="O128:O129"/>
    <mergeCell ref="Q128:Q129"/>
    <mergeCell ref="H11:J11"/>
    <mergeCell ref="L11:N11"/>
    <mergeCell ref="O11:O12"/>
    <mergeCell ref="Q11:Q12"/>
    <mergeCell ref="H20:J20"/>
    <mergeCell ref="L20:N20"/>
    <mergeCell ref="O20:O21"/>
    <mergeCell ref="Q20:Q21"/>
    <mergeCell ref="H65:J65"/>
    <mergeCell ref="L65:N65"/>
    <mergeCell ref="O65:O66"/>
    <mergeCell ref="Q65:Q66"/>
    <mergeCell ref="H74:J74"/>
    <mergeCell ref="L74:N74"/>
    <mergeCell ref="O74:O75"/>
    <mergeCell ref="Q74:Q75"/>
    <mergeCell ref="H47:J47"/>
    <mergeCell ref="L47:N47"/>
    <mergeCell ref="O47:O48"/>
    <mergeCell ref="Q47:Q48"/>
    <mergeCell ref="H56:J56"/>
    <mergeCell ref="L56:N56"/>
    <mergeCell ref="O56:O57"/>
    <mergeCell ref="Q56:Q57"/>
    <mergeCell ref="H1874:J1874"/>
    <mergeCell ref="L1874:N1874"/>
    <mergeCell ref="O1874:O1875"/>
    <mergeCell ref="Q1874:Q1875"/>
    <mergeCell ref="H1883:J1883"/>
    <mergeCell ref="L1883:N1883"/>
    <mergeCell ref="O1883:O1884"/>
    <mergeCell ref="Q1883:Q1884"/>
    <mergeCell ref="H1892:J1892"/>
    <mergeCell ref="L1892:N1892"/>
    <mergeCell ref="O1892:O1893"/>
    <mergeCell ref="Q1892:Q1893"/>
    <mergeCell ref="H29:J29"/>
    <mergeCell ref="L29:N29"/>
    <mergeCell ref="O29:O30"/>
    <mergeCell ref="Q29:Q30"/>
    <mergeCell ref="H38:J38"/>
    <mergeCell ref="L38:N38"/>
    <mergeCell ref="O38:O39"/>
    <mergeCell ref="Q38:Q39"/>
    <mergeCell ref="H101:J101"/>
    <mergeCell ref="L101:N101"/>
    <mergeCell ref="O101:O102"/>
    <mergeCell ref="Q101:Q102"/>
    <mergeCell ref="H110:J110"/>
    <mergeCell ref="L110:N110"/>
    <mergeCell ref="O110:O111"/>
    <mergeCell ref="Q110:Q111"/>
    <mergeCell ref="H83:J83"/>
    <mergeCell ref="L83:N83"/>
    <mergeCell ref="O83:O84"/>
    <mergeCell ref="Q83:Q84"/>
    <mergeCell ref="H1928:J1928"/>
    <mergeCell ref="L1928:N1928"/>
    <mergeCell ref="O1928:O1929"/>
    <mergeCell ref="Q1928:Q1929"/>
    <mergeCell ref="H1937:J1937"/>
    <mergeCell ref="L1937:N1937"/>
    <mergeCell ref="O1937:O1938"/>
    <mergeCell ref="Q1937:Q1938"/>
    <mergeCell ref="H1946:J1946"/>
    <mergeCell ref="L1946:N1946"/>
    <mergeCell ref="O1946:O1947"/>
    <mergeCell ref="Q1946:Q1947"/>
    <mergeCell ref="H1901:J1901"/>
    <mergeCell ref="L1901:N1901"/>
    <mergeCell ref="O1901:O1902"/>
    <mergeCell ref="Q1901:Q1902"/>
    <mergeCell ref="H1910:J1910"/>
    <mergeCell ref="L1910:N1910"/>
    <mergeCell ref="O1910:O1911"/>
    <mergeCell ref="Q1910:Q1911"/>
    <mergeCell ref="H1919:J1919"/>
    <mergeCell ref="L1919:N1919"/>
    <mergeCell ref="O1919:O1920"/>
    <mergeCell ref="Q1919:Q1920"/>
    <mergeCell ref="H1982:J1982"/>
    <mergeCell ref="L1982:N1982"/>
    <mergeCell ref="O1982:O1983"/>
    <mergeCell ref="Q1982:Q1983"/>
    <mergeCell ref="H1991:J1991"/>
    <mergeCell ref="L1991:N1991"/>
    <mergeCell ref="O1991:O1992"/>
    <mergeCell ref="Q1991:Q1992"/>
    <mergeCell ref="H2000:J2000"/>
    <mergeCell ref="L2000:N2000"/>
    <mergeCell ref="O2000:O2001"/>
    <mergeCell ref="Q2000:Q2001"/>
    <mergeCell ref="H1955:J1955"/>
    <mergeCell ref="L1955:N1955"/>
    <mergeCell ref="O1955:O1956"/>
    <mergeCell ref="Q1955:Q1956"/>
    <mergeCell ref="H1964:J1964"/>
    <mergeCell ref="L1964:N1964"/>
    <mergeCell ref="O1964:O1965"/>
    <mergeCell ref="Q1964:Q1965"/>
    <mergeCell ref="H1973:J1973"/>
    <mergeCell ref="L1973:N1973"/>
    <mergeCell ref="O1973:O1974"/>
    <mergeCell ref="Q1973:Q1974"/>
    <mergeCell ref="H2036:J2036"/>
    <mergeCell ref="L2036:N2036"/>
    <mergeCell ref="O2036:O2037"/>
    <mergeCell ref="Q2036:Q2037"/>
    <mergeCell ref="H2045:J2045"/>
    <mergeCell ref="L2045:N2045"/>
    <mergeCell ref="O2045:O2046"/>
    <mergeCell ref="Q2045:Q2046"/>
    <mergeCell ref="H2054:J2054"/>
    <mergeCell ref="L2054:N2054"/>
    <mergeCell ref="O2054:O2055"/>
    <mergeCell ref="Q2054:Q2055"/>
    <mergeCell ref="H2009:J2009"/>
    <mergeCell ref="L2009:N2009"/>
    <mergeCell ref="O2009:O2010"/>
    <mergeCell ref="Q2009:Q2010"/>
    <mergeCell ref="H2018:J2018"/>
    <mergeCell ref="L2018:N2018"/>
    <mergeCell ref="O2018:O2019"/>
    <mergeCell ref="Q2018:Q2019"/>
    <mergeCell ref="H2027:J2027"/>
    <mergeCell ref="L2027:N2027"/>
    <mergeCell ref="O2027:O2028"/>
    <mergeCell ref="Q2027:Q2028"/>
    <mergeCell ref="H2090:J2090"/>
    <mergeCell ref="L2090:N2090"/>
    <mergeCell ref="O2090:O2091"/>
    <mergeCell ref="Q2090:Q2091"/>
    <mergeCell ref="H2099:J2099"/>
    <mergeCell ref="L2099:N2099"/>
    <mergeCell ref="O2099:O2100"/>
    <mergeCell ref="Q2099:Q2100"/>
    <mergeCell ref="H2108:J2108"/>
    <mergeCell ref="L2108:N2108"/>
    <mergeCell ref="O2108:O2109"/>
    <mergeCell ref="Q2108:Q2109"/>
    <mergeCell ref="H2063:J2063"/>
    <mergeCell ref="L2063:N2063"/>
    <mergeCell ref="O2063:O2064"/>
    <mergeCell ref="Q2063:Q2064"/>
    <mergeCell ref="H2072:J2072"/>
    <mergeCell ref="L2072:N2072"/>
    <mergeCell ref="O2072:O2073"/>
    <mergeCell ref="Q2072:Q2073"/>
    <mergeCell ref="H2081:J2081"/>
    <mergeCell ref="L2081:N2081"/>
    <mergeCell ref="O2081:O2082"/>
    <mergeCell ref="Q2081:Q2082"/>
    <mergeCell ref="H2144:J2144"/>
    <mergeCell ref="L2144:N2144"/>
    <mergeCell ref="O2144:O2145"/>
    <mergeCell ref="Q2144:Q2145"/>
    <mergeCell ref="H2153:J2153"/>
    <mergeCell ref="L2153:N2153"/>
    <mergeCell ref="O2153:O2154"/>
    <mergeCell ref="Q2153:Q2154"/>
    <mergeCell ref="H2162:J2162"/>
    <mergeCell ref="L2162:N2162"/>
    <mergeCell ref="O2162:O2163"/>
    <mergeCell ref="Q2162:Q2163"/>
    <mergeCell ref="H2117:J2117"/>
    <mergeCell ref="L2117:N2117"/>
    <mergeCell ref="O2117:O2118"/>
    <mergeCell ref="Q2117:Q2118"/>
    <mergeCell ref="H2126:J2126"/>
    <mergeCell ref="L2126:N2126"/>
    <mergeCell ref="O2126:O2127"/>
    <mergeCell ref="Q2126:Q2127"/>
    <mergeCell ref="H2135:J2135"/>
    <mergeCell ref="L2135:N2135"/>
    <mergeCell ref="O2135:O2136"/>
    <mergeCell ref="Q2135:Q2136"/>
    <mergeCell ref="H2198:J2198"/>
    <mergeCell ref="L2198:N2198"/>
    <mergeCell ref="O2198:O2199"/>
    <mergeCell ref="Q2198:Q2199"/>
    <mergeCell ref="H2207:J2207"/>
    <mergeCell ref="L2207:N2207"/>
    <mergeCell ref="O2207:O2208"/>
    <mergeCell ref="Q2207:Q2208"/>
    <mergeCell ref="H2216:J2216"/>
    <mergeCell ref="L2216:N2216"/>
    <mergeCell ref="O2216:O2217"/>
    <mergeCell ref="Q2216:Q2217"/>
    <mergeCell ref="H2171:J2171"/>
    <mergeCell ref="L2171:N2171"/>
    <mergeCell ref="O2171:O2172"/>
    <mergeCell ref="Q2171:Q2172"/>
    <mergeCell ref="H2180:J2180"/>
    <mergeCell ref="L2180:N2180"/>
    <mergeCell ref="O2180:O2181"/>
    <mergeCell ref="Q2180:Q2181"/>
    <mergeCell ref="H2189:J2189"/>
    <mergeCell ref="L2189:N2189"/>
    <mergeCell ref="O2189:O2190"/>
    <mergeCell ref="Q2189:Q2190"/>
    <mergeCell ref="H2252:J2252"/>
    <mergeCell ref="L2252:N2252"/>
    <mergeCell ref="O2252:O2253"/>
    <mergeCell ref="Q2252:Q2253"/>
    <mergeCell ref="H2261:J2261"/>
    <mergeCell ref="L2261:N2261"/>
    <mergeCell ref="O2261:O2262"/>
    <mergeCell ref="Q2261:Q2262"/>
    <mergeCell ref="H2270:J2270"/>
    <mergeCell ref="L2270:N2270"/>
    <mergeCell ref="O2270:O2271"/>
    <mergeCell ref="Q2270:Q2271"/>
    <mergeCell ref="H2225:J2225"/>
    <mergeCell ref="L2225:N2225"/>
    <mergeCell ref="O2225:O2226"/>
    <mergeCell ref="Q2225:Q2226"/>
    <mergeCell ref="H2234:J2234"/>
    <mergeCell ref="L2234:N2234"/>
    <mergeCell ref="O2234:O2235"/>
    <mergeCell ref="Q2234:Q2235"/>
    <mergeCell ref="H2243:J2243"/>
    <mergeCell ref="L2243:N2243"/>
    <mergeCell ref="O2243:O2244"/>
    <mergeCell ref="Q2243:Q2244"/>
    <mergeCell ref="H2306:J2306"/>
    <mergeCell ref="L2306:N2306"/>
    <mergeCell ref="O2306:O2307"/>
    <mergeCell ref="Q2306:Q2307"/>
    <mergeCell ref="H2315:J2315"/>
    <mergeCell ref="L2315:N2315"/>
    <mergeCell ref="O2315:O2316"/>
    <mergeCell ref="Q2315:Q2316"/>
    <mergeCell ref="H2324:J2324"/>
    <mergeCell ref="L2324:N2324"/>
    <mergeCell ref="O2324:O2325"/>
    <mergeCell ref="Q2324:Q2325"/>
    <mergeCell ref="H2279:J2279"/>
    <mergeCell ref="L2279:N2279"/>
    <mergeCell ref="O2279:O2280"/>
    <mergeCell ref="Q2279:Q2280"/>
    <mergeCell ref="H2288:J2288"/>
    <mergeCell ref="L2288:N2288"/>
    <mergeCell ref="O2288:O2289"/>
    <mergeCell ref="Q2288:Q2289"/>
    <mergeCell ref="H2297:J2297"/>
    <mergeCell ref="L2297:N2297"/>
    <mergeCell ref="O2297:O2298"/>
    <mergeCell ref="Q2297:Q2298"/>
    <mergeCell ref="H2360:J2360"/>
    <mergeCell ref="L2360:N2360"/>
    <mergeCell ref="O2360:O2361"/>
    <mergeCell ref="Q2360:Q2361"/>
    <mergeCell ref="H2369:J2369"/>
    <mergeCell ref="L2369:N2369"/>
    <mergeCell ref="O2369:O2370"/>
    <mergeCell ref="Q2369:Q2370"/>
    <mergeCell ref="H2378:J2378"/>
    <mergeCell ref="L2378:N2378"/>
    <mergeCell ref="O2378:O2379"/>
    <mergeCell ref="Q2378:Q2379"/>
    <mergeCell ref="H2333:J2333"/>
    <mergeCell ref="L2333:N2333"/>
    <mergeCell ref="O2333:O2334"/>
    <mergeCell ref="Q2333:Q2334"/>
    <mergeCell ref="H2342:J2342"/>
    <mergeCell ref="L2342:N2342"/>
    <mergeCell ref="O2342:O2343"/>
    <mergeCell ref="Q2342:Q2343"/>
    <mergeCell ref="H2351:J2351"/>
    <mergeCell ref="L2351:N2351"/>
    <mergeCell ref="O2351:O2352"/>
    <mergeCell ref="Q2351:Q235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alejandro arango</cp:lastModifiedBy>
  <dcterms:created xsi:type="dcterms:W3CDTF">2022-05-12T00:12:50Z</dcterms:created>
  <dcterms:modified xsi:type="dcterms:W3CDTF">2022-05-12T22:11:22Z</dcterms:modified>
</cp:coreProperties>
</file>