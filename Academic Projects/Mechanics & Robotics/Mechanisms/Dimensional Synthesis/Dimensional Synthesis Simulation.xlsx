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e\Desktop\EAFIT\2022-1\Mecanismos\Taller computacional\Actividad 5\"/>
    </mc:Choice>
  </mc:AlternateContent>
  <xr:revisionPtr revIDLastSave="0" documentId="13_ncr:1_{A1B2285E-8F09-49F9-920D-A6334F08BC5A}" xr6:coauthVersionLast="47" xr6:coauthVersionMax="47" xr10:uidLastSave="{00000000-0000-0000-0000-000000000000}"/>
  <bookViews>
    <workbookView xWindow="-110" yWindow="-110" windowWidth="19420" windowHeight="10300" xr2:uid="{56B242FD-7511-40D6-98CC-9626C4094290}"/>
  </bookViews>
  <sheets>
    <sheet name="4bar theta3-theta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  <c r="I11" i="2"/>
  <c r="B4" i="2"/>
  <c r="H2" i="2"/>
  <c r="I2" i="2"/>
  <c r="H3" i="2"/>
  <c r="C5" i="2" s="1"/>
  <c r="I3" i="2"/>
  <c r="B5" i="2" s="1"/>
  <c r="C4" i="2"/>
  <c r="H4" i="2"/>
  <c r="C6" i="2" s="1"/>
  <c r="I4" i="2"/>
  <c r="B6" i="2" s="1"/>
  <c r="I10" i="2" l="1"/>
  <c r="F4" i="2"/>
  <c r="F5" i="2"/>
  <c r="B10" i="2" a="1"/>
  <c r="B10" i="2" s="1"/>
  <c r="F6" i="2"/>
  <c r="C11" i="2" l="1"/>
  <c r="D12" i="2"/>
  <c r="B11" i="2"/>
  <c r="C12" i="2"/>
  <c r="D10" i="2"/>
  <c r="C10" i="2"/>
  <c r="D11" i="2"/>
  <c r="B12" i="2"/>
  <c r="F10" i="2" l="1" a="1"/>
  <c r="F12" i="2" s="1"/>
  <c r="F10" i="2" l="1"/>
  <c r="F11" i="2"/>
</calcChain>
</file>

<file path=xl/sharedStrings.xml><?xml version="1.0" encoding="utf-8"?>
<sst xmlns="http://schemas.openxmlformats.org/spreadsheetml/2006/main" count="12" uniqueCount="12">
  <si>
    <t>d</t>
  </si>
  <si>
    <t>Matriz inversa</t>
  </si>
  <si>
    <t>b</t>
  </si>
  <si>
    <t>K3</t>
  </si>
  <si>
    <t>c</t>
  </si>
  <si>
    <t>K2</t>
  </si>
  <si>
    <t>a</t>
  </si>
  <si>
    <t>K1</t>
  </si>
  <si>
    <r>
      <t xml:space="preserve">angle out </t>
    </r>
    <r>
      <rPr>
        <sz val="11"/>
        <color theme="1"/>
        <rFont val="Symbol"/>
        <family val="1"/>
        <charset val="2"/>
      </rPr>
      <t>y</t>
    </r>
  </si>
  <si>
    <r>
      <t xml:space="preserve">angle in </t>
    </r>
    <r>
      <rPr>
        <sz val="11"/>
        <color theme="1"/>
        <rFont val="Symbol"/>
        <family val="1"/>
        <charset val="2"/>
      </rPr>
      <t>q</t>
    </r>
  </si>
  <si>
    <r>
      <t xml:space="preserve">angle out rad </t>
    </r>
    <r>
      <rPr>
        <sz val="11"/>
        <color theme="1"/>
        <rFont val="Symbol"/>
        <family val="1"/>
        <charset val="2"/>
      </rPr>
      <t>y</t>
    </r>
  </si>
  <si>
    <r>
      <t xml:space="preserve">angle in rad </t>
    </r>
    <r>
      <rPr>
        <sz val="11"/>
        <color theme="1"/>
        <rFont val="Symbol"/>
        <family val="1"/>
        <charset val="2"/>
      </rPr>
      <t>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</si>
</sst>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1" fillId="2" borderId="4" xfId="0" applyFont="1" applyFill="1" applyBorder="1"/>
    <xf numFmtId="0" fontId="0" fillId="3" borderId="5" xfId="0" applyFill="1" applyBorder="1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/>
    <xf numFmtId="0" fontId="0" fillId="3" borderId="8" xfId="0" applyFill="1" applyBorder="1"/>
    <xf numFmtId="0" fontId="1" fillId="2" borderId="9" xfId="0" applyFont="1" applyFill="1" applyBorder="1"/>
    <xf numFmtId="0" fontId="0" fillId="3" borderId="10" xfId="0" applyFill="1" applyBorder="1"/>
    <xf numFmtId="0" fontId="1" fillId="2" borderId="9" xfId="0" applyFont="1" applyFill="1" applyBorder="1" applyAlignment="1">
      <alignment horizontal="center"/>
    </xf>
    <xf numFmtId="0" fontId="0" fillId="3" borderId="9" xfId="0" applyFill="1" applyBorder="1"/>
    <xf numFmtId="0" fontId="0" fillId="3" borderId="3" xfId="0" applyFill="1" applyBorder="1"/>
    <xf numFmtId="0" fontId="0" fillId="3" borderId="11" xfId="0" applyFill="1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2" borderId="12" xfId="0" applyFill="1" applyBorder="1"/>
    <xf numFmtId="0" fontId="0" fillId="2" borderId="13" xfId="0" applyFill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3669848" cy="2530796"/>
    <xdr:pic>
      <xdr:nvPicPr>
        <xdr:cNvPr id="2" name="Picture 1">
          <a:extLst>
            <a:ext uri="{FF2B5EF4-FFF2-40B4-BE49-F238E27FC236}">
              <a16:creationId xmlns:a16="http://schemas.microsoft.com/office/drawing/2014/main" id="{3D02F259-C238-4A4F-9932-4133B3513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2578100"/>
          <a:ext cx="3669848" cy="25307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98F4-E55C-43D6-8F9D-BC904F37FFA1}">
  <dimension ref="B1:L13"/>
  <sheetViews>
    <sheetView tabSelected="1" workbookViewId="0">
      <selection activeCell="I14" sqref="I14"/>
    </sheetView>
  </sheetViews>
  <sheetFormatPr defaultColWidth="9.08984375" defaultRowHeight="14.5" x14ac:dyDescent="0.35"/>
  <cols>
    <col min="8" max="8" width="12" bestFit="1" customWidth="1"/>
    <col min="9" max="9" width="13.54296875" bestFit="1" customWidth="1"/>
    <col min="12" max="12" width="10.36328125" bestFit="1" customWidth="1"/>
  </cols>
  <sheetData>
    <row r="1" spans="2:12" ht="15" thickBot="1" x14ac:dyDescent="0.4">
      <c r="H1" s="25" t="s">
        <v>11</v>
      </c>
      <c r="I1" s="24" t="s">
        <v>10</v>
      </c>
      <c r="K1" s="25" t="s">
        <v>9</v>
      </c>
      <c r="L1" s="24" t="s">
        <v>8</v>
      </c>
    </row>
    <row r="2" spans="2:12" x14ac:dyDescent="0.35">
      <c r="H2" s="4">
        <f t="shared" ref="H2:I4" si="0">K2*PI()/180</f>
        <v>0</v>
      </c>
      <c r="I2" s="11">
        <f t="shared" si="0"/>
        <v>0.52359877559829882</v>
      </c>
      <c r="K2" s="22">
        <v>0</v>
      </c>
      <c r="L2" s="23">
        <v>30</v>
      </c>
    </row>
    <row r="3" spans="2:12" ht="15" thickBot="1" x14ac:dyDescent="0.4">
      <c r="H3" s="4">
        <f t="shared" si="0"/>
        <v>0.3490658503988659</v>
      </c>
      <c r="I3" s="11">
        <f t="shared" si="0"/>
        <v>1.9198621771937625</v>
      </c>
      <c r="K3" s="22">
        <v>20</v>
      </c>
      <c r="L3" s="21">
        <v>110</v>
      </c>
    </row>
    <row r="4" spans="2:12" ht="15" thickBot="1" x14ac:dyDescent="0.4">
      <c r="B4" s="19">
        <f>COS(I2)</f>
        <v>0.86602540378443871</v>
      </c>
      <c r="C4" s="18">
        <f>-COS(H2)</f>
        <v>-1</v>
      </c>
      <c r="D4" s="17">
        <v>1</v>
      </c>
      <c r="F4" s="15">
        <f>COS(H2-I2)</f>
        <v>0.86602540378443871</v>
      </c>
      <c r="H4" s="6">
        <f t="shared" si="0"/>
        <v>8.7266462599716474E-2</v>
      </c>
      <c r="I4" s="7">
        <f t="shared" si="0"/>
        <v>2.2689280275926285</v>
      </c>
      <c r="K4" s="2">
        <v>5</v>
      </c>
      <c r="L4" s="20">
        <v>130</v>
      </c>
    </row>
    <row r="5" spans="2:12" x14ac:dyDescent="0.35">
      <c r="B5" s="13">
        <f>COS(I3)</f>
        <v>-0.34202014332566871</v>
      </c>
      <c r="C5" s="12">
        <f>-COS(H3)</f>
        <v>-0.93969262078590843</v>
      </c>
      <c r="D5" s="11">
        <v>1</v>
      </c>
      <c r="F5" s="4">
        <f>COS(H3-I3)</f>
        <v>6.1257422745431001E-17</v>
      </c>
    </row>
    <row r="6" spans="2:12" ht="15" thickBot="1" x14ac:dyDescent="0.4">
      <c r="B6" s="9">
        <f>COS(I4)</f>
        <v>-0.64278760968653936</v>
      </c>
      <c r="C6" s="8">
        <f>-COS(H4)</f>
        <v>-0.99619469809174555</v>
      </c>
      <c r="D6" s="7">
        <v>1</v>
      </c>
      <c r="F6" s="6">
        <f>COS(H4-I4)</f>
        <v>-0.57357643635104616</v>
      </c>
    </row>
    <row r="9" spans="2:12" ht="15" thickBot="1" x14ac:dyDescent="0.4"/>
    <row r="10" spans="2:12" x14ac:dyDescent="0.35">
      <c r="B10" s="19">
        <f t="array" ref="B10:D12">MINVERSE(B4:D6)</f>
        <v>0.65399268055274873</v>
      </c>
      <c r="C10" s="18">
        <v>4.4045099117705815E-2</v>
      </c>
      <c r="D10" s="17">
        <v>-0.698037779670453</v>
      </c>
      <c r="F10" s="15">
        <f t="array" ref="F10:F12">MMULT(B10:D12,F4:F6)</f>
        <v>0.96675229734953683</v>
      </c>
      <c r="G10" s="16" t="s">
        <v>7</v>
      </c>
      <c r="I10" s="15">
        <f>SQRT(I12^2+I11^2+I13^2-2*I12*I11*F12)</f>
        <v>1.7087280379404635</v>
      </c>
      <c r="J10" s="14" t="s">
        <v>6</v>
      </c>
    </row>
    <row r="11" spans="2:12" x14ac:dyDescent="0.35">
      <c r="B11" s="13">
        <v>-3.4812830063521192</v>
      </c>
      <c r="C11" s="12">
        <v>17.464006885828539</v>
      </c>
      <c r="D11" s="11">
        <v>-13.982723879476417</v>
      </c>
      <c r="F11" s="4">
        <v>5.0052814120067612</v>
      </c>
      <c r="G11" s="10" t="s">
        <v>5</v>
      </c>
      <c r="I11" s="4">
        <f>I13/F11</f>
        <v>1.9978896643077482</v>
      </c>
      <c r="J11" s="3" t="s">
        <v>4</v>
      </c>
    </row>
    <row r="12" spans="2:12" ht="15" thickBot="1" x14ac:dyDescent="0.4">
      <c r="B12" s="9">
        <v>-3.0476572815998808</v>
      </c>
      <c r="C12" s="8">
        <v>17.425862711080402</v>
      </c>
      <c r="D12" s="7">
        <v>-13.37820542948052</v>
      </c>
      <c r="F12" s="6">
        <v>5.0340747671195327</v>
      </c>
      <c r="G12" s="5" t="s">
        <v>3</v>
      </c>
      <c r="I12" s="4">
        <f>I13/F10</f>
        <v>10.343911286703074</v>
      </c>
      <c r="J12" s="3" t="s">
        <v>2</v>
      </c>
    </row>
    <row r="13" spans="2:12" ht="15" thickBot="1" x14ac:dyDescent="0.4">
      <c r="B13" s="26" t="s">
        <v>1</v>
      </c>
      <c r="C13" s="26"/>
      <c r="D13" s="26"/>
      <c r="I13" s="2">
        <v>10</v>
      </c>
      <c r="J13" s="1" t="s">
        <v>0</v>
      </c>
    </row>
  </sheetData>
  <mergeCells count="1">
    <mergeCell ref="B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4bar theta3-theta4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arango</dc:creator>
  <cp:lastModifiedBy>alejandro arango</cp:lastModifiedBy>
  <dcterms:created xsi:type="dcterms:W3CDTF">2022-03-24T16:34:40Z</dcterms:created>
  <dcterms:modified xsi:type="dcterms:W3CDTF">2022-03-31T04:45:51Z</dcterms:modified>
</cp:coreProperties>
</file>