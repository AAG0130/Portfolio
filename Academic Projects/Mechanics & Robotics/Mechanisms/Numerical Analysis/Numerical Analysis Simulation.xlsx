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e\Desktop\EAFIT\2022-1\Mecanismos\Taller computacional\Actividad 6\Pablo\"/>
    </mc:Choice>
  </mc:AlternateContent>
  <xr:revisionPtr revIDLastSave="0" documentId="13_ncr:1_{A637E8E2-93D3-44DA-BBF9-43900D0A0106}" xr6:coauthVersionLast="47" xr6:coauthVersionMax="47" xr10:uidLastSave="{00000000-0000-0000-0000-000000000000}"/>
  <bookViews>
    <workbookView xWindow="-110" yWindow="-110" windowWidth="19420" windowHeight="10300" xr2:uid="{E0B328B6-0E5F-4B65-A0B2-364B4D887B7B}"/>
  </bookViews>
  <sheets>
    <sheet name="Hoja1" sheetId="1" r:id="rId1"/>
    <sheet name="Hoja2" sheetId="2" r:id="rId2"/>
  </sheets>
  <definedNames>
    <definedName name="a">Hoja1!$B$2</definedName>
    <definedName name="b">Hoja1!$B$3</definedName>
    <definedName name="c.">Hoja1!$B$4</definedName>
    <definedName name="t.1">Hoja1!$B$7</definedName>
    <definedName name="t.4">Hoja1!$C$5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32" i="1" l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S10" i="1"/>
  <c r="S9" i="1"/>
  <c r="S8" i="1"/>
  <c r="S7" i="1"/>
  <c r="S4" i="1"/>
  <c r="S3" i="1"/>
  <c r="S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C1308" i="1"/>
  <c r="I1305" i="1"/>
  <c r="I1304" i="1"/>
  <c r="C1301" i="1"/>
  <c r="I1298" i="1"/>
  <c r="I1297" i="1"/>
  <c r="C1294" i="1"/>
  <c r="I1291" i="1"/>
  <c r="I1290" i="1"/>
  <c r="C1287" i="1"/>
  <c r="I1284" i="1"/>
  <c r="I1283" i="1"/>
  <c r="C1280" i="1"/>
  <c r="I1277" i="1"/>
  <c r="I1276" i="1"/>
  <c r="C1275" i="1"/>
  <c r="H1276" i="1" s="1"/>
  <c r="C1273" i="1"/>
  <c r="F1276" i="1" s="1"/>
  <c r="M1277" i="1" s="1"/>
  <c r="B566" i="1"/>
  <c r="C1266" i="1"/>
  <c r="I1263" i="1"/>
  <c r="I1262" i="1"/>
  <c r="C1259" i="1"/>
  <c r="I1256" i="1"/>
  <c r="I1255" i="1"/>
  <c r="C1252" i="1"/>
  <c r="I1249" i="1"/>
  <c r="I1248" i="1"/>
  <c r="C1245" i="1"/>
  <c r="I1242" i="1"/>
  <c r="I1241" i="1"/>
  <c r="C1238" i="1"/>
  <c r="I1235" i="1"/>
  <c r="I1234" i="1"/>
  <c r="C1233" i="1"/>
  <c r="H1234" i="1" s="1"/>
  <c r="C1231" i="1"/>
  <c r="F1234" i="1" s="1"/>
  <c r="M1235" i="1" s="1"/>
  <c r="C1224" i="1"/>
  <c r="I1221" i="1"/>
  <c r="I1220" i="1"/>
  <c r="C1217" i="1"/>
  <c r="I1214" i="1"/>
  <c r="I1213" i="1"/>
  <c r="C1210" i="1"/>
  <c r="I1207" i="1"/>
  <c r="I1206" i="1"/>
  <c r="C1203" i="1"/>
  <c r="I1200" i="1"/>
  <c r="I1199" i="1"/>
  <c r="C1196" i="1"/>
  <c r="I1193" i="1"/>
  <c r="I1192" i="1"/>
  <c r="C1191" i="1"/>
  <c r="H1192" i="1" s="1"/>
  <c r="C1189" i="1"/>
  <c r="F1192" i="1" s="1"/>
  <c r="M1193" i="1" s="1"/>
  <c r="C1182" i="1"/>
  <c r="I1179" i="1"/>
  <c r="I1178" i="1"/>
  <c r="C1175" i="1"/>
  <c r="I1172" i="1"/>
  <c r="I1171" i="1"/>
  <c r="C1168" i="1"/>
  <c r="I1165" i="1"/>
  <c r="I1164" i="1"/>
  <c r="C1161" i="1"/>
  <c r="I1158" i="1"/>
  <c r="I1157" i="1"/>
  <c r="C1154" i="1"/>
  <c r="I1151" i="1"/>
  <c r="I1150" i="1"/>
  <c r="C1149" i="1"/>
  <c r="H1150" i="1" s="1"/>
  <c r="C1147" i="1"/>
  <c r="F1150" i="1" s="1"/>
  <c r="M1151" i="1" s="1"/>
  <c r="C1140" i="1"/>
  <c r="I1137" i="1"/>
  <c r="I1136" i="1"/>
  <c r="C1133" i="1"/>
  <c r="I1130" i="1"/>
  <c r="I1129" i="1"/>
  <c r="C1126" i="1"/>
  <c r="I1123" i="1"/>
  <c r="I1122" i="1"/>
  <c r="C1119" i="1"/>
  <c r="I1116" i="1"/>
  <c r="I1115" i="1"/>
  <c r="C1112" i="1"/>
  <c r="I1109" i="1"/>
  <c r="I1108" i="1"/>
  <c r="C1107" i="1"/>
  <c r="H1108" i="1" s="1"/>
  <c r="C1105" i="1"/>
  <c r="F1108" i="1" s="1"/>
  <c r="M1109" i="1" s="1"/>
  <c r="C1098" i="1"/>
  <c r="I1095" i="1"/>
  <c r="I1094" i="1"/>
  <c r="C1091" i="1"/>
  <c r="I1088" i="1"/>
  <c r="I1087" i="1"/>
  <c r="C1084" i="1"/>
  <c r="I1081" i="1"/>
  <c r="I1080" i="1"/>
  <c r="C1077" i="1"/>
  <c r="I1074" i="1"/>
  <c r="I1073" i="1"/>
  <c r="C1070" i="1"/>
  <c r="I1067" i="1"/>
  <c r="I1066" i="1"/>
  <c r="C1065" i="1"/>
  <c r="H1066" i="1" s="1"/>
  <c r="C1063" i="1"/>
  <c r="F1066" i="1" s="1"/>
  <c r="M1067" i="1" s="1"/>
  <c r="C1056" i="1"/>
  <c r="I1053" i="1"/>
  <c r="I1052" i="1"/>
  <c r="C1049" i="1"/>
  <c r="I1046" i="1"/>
  <c r="I1045" i="1"/>
  <c r="C1042" i="1"/>
  <c r="I1039" i="1"/>
  <c r="I1038" i="1"/>
  <c r="C1035" i="1"/>
  <c r="I1032" i="1"/>
  <c r="I1031" i="1"/>
  <c r="C1028" i="1"/>
  <c r="I1025" i="1"/>
  <c r="I1024" i="1"/>
  <c r="C1023" i="1"/>
  <c r="H1024" i="1" s="1"/>
  <c r="C1021" i="1"/>
  <c r="F1024" i="1" s="1"/>
  <c r="M1025" i="1" s="1"/>
  <c r="C1014" i="1"/>
  <c r="I1011" i="1"/>
  <c r="I1010" i="1"/>
  <c r="C1007" i="1"/>
  <c r="I1004" i="1"/>
  <c r="I1003" i="1"/>
  <c r="C1000" i="1"/>
  <c r="I997" i="1"/>
  <c r="I996" i="1"/>
  <c r="C993" i="1"/>
  <c r="I990" i="1"/>
  <c r="I989" i="1"/>
  <c r="C986" i="1"/>
  <c r="I983" i="1"/>
  <c r="I982" i="1"/>
  <c r="C981" i="1"/>
  <c r="H982" i="1" s="1"/>
  <c r="C979" i="1"/>
  <c r="F982" i="1" s="1"/>
  <c r="M983" i="1" s="1"/>
  <c r="C972" i="1"/>
  <c r="I969" i="1"/>
  <c r="I968" i="1"/>
  <c r="C965" i="1"/>
  <c r="I962" i="1"/>
  <c r="I961" i="1"/>
  <c r="C958" i="1"/>
  <c r="I955" i="1"/>
  <c r="I954" i="1"/>
  <c r="C951" i="1"/>
  <c r="I948" i="1"/>
  <c r="I947" i="1"/>
  <c r="C944" i="1"/>
  <c r="I941" i="1"/>
  <c r="H941" i="1"/>
  <c r="I940" i="1"/>
  <c r="C939" i="1"/>
  <c r="H940" i="1" s="1"/>
  <c r="K940" i="1" s="1" a="1"/>
  <c r="K940" i="1" s="1"/>
  <c r="C937" i="1"/>
  <c r="F940" i="1" s="1"/>
  <c r="M941" i="1" s="1"/>
  <c r="C930" i="1"/>
  <c r="I927" i="1"/>
  <c r="I926" i="1"/>
  <c r="C923" i="1"/>
  <c r="I920" i="1"/>
  <c r="I919" i="1"/>
  <c r="C916" i="1"/>
  <c r="I913" i="1"/>
  <c r="I912" i="1"/>
  <c r="C909" i="1"/>
  <c r="I906" i="1"/>
  <c r="I905" i="1"/>
  <c r="C902" i="1"/>
  <c r="I899" i="1"/>
  <c r="I898" i="1"/>
  <c r="C897" i="1"/>
  <c r="H898" i="1" s="1"/>
  <c r="C895" i="1"/>
  <c r="F898" i="1" s="1"/>
  <c r="M899" i="1" s="1"/>
  <c r="C888" i="1"/>
  <c r="I885" i="1"/>
  <c r="I884" i="1"/>
  <c r="C881" i="1"/>
  <c r="I878" i="1"/>
  <c r="I877" i="1"/>
  <c r="C874" i="1"/>
  <c r="I871" i="1"/>
  <c r="I870" i="1"/>
  <c r="C867" i="1"/>
  <c r="I864" i="1"/>
  <c r="I863" i="1"/>
  <c r="C860" i="1"/>
  <c r="I857" i="1"/>
  <c r="I856" i="1"/>
  <c r="C855" i="1"/>
  <c r="H856" i="1" s="1"/>
  <c r="C853" i="1"/>
  <c r="F856" i="1" s="1"/>
  <c r="M857" i="1" s="1"/>
  <c r="C846" i="1"/>
  <c r="I843" i="1"/>
  <c r="I842" i="1"/>
  <c r="C839" i="1"/>
  <c r="I836" i="1"/>
  <c r="I835" i="1"/>
  <c r="C832" i="1"/>
  <c r="I829" i="1"/>
  <c r="I828" i="1"/>
  <c r="C825" i="1"/>
  <c r="I822" i="1"/>
  <c r="I821" i="1"/>
  <c r="C818" i="1"/>
  <c r="I815" i="1"/>
  <c r="I814" i="1"/>
  <c r="C813" i="1"/>
  <c r="H814" i="1" s="1"/>
  <c r="C811" i="1"/>
  <c r="F814" i="1" s="1"/>
  <c r="M815" i="1" s="1"/>
  <c r="C804" i="1"/>
  <c r="I801" i="1"/>
  <c r="I800" i="1"/>
  <c r="C797" i="1"/>
  <c r="I794" i="1"/>
  <c r="I793" i="1"/>
  <c r="C790" i="1"/>
  <c r="I787" i="1"/>
  <c r="I786" i="1"/>
  <c r="C783" i="1"/>
  <c r="I780" i="1"/>
  <c r="I779" i="1"/>
  <c r="C776" i="1"/>
  <c r="I773" i="1"/>
  <c r="I772" i="1"/>
  <c r="C771" i="1"/>
  <c r="H772" i="1" s="1"/>
  <c r="C769" i="1"/>
  <c r="F772" i="1" s="1"/>
  <c r="M773" i="1" s="1"/>
  <c r="C762" i="1"/>
  <c r="I759" i="1"/>
  <c r="I758" i="1"/>
  <c r="C755" i="1"/>
  <c r="I752" i="1"/>
  <c r="I751" i="1"/>
  <c r="C748" i="1"/>
  <c r="I745" i="1"/>
  <c r="I744" i="1"/>
  <c r="C741" i="1"/>
  <c r="I738" i="1"/>
  <c r="I737" i="1"/>
  <c r="C734" i="1"/>
  <c r="I731" i="1"/>
  <c r="I730" i="1"/>
  <c r="C729" i="1"/>
  <c r="H730" i="1" s="1"/>
  <c r="C727" i="1"/>
  <c r="F730" i="1" s="1"/>
  <c r="M731" i="1" s="1"/>
  <c r="C720" i="1"/>
  <c r="I717" i="1"/>
  <c r="I716" i="1"/>
  <c r="C713" i="1"/>
  <c r="I710" i="1"/>
  <c r="I709" i="1"/>
  <c r="C706" i="1"/>
  <c r="I703" i="1"/>
  <c r="I702" i="1"/>
  <c r="C699" i="1"/>
  <c r="I696" i="1"/>
  <c r="I695" i="1"/>
  <c r="C692" i="1"/>
  <c r="I689" i="1"/>
  <c r="I688" i="1"/>
  <c r="C687" i="1"/>
  <c r="H688" i="1" s="1"/>
  <c r="C685" i="1"/>
  <c r="F688" i="1" s="1"/>
  <c r="M689" i="1" s="1"/>
  <c r="C678" i="1"/>
  <c r="I675" i="1"/>
  <c r="I674" i="1"/>
  <c r="C671" i="1"/>
  <c r="I668" i="1"/>
  <c r="I667" i="1"/>
  <c r="C664" i="1"/>
  <c r="I661" i="1"/>
  <c r="I660" i="1"/>
  <c r="C657" i="1"/>
  <c r="I654" i="1"/>
  <c r="I653" i="1"/>
  <c r="C650" i="1"/>
  <c r="I647" i="1"/>
  <c r="I646" i="1"/>
  <c r="C645" i="1"/>
  <c r="H646" i="1" s="1"/>
  <c r="C643" i="1"/>
  <c r="F646" i="1" s="1"/>
  <c r="M647" i="1" s="1"/>
  <c r="C636" i="1"/>
  <c r="I633" i="1"/>
  <c r="I632" i="1"/>
  <c r="C629" i="1"/>
  <c r="I626" i="1"/>
  <c r="I625" i="1"/>
  <c r="C622" i="1"/>
  <c r="I619" i="1"/>
  <c r="I618" i="1"/>
  <c r="C615" i="1"/>
  <c r="I612" i="1"/>
  <c r="I611" i="1"/>
  <c r="C608" i="1"/>
  <c r="I605" i="1"/>
  <c r="I604" i="1"/>
  <c r="C603" i="1"/>
  <c r="H604" i="1" s="1"/>
  <c r="C601" i="1"/>
  <c r="F604" i="1" s="1"/>
  <c r="M605" i="1" s="1"/>
  <c r="C594" i="1"/>
  <c r="I591" i="1"/>
  <c r="I590" i="1"/>
  <c r="C587" i="1"/>
  <c r="I584" i="1"/>
  <c r="I583" i="1"/>
  <c r="C580" i="1"/>
  <c r="I577" i="1"/>
  <c r="I576" i="1"/>
  <c r="C573" i="1"/>
  <c r="I570" i="1"/>
  <c r="I569" i="1"/>
  <c r="C566" i="1"/>
  <c r="I563" i="1"/>
  <c r="I562" i="1"/>
  <c r="C561" i="1"/>
  <c r="H562" i="1" s="1"/>
  <c r="C559" i="1"/>
  <c r="F561" i="1" s="1"/>
  <c r="M562" i="1" s="1"/>
  <c r="C552" i="1"/>
  <c r="C510" i="1"/>
  <c r="C468" i="1"/>
  <c r="C426" i="1"/>
  <c r="C384" i="1"/>
  <c r="C342" i="1"/>
  <c r="C300" i="1"/>
  <c r="C258" i="1"/>
  <c r="C216" i="1"/>
  <c r="C174" i="1"/>
  <c r="C132" i="1"/>
  <c r="C89" i="1"/>
  <c r="I549" i="1"/>
  <c r="I548" i="1"/>
  <c r="C545" i="1"/>
  <c r="I542" i="1"/>
  <c r="I541" i="1"/>
  <c r="C538" i="1"/>
  <c r="I535" i="1"/>
  <c r="I534" i="1"/>
  <c r="C531" i="1"/>
  <c r="I528" i="1"/>
  <c r="I527" i="1"/>
  <c r="C524" i="1"/>
  <c r="I521" i="1"/>
  <c r="I520" i="1"/>
  <c r="C519" i="1"/>
  <c r="H520" i="1" s="1"/>
  <c r="C517" i="1"/>
  <c r="F520" i="1" s="1"/>
  <c r="M521" i="1" s="1"/>
  <c r="I507" i="1"/>
  <c r="I506" i="1"/>
  <c r="C503" i="1"/>
  <c r="I500" i="1"/>
  <c r="I499" i="1"/>
  <c r="C496" i="1"/>
  <c r="I493" i="1"/>
  <c r="I492" i="1"/>
  <c r="C489" i="1"/>
  <c r="I486" i="1"/>
  <c r="I485" i="1"/>
  <c r="C482" i="1"/>
  <c r="I479" i="1"/>
  <c r="I478" i="1"/>
  <c r="C477" i="1"/>
  <c r="H478" i="1" s="1"/>
  <c r="C475" i="1"/>
  <c r="F478" i="1" s="1"/>
  <c r="M479" i="1" s="1"/>
  <c r="I465" i="1"/>
  <c r="I464" i="1"/>
  <c r="C461" i="1"/>
  <c r="I458" i="1"/>
  <c r="I457" i="1"/>
  <c r="C454" i="1"/>
  <c r="I451" i="1"/>
  <c r="I450" i="1"/>
  <c r="C447" i="1"/>
  <c r="I444" i="1"/>
  <c r="I443" i="1"/>
  <c r="C440" i="1"/>
  <c r="I437" i="1"/>
  <c r="I436" i="1"/>
  <c r="C435" i="1"/>
  <c r="H436" i="1" s="1"/>
  <c r="C433" i="1"/>
  <c r="F436" i="1" s="1"/>
  <c r="M437" i="1" s="1"/>
  <c r="I423" i="1"/>
  <c r="I422" i="1"/>
  <c r="C419" i="1"/>
  <c r="I416" i="1"/>
  <c r="I415" i="1"/>
  <c r="C412" i="1"/>
  <c r="I409" i="1"/>
  <c r="I408" i="1"/>
  <c r="C405" i="1"/>
  <c r="I402" i="1"/>
  <c r="I401" i="1"/>
  <c r="C398" i="1"/>
  <c r="I395" i="1"/>
  <c r="I394" i="1"/>
  <c r="C393" i="1"/>
  <c r="H394" i="1" s="1"/>
  <c r="C391" i="1"/>
  <c r="F394" i="1" s="1"/>
  <c r="M395" i="1" s="1"/>
  <c r="I381" i="1"/>
  <c r="I380" i="1"/>
  <c r="C377" i="1"/>
  <c r="I374" i="1"/>
  <c r="I373" i="1"/>
  <c r="C370" i="1"/>
  <c r="I367" i="1"/>
  <c r="I366" i="1"/>
  <c r="C363" i="1"/>
  <c r="I360" i="1"/>
  <c r="I359" i="1"/>
  <c r="C356" i="1"/>
  <c r="I353" i="1"/>
  <c r="I352" i="1"/>
  <c r="C351" i="1"/>
  <c r="H352" i="1" s="1"/>
  <c r="C349" i="1"/>
  <c r="F352" i="1" s="1"/>
  <c r="M353" i="1" s="1"/>
  <c r="I339" i="1"/>
  <c r="I338" i="1"/>
  <c r="C335" i="1"/>
  <c r="I332" i="1"/>
  <c r="I331" i="1"/>
  <c r="C328" i="1"/>
  <c r="I325" i="1"/>
  <c r="I324" i="1"/>
  <c r="C321" i="1"/>
  <c r="I318" i="1"/>
  <c r="I317" i="1"/>
  <c r="C314" i="1"/>
  <c r="I311" i="1"/>
  <c r="I310" i="1"/>
  <c r="C309" i="1"/>
  <c r="H310" i="1" s="1"/>
  <c r="C307" i="1"/>
  <c r="F310" i="1" s="1"/>
  <c r="M311" i="1" s="1"/>
  <c r="I297" i="1"/>
  <c r="I296" i="1"/>
  <c r="C293" i="1"/>
  <c r="I290" i="1"/>
  <c r="I289" i="1"/>
  <c r="C286" i="1"/>
  <c r="I283" i="1"/>
  <c r="I282" i="1"/>
  <c r="C279" i="1"/>
  <c r="I276" i="1"/>
  <c r="I275" i="1"/>
  <c r="C272" i="1"/>
  <c r="I269" i="1"/>
  <c r="I268" i="1"/>
  <c r="C267" i="1"/>
  <c r="H268" i="1" s="1"/>
  <c r="C265" i="1"/>
  <c r="F268" i="1" s="1"/>
  <c r="M269" i="1" s="1"/>
  <c r="I255" i="1"/>
  <c r="I254" i="1"/>
  <c r="C251" i="1"/>
  <c r="I248" i="1"/>
  <c r="I247" i="1"/>
  <c r="C244" i="1"/>
  <c r="I241" i="1"/>
  <c r="I240" i="1"/>
  <c r="C237" i="1"/>
  <c r="I234" i="1"/>
  <c r="I233" i="1"/>
  <c r="C230" i="1"/>
  <c r="I227" i="1"/>
  <c r="I226" i="1"/>
  <c r="H226" i="1"/>
  <c r="C225" i="1"/>
  <c r="H227" i="1" s="1"/>
  <c r="K226" i="1" s="1" a="1"/>
  <c r="K226" i="1" s="1"/>
  <c r="C223" i="1"/>
  <c r="F226" i="1" s="1"/>
  <c r="M227" i="1" s="1"/>
  <c r="I213" i="1"/>
  <c r="I212" i="1"/>
  <c r="C209" i="1"/>
  <c r="I206" i="1"/>
  <c r="I205" i="1"/>
  <c r="C202" i="1"/>
  <c r="I199" i="1"/>
  <c r="I198" i="1"/>
  <c r="C195" i="1"/>
  <c r="I192" i="1"/>
  <c r="I191" i="1"/>
  <c r="C188" i="1"/>
  <c r="I185" i="1"/>
  <c r="I184" i="1"/>
  <c r="C183" i="1"/>
  <c r="H184" i="1" s="1"/>
  <c r="C181" i="1"/>
  <c r="F184" i="1" s="1"/>
  <c r="M185" i="1" s="1"/>
  <c r="I171" i="1"/>
  <c r="I170" i="1"/>
  <c r="C167" i="1"/>
  <c r="I164" i="1"/>
  <c r="I163" i="1"/>
  <c r="C160" i="1"/>
  <c r="I157" i="1"/>
  <c r="I156" i="1"/>
  <c r="C153" i="1"/>
  <c r="I150" i="1"/>
  <c r="I149" i="1"/>
  <c r="C146" i="1"/>
  <c r="I143" i="1"/>
  <c r="I142" i="1"/>
  <c r="C141" i="1"/>
  <c r="H142" i="1" s="1"/>
  <c r="C139" i="1"/>
  <c r="F142" i="1" s="1"/>
  <c r="M143" i="1" s="1"/>
  <c r="I129" i="1"/>
  <c r="I128" i="1"/>
  <c r="C125" i="1"/>
  <c r="I122" i="1"/>
  <c r="I121" i="1"/>
  <c r="C118" i="1"/>
  <c r="I115" i="1"/>
  <c r="I114" i="1"/>
  <c r="C111" i="1"/>
  <c r="I108" i="1"/>
  <c r="I107" i="1"/>
  <c r="C104" i="1"/>
  <c r="I101" i="1"/>
  <c r="I100" i="1"/>
  <c r="C99" i="1"/>
  <c r="H100" i="1" s="1"/>
  <c r="C97" i="1"/>
  <c r="F100" i="1" s="1"/>
  <c r="M101" i="1" s="1"/>
  <c r="I86" i="1"/>
  <c r="I85" i="1"/>
  <c r="C82" i="1"/>
  <c r="I79" i="1"/>
  <c r="I78" i="1"/>
  <c r="C75" i="1"/>
  <c r="I72" i="1"/>
  <c r="I71" i="1"/>
  <c r="C68" i="1"/>
  <c r="I65" i="1"/>
  <c r="I64" i="1"/>
  <c r="C61" i="1"/>
  <c r="I58" i="1"/>
  <c r="I57" i="1"/>
  <c r="C56" i="1"/>
  <c r="H57" i="1" s="1"/>
  <c r="C54" i="1"/>
  <c r="F57" i="1" s="1"/>
  <c r="M58" i="1" s="1"/>
  <c r="I43" i="1"/>
  <c r="I44" i="1"/>
  <c r="I37" i="1"/>
  <c r="I36" i="1"/>
  <c r="I30" i="1"/>
  <c r="I29" i="1"/>
  <c r="I22" i="1"/>
  <c r="I23" i="1"/>
  <c r="I16" i="1"/>
  <c r="I15" i="1"/>
  <c r="I92" i="2"/>
  <c r="I91" i="2"/>
  <c r="C88" i="2"/>
  <c r="I85" i="2"/>
  <c r="I84" i="2"/>
  <c r="C81" i="2"/>
  <c r="I78" i="2"/>
  <c r="I77" i="2"/>
  <c r="C74" i="2"/>
  <c r="I71" i="2"/>
  <c r="I70" i="2"/>
  <c r="C67" i="2"/>
  <c r="I64" i="2"/>
  <c r="I63" i="2"/>
  <c r="C60" i="2"/>
  <c r="I57" i="2"/>
  <c r="I56" i="2"/>
  <c r="C53" i="2"/>
  <c r="I50" i="2"/>
  <c r="I49" i="2"/>
  <c r="C46" i="2"/>
  <c r="I43" i="2"/>
  <c r="I42" i="2"/>
  <c r="C39" i="2"/>
  <c r="I36" i="2"/>
  <c r="I35" i="2"/>
  <c r="C32" i="2"/>
  <c r="I29" i="2"/>
  <c r="I28" i="2"/>
  <c r="C25" i="2"/>
  <c r="I22" i="2"/>
  <c r="I21" i="2"/>
  <c r="C18" i="2"/>
  <c r="I15" i="2"/>
  <c r="H15" i="2"/>
  <c r="I14" i="2"/>
  <c r="H14" i="2"/>
  <c r="K14" i="2" s="1" a="1"/>
  <c r="K14" i="2" s="1"/>
  <c r="O14" i="2" s="1" a="1"/>
  <c r="F14" i="2"/>
  <c r="M15" i="2" s="1"/>
  <c r="C13" i="2"/>
  <c r="C11" i="2"/>
  <c r="F13" i="2" s="1"/>
  <c r="M14" i="2" s="1"/>
  <c r="C4" i="2"/>
  <c r="I51" i="1"/>
  <c r="I50" i="1"/>
  <c r="C47" i="1"/>
  <c r="C40" i="1"/>
  <c r="C33" i="1"/>
  <c r="C26" i="1"/>
  <c r="C19" i="1"/>
  <c r="C12" i="1"/>
  <c r="C14" i="1"/>
  <c r="F14" i="1" s="1"/>
  <c r="C5" i="1"/>
  <c r="H15" i="1" l="1"/>
  <c r="H16" i="1"/>
  <c r="F15" i="1"/>
  <c r="M16" i="1" s="1"/>
  <c r="F1275" i="1"/>
  <c r="M1276" i="1" s="1"/>
  <c r="H1277" i="1"/>
  <c r="K1276" i="1" s="1" a="1"/>
  <c r="K1276" i="1" s="1"/>
  <c r="O1276" i="1" s="1" a="1"/>
  <c r="F1233" i="1"/>
  <c r="M1234" i="1" s="1"/>
  <c r="H1235" i="1"/>
  <c r="K1234" i="1" s="1" a="1"/>
  <c r="K1234" i="1" s="1"/>
  <c r="F1191" i="1"/>
  <c r="M1192" i="1" s="1"/>
  <c r="H1193" i="1"/>
  <c r="K1192" i="1" s="1" a="1"/>
  <c r="K1192" i="1" s="1"/>
  <c r="F1149" i="1"/>
  <c r="M1150" i="1" s="1"/>
  <c r="H1151" i="1"/>
  <c r="K1150" i="1" s="1" a="1"/>
  <c r="K1150" i="1" s="1"/>
  <c r="F1107" i="1"/>
  <c r="M1108" i="1" s="1"/>
  <c r="H1109" i="1"/>
  <c r="K1108" i="1" s="1" a="1"/>
  <c r="K1108" i="1" s="1"/>
  <c r="O1108" i="1" s="1" a="1"/>
  <c r="K1066" i="1" a="1"/>
  <c r="K1066" i="1" s="1"/>
  <c r="F1065" i="1"/>
  <c r="M1066" i="1" s="1"/>
  <c r="H1067" i="1"/>
  <c r="F1023" i="1"/>
  <c r="M1024" i="1" s="1"/>
  <c r="H1025" i="1"/>
  <c r="K1024" i="1" s="1" a="1"/>
  <c r="K1024" i="1" s="1"/>
  <c r="F981" i="1"/>
  <c r="M982" i="1" s="1"/>
  <c r="H983" i="1"/>
  <c r="K982" i="1" s="1" a="1"/>
  <c r="K982" i="1" s="1"/>
  <c r="F939" i="1"/>
  <c r="M940" i="1" s="1"/>
  <c r="O940" i="1" s="1" a="1"/>
  <c r="F897" i="1"/>
  <c r="M898" i="1" s="1"/>
  <c r="H899" i="1"/>
  <c r="K898" i="1" s="1" a="1"/>
  <c r="K898" i="1" s="1"/>
  <c r="F855" i="1"/>
  <c r="M856" i="1" s="1"/>
  <c r="H857" i="1"/>
  <c r="K856" i="1" s="1" a="1"/>
  <c r="K856" i="1" s="1"/>
  <c r="O856" i="1" s="1" a="1"/>
  <c r="F813" i="1"/>
  <c r="M814" i="1" s="1"/>
  <c r="H815" i="1"/>
  <c r="K814" i="1" s="1" a="1"/>
  <c r="K814" i="1" s="1"/>
  <c r="F771" i="1"/>
  <c r="M772" i="1" s="1"/>
  <c r="H773" i="1"/>
  <c r="K772" i="1" s="1" a="1"/>
  <c r="K772" i="1" s="1"/>
  <c r="F729" i="1"/>
  <c r="M730" i="1" s="1"/>
  <c r="H731" i="1"/>
  <c r="K730" i="1" s="1" a="1"/>
  <c r="K730" i="1" s="1"/>
  <c r="O730" i="1" s="1" a="1"/>
  <c r="F687" i="1"/>
  <c r="M688" i="1" s="1"/>
  <c r="H689" i="1"/>
  <c r="K688" i="1" s="1" a="1"/>
  <c r="K688" i="1" s="1"/>
  <c r="O688" i="1" s="1" a="1"/>
  <c r="F645" i="1"/>
  <c r="M646" i="1" s="1"/>
  <c r="H647" i="1"/>
  <c r="K646" i="1" s="1" a="1"/>
  <c r="K646" i="1" s="1"/>
  <c r="F603" i="1"/>
  <c r="M604" i="1" s="1"/>
  <c r="H605" i="1"/>
  <c r="K604" i="1" s="1" a="1"/>
  <c r="K604" i="1" s="1"/>
  <c r="F562" i="1"/>
  <c r="M563" i="1" s="1"/>
  <c r="H563" i="1"/>
  <c r="K562" i="1" s="1" a="1"/>
  <c r="K562" i="1" s="1"/>
  <c r="O562" i="1" s="1" a="1"/>
  <c r="F519" i="1"/>
  <c r="M520" i="1" s="1"/>
  <c r="H521" i="1"/>
  <c r="K520" i="1" s="1" a="1"/>
  <c r="K520" i="1" s="1"/>
  <c r="O520" i="1" s="1" a="1"/>
  <c r="F477" i="1"/>
  <c r="M478" i="1" s="1"/>
  <c r="H479" i="1"/>
  <c r="K478" i="1" s="1" a="1"/>
  <c r="K478" i="1" s="1"/>
  <c r="K436" i="1" a="1"/>
  <c r="K436" i="1" s="1"/>
  <c r="F435" i="1"/>
  <c r="M436" i="1" s="1"/>
  <c r="H437" i="1"/>
  <c r="F393" i="1"/>
  <c r="M394" i="1" s="1"/>
  <c r="H395" i="1"/>
  <c r="K394" i="1" s="1" a="1"/>
  <c r="K394" i="1" s="1"/>
  <c r="F351" i="1"/>
  <c r="M352" i="1" s="1"/>
  <c r="H353" i="1"/>
  <c r="K352" i="1" s="1" a="1"/>
  <c r="K352" i="1" s="1"/>
  <c r="O352" i="1" s="1" a="1"/>
  <c r="F309" i="1"/>
  <c r="M310" i="1" s="1"/>
  <c r="H311" i="1"/>
  <c r="K310" i="1" s="1" a="1"/>
  <c r="K310" i="1" s="1"/>
  <c r="F267" i="1"/>
  <c r="M268" i="1" s="1"/>
  <c r="H269" i="1"/>
  <c r="K268" i="1" s="1" a="1"/>
  <c r="K268" i="1" s="1"/>
  <c r="F225" i="1"/>
  <c r="M226" i="1" s="1"/>
  <c r="O226" i="1" s="1" a="1"/>
  <c r="F183" i="1"/>
  <c r="M184" i="1" s="1"/>
  <c r="H185" i="1"/>
  <c r="K184" i="1" s="1" a="1"/>
  <c r="K184" i="1" s="1"/>
  <c r="F141" i="1"/>
  <c r="M142" i="1" s="1"/>
  <c r="H143" i="1"/>
  <c r="K142" i="1" s="1" a="1"/>
  <c r="K142" i="1" s="1"/>
  <c r="F99" i="1"/>
  <c r="M100" i="1" s="1"/>
  <c r="H101" i="1"/>
  <c r="K100" i="1" s="1" a="1"/>
  <c r="K100" i="1" s="1"/>
  <c r="F56" i="1"/>
  <c r="M57" i="1" s="1"/>
  <c r="H58" i="1"/>
  <c r="K57" i="1" s="1" a="1"/>
  <c r="K57" i="1" s="1"/>
  <c r="O57" i="1" s="1" a="1"/>
  <c r="B21" i="2"/>
  <c r="O14" i="2"/>
  <c r="C20" i="2" s="1"/>
  <c r="K15" i="1" a="1"/>
  <c r="K15" i="1" s="1"/>
  <c r="M15" i="1"/>
  <c r="O142" i="1" l="1" a="1"/>
  <c r="O478" i="1" a="1"/>
  <c r="O646" i="1" a="1"/>
  <c r="O1150" i="1" a="1"/>
  <c r="O394" i="1" a="1"/>
  <c r="O1234" i="1" a="1"/>
  <c r="B1241" i="1" s="1"/>
  <c r="O268" i="1" a="1"/>
  <c r="B275" i="1" s="1"/>
  <c r="O310" i="1" a="1"/>
  <c r="O436" i="1" a="1"/>
  <c r="O184" i="1" a="1"/>
  <c r="O184" i="1" s="1"/>
  <c r="C190" i="1" s="1"/>
  <c r="O898" i="1" a="1"/>
  <c r="O1066" i="1" a="1"/>
  <c r="O604" i="1" a="1"/>
  <c r="B611" i="1" s="1"/>
  <c r="O772" i="1" a="1"/>
  <c r="B779" i="1" s="1"/>
  <c r="O982" i="1" a="1"/>
  <c r="O982" i="1" s="1"/>
  <c r="C988" i="1" s="1"/>
  <c r="O814" i="1" a="1"/>
  <c r="O814" i="1" s="1"/>
  <c r="C820" i="1" s="1"/>
  <c r="O1024" i="1" a="1"/>
  <c r="O1024" i="1" s="1"/>
  <c r="C1030" i="1" s="1"/>
  <c r="O1192" i="1" a="1"/>
  <c r="B1283" i="1"/>
  <c r="O1276" i="1"/>
  <c r="C1282" i="1" s="1"/>
  <c r="O1234" i="1"/>
  <c r="C1240" i="1" s="1"/>
  <c r="B1199" i="1"/>
  <c r="O1192" i="1"/>
  <c r="C1198" i="1" s="1"/>
  <c r="B1157" i="1"/>
  <c r="O1150" i="1"/>
  <c r="C1156" i="1" s="1"/>
  <c r="B1115" i="1"/>
  <c r="O1108" i="1"/>
  <c r="C1114" i="1" s="1"/>
  <c r="B1073" i="1"/>
  <c r="O1066" i="1"/>
  <c r="C1072" i="1" s="1"/>
  <c r="B947" i="1"/>
  <c r="O940" i="1"/>
  <c r="C946" i="1" s="1"/>
  <c r="B905" i="1"/>
  <c r="O898" i="1"/>
  <c r="C904" i="1" s="1"/>
  <c r="B863" i="1"/>
  <c r="O856" i="1"/>
  <c r="C862" i="1" s="1"/>
  <c r="B821" i="1"/>
  <c r="B737" i="1"/>
  <c r="O730" i="1"/>
  <c r="C736" i="1" s="1"/>
  <c r="B695" i="1"/>
  <c r="O688" i="1"/>
  <c r="C694" i="1" s="1"/>
  <c r="B653" i="1"/>
  <c r="O646" i="1"/>
  <c r="C652" i="1" s="1"/>
  <c r="B569" i="1"/>
  <c r="O562" i="1"/>
  <c r="C568" i="1" s="1"/>
  <c r="O100" i="1" a="1"/>
  <c r="O100" i="1" s="1"/>
  <c r="C106" i="1" s="1"/>
  <c r="B527" i="1"/>
  <c r="O520" i="1"/>
  <c r="C526" i="1" s="1"/>
  <c r="B485" i="1"/>
  <c r="O478" i="1"/>
  <c r="C484" i="1" s="1"/>
  <c r="B443" i="1"/>
  <c r="O436" i="1"/>
  <c r="C442" i="1" s="1"/>
  <c r="B401" i="1"/>
  <c r="O394" i="1"/>
  <c r="C400" i="1" s="1"/>
  <c r="B359" i="1"/>
  <c r="O352" i="1"/>
  <c r="C358" i="1" s="1"/>
  <c r="B317" i="1"/>
  <c r="O310" i="1"/>
  <c r="C316" i="1" s="1"/>
  <c r="B233" i="1"/>
  <c r="O226" i="1"/>
  <c r="C232" i="1" s="1"/>
  <c r="B191" i="1"/>
  <c r="B149" i="1"/>
  <c r="O142" i="1"/>
  <c r="C148" i="1" s="1"/>
  <c r="B64" i="1"/>
  <c r="O57" i="1"/>
  <c r="C63" i="1" s="1"/>
  <c r="H22" i="2"/>
  <c r="H21" i="2"/>
  <c r="K21" i="2" s="1" a="1"/>
  <c r="K21" i="2" s="1"/>
  <c r="O21" i="2" s="1" a="1"/>
  <c r="B20" i="2"/>
  <c r="F21" i="2"/>
  <c r="M22" i="2" s="1"/>
  <c r="F20" i="2"/>
  <c r="M21" i="2" s="1"/>
  <c r="O15" i="1" a="1"/>
  <c r="O15" i="1" s="1"/>
  <c r="C21" i="1" s="1"/>
  <c r="O268" i="1" l="1"/>
  <c r="C274" i="1" s="1"/>
  <c r="B989" i="1"/>
  <c r="B1031" i="1"/>
  <c r="O604" i="1"/>
  <c r="C610" i="1" s="1"/>
  <c r="O772" i="1"/>
  <c r="C778" i="1" s="1"/>
  <c r="H23" i="1"/>
  <c r="H22" i="1"/>
  <c r="K22" i="1" s="1" a="1"/>
  <c r="K22" i="1" s="1"/>
  <c r="B1282" i="1"/>
  <c r="H1283" i="1"/>
  <c r="H1284" i="1"/>
  <c r="F1283" i="1"/>
  <c r="M1284" i="1" s="1"/>
  <c r="F1282" i="1"/>
  <c r="M1283" i="1" s="1"/>
  <c r="H1241" i="1"/>
  <c r="H1242" i="1"/>
  <c r="B1240" i="1"/>
  <c r="F1241" i="1"/>
  <c r="M1242" i="1" s="1"/>
  <c r="F1240" i="1"/>
  <c r="M1241" i="1" s="1"/>
  <c r="H1199" i="1"/>
  <c r="K1199" i="1" s="1" a="1"/>
  <c r="K1199" i="1" s="1"/>
  <c r="H1200" i="1"/>
  <c r="B1198" i="1"/>
  <c r="F1199" i="1"/>
  <c r="M1200" i="1" s="1"/>
  <c r="F1198" i="1"/>
  <c r="M1199" i="1" s="1"/>
  <c r="H1157" i="1"/>
  <c r="H1158" i="1"/>
  <c r="B1156" i="1"/>
  <c r="F1157" i="1"/>
  <c r="M1158" i="1" s="1"/>
  <c r="F1156" i="1"/>
  <c r="M1157" i="1" s="1"/>
  <c r="H1115" i="1"/>
  <c r="H1116" i="1"/>
  <c r="B1114" i="1"/>
  <c r="F1115" i="1"/>
  <c r="M1116" i="1" s="1"/>
  <c r="F1114" i="1"/>
  <c r="M1115" i="1" s="1"/>
  <c r="F1073" i="1"/>
  <c r="M1074" i="1" s="1"/>
  <c r="F1072" i="1"/>
  <c r="M1073" i="1" s="1"/>
  <c r="H1073" i="1"/>
  <c r="H1074" i="1"/>
  <c r="B1072" i="1"/>
  <c r="F1031" i="1"/>
  <c r="M1032" i="1" s="1"/>
  <c r="F1030" i="1"/>
  <c r="M1031" i="1" s="1"/>
  <c r="H1031" i="1"/>
  <c r="B1030" i="1"/>
  <c r="H1032" i="1"/>
  <c r="H989" i="1"/>
  <c r="H990" i="1"/>
  <c r="B988" i="1"/>
  <c r="F989" i="1"/>
  <c r="M990" i="1" s="1"/>
  <c r="F988" i="1"/>
  <c r="M989" i="1" s="1"/>
  <c r="H947" i="1"/>
  <c r="H948" i="1"/>
  <c r="B946" i="1"/>
  <c r="F947" i="1"/>
  <c r="M948" i="1" s="1"/>
  <c r="F946" i="1"/>
  <c r="M947" i="1" s="1"/>
  <c r="H905" i="1"/>
  <c r="H906" i="1"/>
  <c r="B904" i="1"/>
  <c r="F905" i="1"/>
  <c r="M906" i="1" s="1"/>
  <c r="F904" i="1"/>
  <c r="M905" i="1" s="1"/>
  <c r="H863" i="1"/>
  <c r="H864" i="1"/>
  <c r="B862" i="1"/>
  <c r="F863" i="1"/>
  <c r="M864" i="1" s="1"/>
  <c r="F862" i="1"/>
  <c r="M863" i="1" s="1"/>
  <c r="H821" i="1"/>
  <c r="K821" i="1" s="1" a="1"/>
  <c r="K821" i="1" s="1"/>
  <c r="B820" i="1"/>
  <c r="H822" i="1"/>
  <c r="F821" i="1"/>
  <c r="M822" i="1" s="1"/>
  <c r="F820" i="1"/>
  <c r="M821" i="1" s="1"/>
  <c r="H779" i="1"/>
  <c r="K779" i="1" s="1" a="1"/>
  <c r="K779" i="1" s="1"/>
  <c r="H780" i="1"/>
  <c r="B778" i="1"/>
  <c r="F779" i="1"/>
  <c r="M780" i="1" s="1"/>
  <c r="F778" i="1"/>
  <c r="M779" i="1" s="1"/>
  <c r="H737" i="1"/>
  <c r="B736" i="1"/>
  <c r="H738" i="1"/>
  <c r="F737" i="1"/>
  <c r="M738" i="1" s="1"/>
  <c r="F736" i="1"/>
  <c r="M737" i="1" s="1"/>
  <c r="H695" i="1"/>
  <c r="H696" i="1"/>
  <c r="B694" i="1"/>
  <c r="F695" i="1"/>
  <c r="M696" i="1" s="1"/>
  <c r="F694" i="1"/>
  <c r="M695" i="1" s="1"/>
  <c r="H653" i="1"/>
  <c r="H654" i="1"/>
  <c r="B652" i="1"/>
  <c r="F653" i="1"/>
  <c r="M654" i="1" s="1"/>
  <c r="F652" i="1"/>
  <c r="M653" i="1" s="1"/>
  <c r="H611" i="1"/>
  <c r="H612" i="1"/>
  <c r="B610" i="1"/>
  <c r="F611" i="1"/>
  <c r="M612" i="1" s="1"/>
  <c r="F610" i="1"/>
  <c r="M611" i="1" s="1"/>
  <c r="H569" i="1"/>
  <c r="B568" i="1"/>
  <c r="H570" i="1"/>
  <c r="F569" i="1"/>
  <c r="M570" i="1" s="1"/>
  <c r="F568" i="1"/>
  <c r="M569" i="1" s="1"/>
  <c r="B107" i="1"/>
  <c r="F106" i="1" s="1"/>
  <c r="M107" i="1" s="1"/>
  <c r="H527" i="1"/>
  <c r="B526" i="1"/>
  <c r="H528" i="1"/>
  <c r="F527" i="1"/>
  <c r="M528" i="1" s="1"/>
  <c r="F526" i="1"/>
  <c r="M527" i="1" s="1"/>
  <c r="F485" i="1"/>
  <c r="M486" i="1" s="1"/>
  <c r="F484" i="1"/>
  <c r="M485" i="1" s="1"/>
  <c r="H485" i="1"/>
  <c r="H486" i="1"/>
  <c r="B484" i="1"/>
  <c r="H443" i="1"/>
  <c r="H444" i="1"/>
  <c r="B442" i="1"/>
  <c r="F443" i="1"/>
  <c r="M444" i="1" s="1"/>
  <c r="F442" i="1"/>
  <c r="M443" i="1" s="1"/>
  <c r="H401" i="1"/>
  <c r="H402" i="1"/>
  <c r="B400" i="1"/>
  <c r="F401" i="1"/>
  <c r="M402" i="1" s="1"/>
  <c r="F400" i="1"/>
  <c r="M401" i="1" s="1"/>
  <c r="H359" i="1"/>
  <c r="H360" i="1"/>
  <c r="B358" i="1"/>
  <c r="F359" i="1"/>
  <c r="M360" i="1" s="1"/>
  <c r="F358" i="1"/>
  <c r="M359" i="1" s="1"/>
  <c r="H317" i="1"/>
  <c r="K317" i="1" s="1" a="1"/>
  <c r="K317" i="1" s="1"/>
  <c r="H318" i="1"/>
  <c r="B316" i="1"/>
  <c r="F317" i="1"/>
  <c r="M318" i="1" s="1"/>
  <c r="F316" i="1"/>
  <c r="M317" i="1" s="1"/>
  <c r="H275" i="1"/>
  <c r="H276" i="1"/>
  <c r="B274" i="1"/>
  <c r="F275" i="1"/>
  <c r="M276" i="1" s="1"/>
  <c r="F274" i="1"/>
  <c r="M275" i="1" s="1"/>
  <c r="H233" i="1"/>
  <c r="H234" i="1"/>
  <c r="B232" i="1"/>
  <c r="F233" i="1"/>
  <c r="M234" i="1" s="1"/>
  <c r="F232" i="1"/>
  <c r="M233" i="1" s="1"/>
  <c r="B190" i="1"/>
  <c r="H191" i="1"/>
  <c r="H192" i="1"/>
  <c r="F191" i="1"/>
  <c r="M192" i="1" s="1"/>
  <c r="F190" i="1"/>
  <c r="M191" i="1" s="1"/>
  <c r="B148" i="1"/>
  <c r="H149" i="1"/>
  <c r="H150" i="1"/>
  <c r="F149" i="1"/>
  <c r="M150" i="1" s="1"/>
  <c r="F148" i="1"/>
  <c r="M149" i="1" s="1"/>
  <c r="H107" i="1"/>
  <c r="H108" i="1"/>
  <c r="B106" i="1"/>
  <c r="F107" i="1"/>
  <c r="M108" i="1" s="1"/>
  <c r="H64" i="1"/>
  <c r="K64" i="1" s="1" a="1"/>
  <c r="K64" i="1" s="1"/>
  <c r="H65" i="1"/>
  <c r="B63" i="1"/>
  <c r="F64" i="1"/>
  <c r="M65" i="1" s="1"/>
  <c r="F63" i="1"/>
  <c r="M64" i="1" s="1"/>
  <c r="B28" i="2"/>
  <c r="O21" i="2"/>
  <c r="C27" i="2" s="1"/>
  <c r="B22" i="1"/>
  <c r="B21" i="1"/>
  <c r="K359" i="1" l="1" a="1"/>
  <c r="K359" i="1" s="1"/>
  <c r="O359" i="1" s="1" a="1"/>
  <c r="K1115" i="1" a="1"/>
  <c r="K1115" i="1" s="1"/>
  <c r="O1199" i="1" a="1"/>
  <c r="O1199" i="1" s="1"/>
  <c r="C1205" i="1" s="1"/>
  <c r="F21" i="1"/>
  <c r="M22" i="1" s="1"/>
  <c r="F22" i="1"/>
  <c r="M23" i="1" s="1"/>
  <c r="K107" i="1" a="1"/>
  <c r="K107" i="1" s="1"/>
  <c r="K443" i="1" a="1"/>
  <c r="K443" i="1" s="1"/>
  <c r="K569" i="1" a="1"/>
  <c r="K569" i="1" s="1"/>
  <c r="O569" i="1" s="1" a="1"/>
  <c r="K905" i="1" a="1"/>
  <c r="K905" i="1" s="1"/>
  <c r="O905" i="1" s="1" a="1"/>
  <c r="O905" i="1" s="1"/>
  <c r="C911" i="1" s="1"/>
  <c r="O1115" i="1" a="1"/>
  <c r="B1122" i="1" s="1"/>
  <c r="K653" i="1" a="1"/>
  <c r="K653" i="1" s="1"/>
  <c r="O653" i="1" s="1" a="1"/>
  <c r="B660" i="1" s="1"/>
  <c r="K989" i="1" a="1"/>
  <c r="K989" i="1" s="1"/>
  <c r="O989" i="1" s="1" a="1"/>
  <c r="K1073" i="1" a="1"/>
  <c r="K1073" i="1" s="1"/>
  <c r="K1283" i="1" a="1"/>
  <c r="K1283" i="1" s="1"/>
  <c r="O1283" i="1" s="1" a="1"/>
  <c r="O1073" i="1" a="1"/>
  <c r="B1080" i="1" s="1"/>
  <c r="O821" i="1" a="1"/>
  <c r="B828" i="1" s="1"/>
  <c r="O779" i="1" a="1"/>
  <c r="B786" i="1" s="1"/>
  <c r="K1241" i="1" a="1"/>
  <c r="K1241" i="1" s="1"/>
  <c r="O1241" i="1" s="1" a="1"/>
  <c r="B1206" i="1"/>
  <c r="K1157" i="1" a="1"/>
  <c r="K1157" i="1" s="1"/>
  <c r="O1157" i="1" s="1" a="1"/>
  <c r="K1031" i="1" a="1"/>
  <c r="K1031" i="1" s="1"/>
  <c r="O1031" i="1" s="1" a="1"/>
  <c r="B996" i="1"/>
  <c r="O989" i="1"/>
  <c r="C995" i="1" s="1"/>
  <c r="K947" i="1" a="1"/>
  <c r="K947" i="1" s="1"/>
  <c r="O947" i="1" s="1" a="1"/>
  <c r="K863" i="1" a="1"/>
  <c r="K863" i="1" s="1"/>
  <c r="O863" i="1" s="1" a="1"/>
  <c r="K737" i="1" a="1"/>
  <c r="K737" i="1" s="1"/>
  <c r="O737" i="1" s="1" a="1"/>
  <c r="K695" i="1" a="1"/>
  <c r="K695" i="1" s="1"/>
  <c r="O695" i="1" s="1" a="1"/>
  <c r="K611" i="1" a="1"/>
  <c r="K611" i="1" s="1"/>
  <c r="O611" i="1" s="1" a="1"/>
  <c r="O443" i="1" a="1"/>
  <c r="B450" i="1" s="1"/>
  <c r="O64" i="1" a="1"/>
  <c r="B71" i="1" s="1"/>
  <c r="K527" i="1" a="1"/>
  <c r="K527" i="1" s="1"/>
  <c r="O527" i="1" s="1" a="1"/>
  <c r="K485" i="1" a="1"/>
  <c r="K485" i="1" s="1"/>
  <c r="O485" i="1" s="1" a="1"/>
  <c r="K401" i="1" a="1"/>
  <c r="K401" i="1" s="1"/>
  <c r="O401" i="1" s="1" a="1"/>
  <c r="O317" i="1" a="1"/>
  <c r="K275" i="1" a="1"/>
  <c r="K275" i="1" s="1"/>
  <c r="O275" i="1" s="1" a="1"/>
  <c r="K233" i="1" a="1"/>
  <c r="K233" i="1" s="1"/>
  <c r="O233" i="1" s="1" a="1"/>
  <c r="K191" i="1" a="1"/>
  <c r="K191" i="1" s="1"/>
  <c r="O191" i="1" s="1" a="1"/>
  <c r="K149" i="1" a="1"/>
  <c r="K149" i="1" s="1"/>
  <c r="O149" i="1" s="1" a="1"/>
  <c r="O107" i="1" a="1"/>
  <c r="H28" i="2"/>
  <c r="K28" i="2" s="1" a="1"/>
  <c r="K28" i="2" s="1"/>
  <c r="O28" i="2" s="1" a="1"/>
  <c r="B27" i="2"/>
  <c r="H29" i="2"/>
  <c r="F27" i="2"/>
  <c r="M28" i="2" s="1"/>
  <c r="F28" i="2"/>
  <c r="M29" i="2" s="1"/>
  <c r="O653" i="1" l="1"/>
  <c r="C659" i="1" s="1"/>
  <c r="O1115" i="1"/>
  <c r="C1121" i="1" s="1"/>
  <c r="B1290" i="1"/>
  <c r="O1283" i="1"/>
  <c r="C1289" i="1" s="1"/>
  <c r="O1073" i="1"/>
  <c r="C1079" i="1" s="1"/>
  <c r="H1080" i="1" s="1"/>
  <c r="B912" i="1"/>
  <c r="O821" i="1"/>
  <c r="C827" i="1" s="1"/>
  <c r="B827" i="1" s="1"/>
  <c r="O779" i="1"/>
  <c r="C785" i="1" s="1"/>
  <c r="H786" i="1" s="1"/>
  <c r="B1248" i="1"/>
  <c r="O1241" i="1"/>
  <c r="C1247" i="1" s="1"/>
  <c r="H1206" i="1"/>
  <c r="B1205" i="1"/>
  <c r="H1207" i="1"/>
  <c r="F1206" i="1"/>
  <c r="M1207" i="1" s="1"/>
  <c r="F1205" i="1"/>
  <c r="M1206" i="1" s="1"/>
  <c r="B1164" i="1"/>
  <c r="O1157" i="1"/>
  <c r="C1163" i="1" s="1"/>
  <c r="H1122" i="1"/>
  <c r="H1123" i="1"/>
  <c r="B1121" i="1"/>
  <c r="F1122" i="1"/>
  <c r="M1123" i="1" s="1"/>
  <c r="F1121" i="1"/>
  <c r="M1122" i="1" s="1"/>
  <c r="F1080" i="1"/>
  <c r="M1081" i="1" s="1"/>
  <c r="F1079" i="1"/>
  <c r="M1080" i="1" s="1"/>
  <c r="B1038" i="1"/>
  <c r="O1031" i="1"/>
  <c r="C1037" i="1" s="1"/>
  <c r="H996" i="1"/>
  <c r="H997" i="1"/>
  <c r="B995" i="1"/>
  <c r="F996" i="1"/>
  <c r="M997" i="1" s="1"/>
  <c r="F995" i="1"/>
  <c r="M996" i="1" s="1"/>
  <c r="B954" i="1"/>
  <c r="O947" i="1"/>
  <c r="C953" i="1" s="1"/>
  <c r="F912" i="1"/>
  <c r="M913" i="1" s="1"/>
  <c r="F911" i="1"/>
  <c r="M912" i="1" s="1"/>
  <c r="H912" i="1"/>
  <c r="H913" i="1"/>
  <c r="B911" i="1"/>
  <c r="B870" i="1"/>
  <c r="O863" i="1"/>
  <c r="C869" i="1" s="1"/>
  <c r="B744" i="1"/>
  <c r="O737" i="1"/>
  <c r="C743" i="1" s="1"/>
  <c r="B702" i="1"/>
  <c r="O695" i="1"/>
  <c r="C701" i="1" s="1"/>
  <c r="H660" i="1"/>
  <c r="H661" i="1"/>
  <c r="B659" i="1"/>
  <c r="F660" i="1"/>
  <c r="M661" i="1" s="1"/>
  <c r="F659" i="1"/>
  <c r="M660" i="1" s="1"/>
  <c r="B618" i="1"/>
  <c r="O611" i="1"/>
  <c r="C617" i="1" s="1"/>
  <c r="B576" i="1"/>
  <c r="O569" i="1"/>
  <c r="C575" i="1" s="1"/>
  <c r="O443" i="1"/>
  <c r="C449" i="1" s="1"/>
  <c r="H450" i="1" s="1"/>
  <c r="K450" i="1" s="1" a="1"/>
  <c r="K450" i="1" s="1"/>
  <c r="O64" i="1"/>
  <c r="C70" i="1" s="1"/>
  <c r="B534" i="1"/>
  <c r="O527" i="1"/>
  <c r="C533" i="1" s="1"/>
  <c r="B492" i="1"/>
  <c r="O485" i="1"/>
  <c r="C491" i="1" s="1"/>
  <c r="H451" i="1"/>
  <c r="B449" i="1"/>
  <c r="F450" i="1"/>
  <c r="M451" i="1" s="1"/>
  <c r="F449" i="1"/>
  <c r="M450" i="1" s="1"/>
  <c r="B408" i="1"/>
  <c r="O401" i="1"/>
  <c r="C407" i="1" s="1"/>
  <c r="B366" i="1"/>
  <c r="O359" i="1"/>
  <c r="C365" i="1" s="1"/>
  <c r="B324" i="1"/>
  <c r="O317" i="1"/>
  <c r="C323" i="1" s="1"/>
  <c r="B282" i="1"/>
  <c r="O275" i="1"/>
  <c r="C281" i="1" s="1"/>
  <c r="B240" i="1"/>
  <c r="O233" i="1"/>
  <c r="C239" i="1" s="1"/>
  <c r="B198" i="1"/>
  <c r="O191" i="1"/>
  <c r="C197" i="1" s="1"/>
  <c r="B156" i="1"/>
  <c r="O149" i="1"/>
  <c r="C155" i="1" s="1"/>
  <c r="B114" i="1"/>
  <c r="O107" i="1"/>
  <c r="C113" i="1" s="1"/>
  <c r="H71" i="1"/>
  <c r="O22" i="1" a="1"/>
  <c r="O22" i="1" s="1"/>
  <c r="C28" i="1" s="1"/>
  <c r="B35" i="2"/>
  <c r="O28" i="2"/>
  <c r="C34" i="2" s="1"/>
  <c r="H72" i="1" l="1"/>
  <c r="F827" i="1"/>
  <c r="M828" i="1" s="1"/>
  <c r="F828" i="1"/>
  <c r="M829" i="1" s="1"/>
  <c r="H829" i="1"/>
  <c r="K996" i="1" a="1"/>
  <c r="K996" i="1" s="1"/>
  <c r="H828" i="1"/>
  <c r="K828" i="1" s="1" a="1"/>
  <c r="K828" i="1" s="1"/>
  <c r="O828" i="1" s="1" a="1"/>
  <c r="F70" i="1"/>
  <c r="M71" i="1" s="1"/>
  <c r="F71" i="1"/>
  <c r="M72" i="1" s="1"/>
  <c r="B70" i="1"/>
  <c r="B1079" i="1"/>
  <c r="F785" i="1"/>
  <c r="M786" i="1" s="1"/>
  <c r="F786" i="1"/>
  <c r="M787" i="1" s="1"/>
  <c r="B785" i="1"/>
  <c r="H1081" i="1"/>
  <c r="K1080" i="1" s="1" a="1"/>
  <c r="K1080" i="1" s="1"/>
  <c r="O1080" i="1" s="1" a="1"/>
  <c r="B1087" i="1" s="1"/>
  <c r="H787" i="1"/>
  <c r="K786" i="1" s="1" a="1"/>
  <c r="K786" i="1" s="1"/>
  <c r="H1290" i="1"/>
  <c r="B1289" i="1"/>
  <c r="H1291" i="1"/>
  <c r="F1290" i="1"/>
  <c r="M1291" i="1" s="1"/>
  <c r="F1289" i="1"/>
  <c r="M1290" i="1" s="1"/>
  <c r="O996" i="1" a="1"/>
  <c r="B1003" i="1" s="1"/>
  <c r="H1248" i="1"/>
  <c r="H1249" i="1"/>
  <c r="B1247" i="1"/>
  <c r="F1248" i="1"/>
  <c r="M1249" i="1" s="1"/>
  <c r="F1247" i="1"/>
  <c r="M1248" i="1" s="1"/>
  <c r="K1206" i="1" a="1"/>
  <c r="K1206" i="1" s="1"/>
  <c r="O1206" i="1" s="1" a="1"/>
  <c r="F1164" i="1"/>
  <c r="M1165" i="1" s="1"/>
  <c r="F1163" i="1"/>
  <c r="M1164" i="1" s="1"/>
  <c r="H1164" i="1"/>
  <c r="H1165" i="1"/>
  <c r="B1163" i="1"/>
  <c r="K1122" i="1" a="1"/>
  <c r="K1122" i="1" s="1"/>
  <c r="O1122" i="1" s="1" a="1"/>
  <c r="F1038" i="1"/>
  <c r="M1039" i="1" s="1"/>
  <c r="F1037" i="1"/>
  <c r="M1038" i="1" s="1"/>
  <c r="B1037" i="1"/>
  <c r="H1038" i="1"/>
  <c r="H1039" i="1"/>
  <c r="H954" i="1"/>
  <c r="K954" i="1" s="1" a="1"/>
  <c r="K954" i="1" s="1"/>
  <c r="H955" i="1"/>
  <c r="B953" i="1"/>
  <c r="F954" i="1"/>
  <c r="M955" i="1" s="1"/>
  <c r="F953" i="1"/>
  <c r="M954" i="1" s="1"/>
  <c r="K912" i="1" a="1"/>
  <c r="K912" i="1" s="1"/>
  <c r="O912" i="1" s="1" a="1"/>
  <c r="B869" i="1"/>
  <c r="H870" i="1"/>
  <c r="H871" i="1"/>
  <c r="F870" i="1"/>
  <c r="M871" i="1" s="1"/>
  <c r="F869" i="1"/>
  <c r="M870" i="1" s="1"/>
  <c r="H744" i="1"/>
  <c r="H745" i="1"/>
  <c r="B743" i="1"/>
  <c r="F744" i="1"/>
  <c r="M745" i="1" s="1"/>
  <c r="F743" i="1"/>
  <c r="M744" i="1" s="1"/>
  <c r="H702" i="1"/>
  <c r="H703" i="1"/>
  <c r="B701" i="1"/>
  <c r="F701" i="1"/>
  <c r="M702" i="1" s="1"/>
  <c r="F702" i="1"/>
  <c r="M703" i="1" s="1"/>
  <c r="K660" i="1" a="1"/>
  <c r="K660" i="1" s="1"/>
  <c r="O660" i="1" s="1" a="1"/>
  <c r="H618" i="1"/>
  <c r="H619" i="1"/>
  <c r="B617" i="1"/>
  <c r="F618" i="1"/>
  <c r="M619" i="1" s="1"/>
  <c r="F617" i="1"/>
  <c r="M618" i="1" s="1"/>
  <c r="B575" i="1"/>
  <c r="H576" i="1"/>
  <c r="H577" i="1"/>
  <c r="F576" i="1"/>
  <c r="M577" i="1" s="1"/>
  <c r="F575" i="1"/>
  <c r="M576" i="1" s="1"/>
  <c r="O450" i="1" a="1"/>
  <c r="B457" i="1" s="1"/>
  <c r="K71" i="1" a="1"/>
  <c r="K71" i="1" s="1"/>
  <c r="H534" i="1"/>
  <c r="H535" i="1"/>
  <c r="B533" i="1"/>
  <c r="F534" i="1"/>
  <c r="M535" i="1" s="1"/>
  <c r="F533" i="1"/>
  <c r="M534" i="1" s="1"/>
  <c r="H492" i="1"/>
  <c r="H493" i="1"/>
  <c r="B491" i="1"/>
  <c r="F492" i="1"/>
  <c r="M493" i="1" s="1"/>
  <c r="F491" i="1"/>
  <c r="M492" i="1" s="1"/>
  <c r="H408" i="1"/>
  <c r="H409" i="1"/>
  <c r="B407" i="1"/>
  <c r="F408" i="1"/>
  <c r="M409" i="1" s="1"/>
  <c r="F407" i="1"/>
  <c r="M408" i="1" s="1"/>
  <c r="H366" i="1"/>
  <c r="H367" i="1"/>
  <c r="B365" i="1"/>
  <c r="F366" i="1"/>
  <c r="M367" i="1" s="1"/>
  <c r="F365" i="1"/>
  <c r="M366" i="1" s="1"/>
  <c r="F324" i="1"/>
  <c r="M325" i="1" s="1"/>
  <c r="F323" i="1"/>
  <c r="M324" i="1" s="1"/>
  <c r="B323" i="1"/>
  <c r="H324" i="1"/>
  <c r="H325" i="1"/>
  <c r="H282" i="1"/>
  <c r="H283" i="1"/>
  <c r="B281" i="1"/>
  <c r="F282" i="1"/>
  <c r="M283" i="1" s="1"/>
  <c r="F281" i="1"/>
  <c r="M282" i="1" s="1"/>
  <c r="H240" i="1"/>
  <c r="H241" i="1"/>
  <c r="B239" i="1"/>
  <c r="F240" i="1"/>
  <c r="M241" i="1" s="1"/>
  <c r="F239" i="1"/>
  <c r="M240" i="1" s="1"/>
  <c r="H198" i="1"/>
  <c r="H199" i="1"/>
  <c r="B197" i="1"/>
  <c r="F198" i="1"/>
  <c r="M199" i="1" s="1"/>
  <c r="F197" i="1"/>
  <c r="M198" i="1" s="1"/>
  <c r="H156" i="1"/>
  <c r="B155" i="1"/>
  <c r="H157" i="1"/>
  <c r="F156" i="1"/>
  <c r="M157" i="1" s="1"/>
  <c r="F155" i="1"/>
  <c r="M156" i="1" s="1"/>
  <c r="H114" i="1"/>
  <c r="H115" i="1"/>
  <c r="B113" i="1"/>
  <c r="F114" i="1"/>
  <c r="M115" i="1" s="1"/>
  <c r="F113" i="1"/>
  <c r="M114" i="1" s="1"/>
  <c r="H29" i="1"/>
  <c r="H30" i="1"/>
  <c r="B28" i="1"/>
  <c r="B29" i="1"/>
  <c r="F34" i="2"/>
  <c r="M35" i="2" s="1"/>
  <c r="F35" i="2"/>
  <c r="M36" i="2" s="1"/>
  <c r="H36" i="2"/>
  <c r="H35" i="2"/>
  <c r="B34" i="2"/>
  <c r="K29" i="1" l="1" a="1"/>
  <c r="K29" i="1" s="1"/>
  <c r="O786" i="1" a="1"/>
  <c r="O71" i="1" a="1"/>
  <c r="B78" i="1" s="1"/>
  <c r="K1164" i="1" a="1"/>
  <c r="K1164" i="1" s="1"/>
  <c r="O1164" i="1" s="1" a="1"/>
  <c r="O1164" i="1" s="1"/>
  <c r="C1170" i="1" s="1"/>
  <c r="K1290" i="1" a="1"/>
  <c r="K1290" i="1" s="1"/>
  <c r="O1290" i="1" s="1" a="1"/>
  <c r="O1080" i="1"/>
  <c r="C1086" i="1" s="1"/>
  <c r="H1088" i="1" s="1"/>
  <c r="K1038" i="1" a="1"/>
  <c r="K1038" i="1" s="1"/>
  <c r="O1038" i="1" s="1" a="1"/>
  <c r="O1038" i="1" s="1"/>
  <c r="C1044" i="1" s="1"/>
  <c r="O996" i="1"/>
  <c r="C1002" i="1" s="1"/>
  <c r="H1003" i="1" s="1"/>
  <c r="K1248" i="1" a="1"/>
  <c r="K1248" i="1" s="1"/>
  <c r="O1248" i="1" s="1" a="1"/>
  <c r="B1213" i="1"/>
  <c r="O1206" i="1"/>
  <c r="C1212" i="1" s="1"/>
  <c r="B1129" i="1"/>
  <c r="O1122" i="1"/>
  <c r="C1128" i="1" s="1"/>
  <c r="F1087" i="1"/>
  <c r="M1088" i="1" s="1"/>
  <c r="F1086" i="1"/>
  <c r="M1087" i="1" s="1"/>
  <c r="H1087" i="1"/>
  <c r="O954" i="1" a="1"/>
  <c r="B919" i="1"/>
  <c r="O912" i="1"/>
  <c r="C918" i="1" s="1"/>
  <c r="K870" i="1" a="1"/>
  <c r="K870" i="1" s="1"/>
  <c r="O870" i="1" s="1" a="1"/>
  <c r="B835" i="1"/>
  <c r="O828" i="1"/>
  <c r="C834" i="1" s="1"/>
  <c r="B793" i="1"/>
  <c r="O786" i="1"/>
  <c r="C792" i="1" s="1"/>
  <c r="K744" i="1" a="1"/>
  <c r="K744" i="1" s="1"/>
  <c r="O744" i="1" s="1" a="1"/>
  <c r="K702" i="1" a="1"/>
  <c r="K702" i="1" s="1"/>
  <c r="O702" i="1" s="1" a="1"/>
  <c r="B667" i="1"/>
  <c r="O660" i="1"/>
  <c r="C666" i="1" s="1"/>
  <c r="K618" i="1" a="1"/>
  <c r="K618" i="1" s="1"/>
  <c r="O618" i="1" s="1" a="1"/>
  <c r="K576" i="1" a="1"/>
  <c r="K576" i="1" s="1"/>
  <c r="O576" i="1" s="1" a="1"/>
  <c r="O450" i="1"/>
  <c r="C456" i="1" s="1"/>
  <c r="H457" i="1" s="1"/>
  <c r="K408" i="1" a="1"/>
  <c r="K408" i="1" s="1"/>
  <c r="O408" i="1" s="1" a="1"/>
  <c r="K198" i="1" a="1"/>
  <c r="K198" i="1" s="1"/>
  <c r="O198" i="1" s="1" a="1"/>
  <c r="O71" i="1"/>
  <c r="C77" i="1" s="1"/>
  <c r="F77" i="1" s="1"/>
  <c r="M78" i="1" s="1"/>
  <c r="K534" i="1" a="1"/>
  <c r="K534" i="1" s="1"/>
  <c r="O534" i="1" s="1" a="1"/>
  <c r="K492" i="1" a="1"/>
  <c r="K492" i="1" s="1"/>
  <c r="O492" i="1" s="1" a="1"/>
  <c r="H458" i="1"/>
  <c r="F457" i="1"/>
  <c r="M458" i="1" s="1"/>
  <c r="K366" i="1" a="1"/>
  <c r="K366" i="1" s="1"/>
  <c r="O366" i="1" s="1" a="1"/>
  <c r="K324" i="1" a="1"/>
  <c r="K324" i="1" s="1"/>
  <c r="O324" i="1" s="1" a="1"/>
  <c r="K282" i="1" a="1"/>
  <c r="K282" i="1" s="1"/>
  <c r="O282" i="1" s="1" a="1"/>
  <c r="K240" i="1" a="1"/>
  <c r="K240" i="1" s="1"/>
  <c r="O240" i="1" s="1" a="1"/>
  <c r="K156" i="1" a="1"/>
  <c r="K156" i="1" s="1"/>
  <c r="O156" i="1" s="1" a="1"/>
  <c r="K114" i="1" a="1"/>
  <c r="K114" i="1" s="1"/>
  <c r="O114" i="1" s="1" a="1"/>
  <c r="F78" i="1"/>
  <c r="M79" i="1" s="1"/>
  <c r="F29" i="1"/>
  <c r="M30" i="1" s="1"/>
  <c r="F28" i="1"/>
  <c r="M29" i="1" s="1"/>
  <c r="K35" i="2" a="1"/>
  <c r="K35" i="2" s="1"/>
  <c r="O35" i="2" s="1" a="1"/>
  <c r="H79" i="1" l="1"/>
  <c r="F456" i="1"/>
  <c r="M457" i="1" s="1"/>
  <c r="F1002" i="1"/>
  <c r="M1003" i="1" s="1"/>
  <c r="K457" i="1" a="1"/>
  <c r="K457" i="1" s="1"/>
  <c r="F1003" i="1"/>
  <c r="M1004" i="1" s="1"/>
  <c r="H78" i="1"/>
  <c r="K78" i="1" s="1" a="1"/>
  <c r="K78" i="1" s="1"/>
  <c r="O78" i="1" s="1" a="1"/>
  <c r="B85" i="1" s="1"/>
  <c r="B456" i="1"/>
  <c r="B1002" i="1"/>
  <c r="B77" i="1"/>
  <c r="B1086" i="1"/>
  <c r="O29" i="1" a="1"/>
  <c r="O29" i="1" s="1"/>
  <c r="C35" i="1" s="1"/>
  <c r="B35" i="1" s="1"/>
  <c r="H1004" i="1"/>
  <c r="K1003" i="1" s="1" a="1"/>
  <c r="K1003" i="1" s="1"/>
  <c r="O1003" i="1" s="1" a="1"/>
  <c r="B1297" i="1"/>
  <c r="O1290" i="1"/>
  <c r="C1296" i="1" s="1"/>
  <c r="B1171" i="1"/>
  <c r="F1171" i="1" s="1"/>
  <c r="M1172" i="1" s="1"/>
  <c r="K1087" i="1" a="1"/>
  <c r="K1087" i="1" s="1"/>
  <c r="O1087" i="1" s="1" a="1"/>
  <c r="B1094" i="1" s="1"/>
  <c r="B1045" i="1"/>
  <c r="B1255" i="1"/>
  <c r="O1248" i="1"/>
  <c r="C1254" i="1" s="1"/>
  <c r="H1213" i="1"/>
  <c r="H1214" i="1"/>
  <c r="B1212" i="1"/>
  <c r="F1213" i="1"/>
  <c r="M1214" i="1" s="1"/>
  <c r="F1212" i="1"/>
  <c r="M1213" i="1" s="1"/>
  <c r="H1171" i="1"/>
  <c r="H1172" i="1"/>
  <c r="B1170" i="1"/>
  <c r="H1129" i="1"/>
  <c r="H1130" i="1"/>
  <c r="B1128" i="1"/>
  <c r="F1128" i="1"/>
  <c r="M1129" i="1" s="1"/>
  <c r="F1129" i="1"/>
  <c r="M1130" i="1" s="1"/>
  <c r="B1044" i="1"/>
  <c r="H1045" i="1"/>
  <c r="K1045" i="1" s="1" a="1"/>
  <c r="K1045" i="1" s="1"/>
  <c r="H1046" i="1"/>
  <c r="F1045" i="1"/>
  <c r="M1046" i="1" s="1"/>
  <c r="F1044" i="1"/>
  <c r="M1045" i="1" s="1"/>
  <c r="B961" i="1"/>
  <c r="O954" i="1"/>
  <c r="C960" i="1" s="1"/>
  <c r="H919" i="1"/>
  <c r="H920" i="1"/>
  <c r="B918" i="1"/>
  <c r="F919" i="1"/>
  <c r="M920" i="1" s="1"/>
  <c r="F918" i="1"/>
  <c r="M919" i="1" s="1"/>
  <c r="B877" i="1"/>
  <c r="O870" i="1"/>
  <c r="C876" i="1" s="1"/>
  <c r="H835" i="1"/>
  <c r="H836" i="1"/>
  <c r="B834" i="1"/>
  <c r="F835" i="1"/>
  <c r="M836" i="1" s="1"/>
  <c r="F834" i="1"/>
  <c r="M835" i="1" s="1"/>
  <c r="B792" i="1"/>
  <c r="H793" i="1"/>
  <c r="H794" i="1"/>
  <c r="F793" i="1"/>
  <c r="M794" i="1" s="1"/>
  <c r="F792" i="1"/>
  <c r="M793" i="1" s="1"/>
  <c r="B751" i="1"/>
  <c r="O744" i="1"/>
  <c r="C750" i="1" s="1"/>
  <c r="B709" i="1"/>
  <c r="O702" i="1"/>
  <c r="C708" i="1" s="1"/>
  <c r="H667" i="1"/>
  <c r="K667" i="1" s="1" a="1"/>
  <c r="K667" i="1" s="1"/>
  <c r="H668" i="1"/>
  <c r="B666" i="1"/>
  <c r="F667" i="1"/>
  <c r="M668" i="1" s="1"/>
  <c r="F666" i="1"/>
  <c r="M667" i="1" s="1"/>
  <c r="B625" i="1"/>
  <c r="O618" i="1"/>
  <c r="C624" i="1" s="1"/>
  <c r="B583" i="1"/>
  <c r="O576" i="1"/>
  <c r="C582" i="1" s="1"/>
  <c r="O457" i="1" a="1"/>
  <c r="O457" i="1" s="1"/>
  <c r="C463" i="1" s="1"/>
  <c r="B541" i="1"/>
  <c r="O534" i="1"/>
  <c r="C540" i="1" s="1"/>
  <c r="B499" i="1"/>
  <c r="O492" i="1"/>
  <c r="C498" i="1" s="1"/>
  <c r="B415" i="1"/>
  <c r="O408" i="1"/>
  <c r="C414" i="1" s="1"/>
  <c r="B373" i="1"/>
  <c r="O366" i="1"/>
  <c r="C372" i="1" s="1"/>
  <c r="B331" i="1"/>
  <c r="O324" i="1"/>
  <c r="C330" i="1" s="1"/>
  <c r="B289" i="1"/>
  <c r="O282" i="1"/>
  <c r="C288" i="1" s="1"/>
  <c r="B247" i="1"/>
  <c r="O240" i="1"/>
  <c r="C246" i="1" s="1"/>
  <c r="B205" i="1"/>
  <c r="O198" i="1"/>
  <c r="C204" i="1" s="1"/>
  <c r="B163" i="1"/>
  <c r="O156" i="1"/>
  <c r="C162" i="1" s="1"/>
  <c r="B121" i="1"/>
  <c r="O114" i="1"/>
  <c r="C120" i="1" s="1"/>
  <c r="B42" i="2"/>
  <c r="O35" i="2"/>
  <c r="C41" i="2" s="1"/>
  <c r="B36" i="1" l="1"/>
  <c r="H36" i="1"/>
  <c r="H37" i="1"/>
  <c r="F1170" i="1"/>
  <c r="M1171" i="1" s="1"/>
  <c r="O1045" i="1" a="1"/>
  <c r="K1213" i="1" a="1"/>
  <c r="K1213" i="1" s="1"/>
  <c r="O1213" i="1" s="1" a="1"/>
  <c r="O1213" i="1" s="1"/>
  <c r="C1219" i="1" s="1"/>
  <c r="B1296" i="1"/>
  <c r="H1297" i="1"/>
  <c r="H1298" i="1"/>
  <c r="F1297" i="1"/>
  <c r="M1298" i="1" s="1"/>
  <c r="F1296" i="1"/>
  <c r="M1297" i="1" s="1"/>
  <c r="K1129" i="1" a="1"/>
  <c r="K1129" i="1" s="1"/>
  <c r="O1129" i="1" s="1" a="1"/>
  <c r="B1136" i="1" s="1"/>
  <c r="O1087" i="1"/>
  <c r="C1093" i="1" s="1"/>
  <c r="F1094" i="1" s="1"/>
  <c r="M1095" i="1" s="1"/>
  <c r="K793" i="1" a="1"/>
  <c r="K793" i="1" s="1"/>
  <c r="O793" i="1" s="1" a="1"/>
  <c r="O793" i="1" s="1"/>
  <c r="C799" i="1" s="1"/>
  <c r="H1255" i="1"/>
  <c r="H1256" i="1"/>
  <c r="B1254" i="1"/>
  <c r="F1255" i="1"/>
  <c r="M1256" i="1" s="1"/>
  <c r="F1254" i="1"/>
  <c r="M1255" i="1" s="1"/>
  <c r="B1220" i="1"/>
  <c r="K1171" i="1" a="1"/>
  <c r="K1171" i="1" s="1"/>
  <c r="O1171" i="1" s="1" a="1"/>
  <c r="H1094" i="1"/>
  <c r="H1095" i="1"/>
  <c r="B1093" i="1"/>
  <c r="B1052" i="1"/>
  <c r="O1045" i="1"/>
  <c r="C1051" i="1" s="1"/>
  <c r="B1010" i="1"/>
  <c r="O1003" i="1"/>
  <c r="C1009" i="1" s="1"/>
  <c r="H961" i="1"/>
  <c r="H962" i="1"/>
  <c r="B960" i="1"/>
  <c r="F961" i="1"/>
  <c r="M962" i="1" s="1"/>
  <c r="F960" i="1"/>
  <c r="M961" i="1" s="1"/>
  <c r="K919" i="1" a="1"/>
  <c r="K919" i="1" s="1"/>
  <c r="O919" i="1" s="1" a="1"/>
  <c r="F877" i="1"/>
  <c r="M878" i="1" s="1"/>
  <c r="F876" i="1"/>
  <c r="M877" i="1" s="1"/>
  <c r="H877" i="1"/>
  <c r="B876" i="1"/>
  <c r="H878" i="1"/>
  <c r="K835" i="1" a="1"/>
  <c r="K835" i="1" s="1"/>
  <c r="O835" i="1" s="1" a="1"/>
  <c r="H751" i="1"/>
  <c r="B750" i="1"/>
  <c r="H752" i="1"/>
  <c r="F751" i="1"/>
  <c r="M752" i="1" s="1"/>
  <c r="F750" i="1"/>
  <c r="M751" i="1" s="1"/>
  <c r="H709" i="1"/>
  <c r="H710" i="1"/>
  <c r="B708" i="1"/>
  <c r="F709" i="1"/>
  <c r="M710" i="1" s="1"/>
  <c r="F708" i="1"/>
  <c r="M709" i="1" s="1"/>
  <c r="O667" i="1" a="1"/>
  <c r="H625" i="1"/>
  <c r="H626" i="1"/>
  <c r="B624" i="1"/>
  <c r="F625" i="1"/>
  <c r="M626" i="1" s="1"/>
  <c r="F624" i="1"/>
  <c r="M625" i="1" s="1"/>
  <c r="B582" i="1"/>
  <c r="H583" i="1"/>
  <c r="H584" i="1"/>
  <c r="F583" i="1"/>
  <c r="M584" i="1" s="1"/>
  <c r="F582" i="1"/>
  <c r="M583" i="1" s="1"/>
  <c r="B464" i="1"/>
  <c r="F463" i="1" s="1"/>
  <c r="M464" i="1" s="1"/>
  <c r="O78" i="1"/>
  <c r="C84" i="1" s="1"/>
  <c r="F84" i="1" s="1"/>
  <c r="M85" i="1" s="1"/>
  <c r="H541" i="1"/>
  <c r="B540" i="1"/>
  <c r="H542" i="1"/>
  <c r="F541" i="1"/>
  <c r="M542" i="1" s="1"/>
  <c r="F540" i="1"/>
  <c r="M541" i="1" s="1"/>
  <c r="H499" i="1"/>
  <c r="B498" i="1"/>
  <c r="H500" i="1"/>
  <c r="F499" i="1"/>
  <c r="M500" i="1" s="1"/>
  <c r="F498" i="1"/>
  <c r="M499" i="1" s="1"/>
  <c r="H464" i="1"/>
  <c r="H465" i="1"/>
  <c r="B463" i="1"/>
  <c r="F464" i="1"/>
  <c r="M465" i="1" s="1"/>
  <c r="H415" i="1"/>
  <c r="H416" i="1"/>
  <c r="B414" i="1"/>
  <c r="F415" i="1"/>
  <c r="M416" i="1" s="1"/>
  <c r="F414" i="1"/>
  <c r="M415" i="1" s="1"/>
  <c r="B372" i="1"/>
  <c r="H373" i="1"/>
  <c r="H374" i="1"/>
  <c r="F373" i="1"/>
  <c r="M374" i="1" s="1"/>
  <c r="F372" i="1"/>
  <c r="M373" i="1" s="1"/>
  <c r="F331" i="1"/>
  <c r="M332" i="1" s="1"/>
  <c r="F330" i="1"/>
  <c r="M331" i="1" s="1"/>
  <c r="B330" i="1"/>
  <c r="H331" i="1"/>
  <c r="H332" i="1"/>
  <c r="H289" i="1"/>
  <c r="H290" i="1"/>
  <c r="B288" i="1"/>
  <c r="F289" i="1"/>
  <c r="M290" i="1" s="1"/>
  <c r="F288" i="1"/>
  <c r="M289" i="1" s="1"/>
  <c r="H247" i="1"/>
  <c r="H248" i="1"/>
  <c r="B246" i="1"/>
  <c r="F247" i="1"/>
  <c r="M248" i="1" s="1"/>
  <c r="F246" i="1"/>
  <c r="M247" i="1" s="1"/>
  <c r="H205" i="1"/>
  <c r="B204" i="1"/>
  <c r="H206" i="1"/>
  <c r="F205" i="1"/>
  <c r="M206" i="1" s="1"/>
  <c r="F204" i="1"/>
  <c r="M205" i="1" s="1"/>
  <c r="H163" i="1"/>
  <c r="H164" i="1"/>
  <c r="B162" i="1"/>
  <c r="F163" i="1"/>
  <c r="M164" i="1" s="1"/>
  <c r="F162" i="1"/>
  <c r="M163" i="1" s="1"/>
  <c r="H121" i="1"/>
  <c r="H122" i="1"/>
  <c r="B120" i="1"/>
  <c r="F121" i="1"/>
  <c r="M122" i="1" s="1"/>
  <c r="F120" i="1"/>
  <c r="M121" i="1" s="1"/>
  <c r="H86" i="1"/>
  <c r="B84" i="1"/>
  <c r="F85" i="1"/>
  <c r="M86" i="1" s="1"/>
  <c r="F36" i="1"/>
  <c r="M37" i="1" s="1"/>
  <c r="F35" i="1"/>
  <c r="M36" i="1" s="1"/>
  <c r="H43" i="2"/>
  <c r="B41" i="2"/>
  <c r="H42" i="2"/>
  <c r="F42" i="2"/>
  <c r="M43" i="2" s="1"/>
  <c r="F41" i="2"/>
  <c r="M42" i="2" s="1"/>
  <c r="K36" i="1" a="1"/>
  <c r="K36" i="1" s="1"/>
  <c r="F1093" i="1" l="1"/>
  <c r="M1094" i="1" s="1"/>
  <c r="H85" i="1"/>
  <c r="K1255" i="1" a="1"/>
  <c r="K1255" i="1" s="1"/>
  <c r="O1255" i="1" s="1" a="1"/>
  <c r="K85" i="1" a="1"/>
  <c r="K85" i="1" s="1"/>
  <c r="K709" i="1" a="1"/>
  <c r="K709" i="1" s="1"/>
  <c r="K877" i="1" a="1"/>
  <c r="K877" i="1" s="1"/>
  <c r="O877" i="1" s="1" a="1"/>
  <c r="O877" i="1" s="1"/>
  <c r="C883" i="1" s="1"/>
  <c r="K331" i="1" a="1"/>
  <c r="K331" i="1" s="1"/>
  <c r="O331" i="1" s="1" a="1"/>
  <c r="B338" i="1" s="1"/>
  <c r="K1297" i="1" a="1"/>
  <c r="K1297" i="1" s="1"/>
  <c r="O1297" i="1" s="1" a="1"/>
  <c r="O1129" i="1"/>
  <c r="C1135" i="1" s="1"/>
  <c r="K1094" i="1" a="1"/>
  <c r="K1094" i="1" s="1"/>
  <c r="O1094" i="1" s="1" a="1"/>
  <c r="O1094" i="1" s="1"/>
  <c r="C1100" i="1" s="1"/>
  <c r="B800" i="1"/>
  <c r="B1219" i="1"/>
  <c r="H1220" i="1"/>
  <c r="H1221" i="1"/>
  <c r="F1220" i="1"/>
  <c r="M1221" i="1" s="1"/>
  <c r="F1219" i="1"/>
  <c r="M1220" i="1" s="1"/>
  <c r="B1178" i="1"/>
  <c r="O1171" i="1"/>
  <c r="C1177" i="1" s="1"/>
  <c r="H1136" i="1"/>
  <c r="H1137" i="1"/>
  <c r="B1135" i="1"/>
  <c r="F1135" i="1"/>
  <c r="M1136" i="1" s="1"/>
  <c r="F1136" i="1"/>
  <c r="M1137" i="1" s="1"/>
  <c r="F1052" i="1"/>
  <c r="M1053" i="1" s="1"/>
  <c r="F1051" i="1"/>
  <c r="M1052" i="1" s="1"/>
  <c r="H1052" i="1"/>
  <c r="B1051" i="1"/>
  <c r="H1053" i="1"/>
  <c r="H1010" i="1"/>
  <c r="H1011" i="1"/>
  <c r="B1009" i="1"/>
  <c r="F1010" i="1"/>
  <c r="M1011" i="1" s="1"/>
  <c r="F1009" i="1"/>
  <c r="M1010" i="1" s="1"/>
  <c r="K961" i="1" a="1"/>
  <c r="K961" i="1" s="1"/>
  <c r="O961" i="1" s="1" a="1"/>
  <c r="B926" i="1"/>
  <c r="O919" i="1"/>
  <c r="C925" i="1" s="1"/>
  <c r="B842" i="1"/>
  <c r="O835" i="1"/>
  <c r="C841" i="1" s="1"/>
  <c r="H800" i="1"/>
  <c r="H801" i="1"/>
  <c r="B799" i="1"/>
  <c r="F800" i="1"/>
  <c r="M801" i="1" s="1"/>
  <c r="F799" i="1"/>
  <c r="M800" i="1" s="1"/>
  <c r="K751" i="1" a="1"/>
  <c r="K751" i="1" s="1"/>
  <c r="O751" i="1" s="1" a="1"/>
  <c r="O709" i="1" a="1"/>
  <c r="B674" i="1"/>
  <c r="O667" i="1"/>
  <c r="C673" i="1" s="1"/>
  <c r="K625" i="1" a="1"/>
  <c r="K625" i="1" s="1"/>
  <c r="O625" i="1" s="1" a="1"/>
  <c r="K583" i="1" a="1"/>
  <c r="K583" i="1" s="1"/>
  <c r="O583" i="1" s="1" a="1"/>
  <c r="K464" i="1" a="1"/>
  <c r="K464" i="1" s="1"/>
  <c r="O464" i="1" s="1" a="1"/>
  <c r="K415" i="1" a="1"/>
  <c r="K415" i="1" s="1"/>
  <c r="O85" i="1" a="1"/>
  <c r="K541" i="1" a="1"/>
  <c r="K541" i="1" s="1"/>
  <c r="O541" i="1" s="1" a="1"/>
  <c r="K499" i="1" a="1"/>
  <c r="K499" i="1" s="1"/>
  <c r="O499" i="1" s="1" a="1"/>
  <c r="O415" i="1" a="1"/>
  <c r="K373" i="1" a="1"/>
  <c r="K373" i="1" s="1"/>
  <c r="O373" i="1" s="1" a="1"/>
  <c r="K289" i="1" a="1"/>
  <c r="K289" i="1" s="1"/>
  <c r="O289" i="1" s="1" a="1"/>
  <c r="K247" i="1" a="1"/>
  <c r="K247" i="1" s="1"/>
  <c r="O247" i="1" s="1" a="1"/>
  <c r="K205" i="1" a="1"/>
  <c r="K205" i="1" s="1"/>
  <c r="O205" i="1" s="1" a="1"/>
  <c r="K163" i="1" a="1"/>
  <c r="K163" i="1" s="1"/>
  <c r="O163" i="1" s="1" a="1"/>
  <c r="K121" i="1" a="1"/>
  <c r="K121" i="1" s="1"/>
  <c r="O121" i="1" s="1" a="1"/>
  <c r="K42" i="2" a="1"/>
  <c r="K42" i="2" s="1"/>
  <c r="O42" i="2" s="1" a="1"/>
  <c r="O36" i="1" a="1"/>
  <c r="O36" i="1" s="1"/>
  <c r="C42" i="1" s="1"/>
  <c r="K800" i="1" l="1" a="1"/>
  <c r="K800" i="1" s="1"/>
  <c r="O85" i="1"/>
  <c r="C91" i="1" s="1"/>
  <c r="B92" i="1"/>
  <c r="K1010" i="1" a="1"/>
  <c r="K1010" i="1" s="1"/>
  <c r="K1136" i="1" a="1"/>
  <c r="K1136" i="1" s="1"/>
  <c r="O1136" i="1" s="1" a="1"/>
  <c r="O1136" i="1" s="1"/>
  <c r="C1142" i="1" s="1"/>
  <c r="O464" i="1"/>
  <c r="C470" i="1" s="1"/>
  <c r="B471" i="1"/>
  <c r="B1304" i="1"/>
  <c r="O1297" i="1"/>
  <c r="C1303" i="1" s="1"/>
  <c r="B1101" i="1"/>
  <c r="B884" i="1"/>
  <c r="O800" i="1" a="1"/>
  <c r="B807" i="1" s="1"/>
  <c r="B1262" i="1"/>
  <c r="O1255" i="1"/>
  <c r="C1261" i="1" s="1"/>
  <c r="K1220" i="1" a="1"/>
  <c r="K1220" i="1" s="1"/>
  <c r="O1220" i="1" s="1" a="1"/>
  <c r="H1178" i="1"/>
  <c r="K1178" i="1" s="1" a="1"/>
  <c r="K1178" i="1" s="1"/>
  <c r="H1179" i="1"/>
  <c r="B1177" i="1"/>
  <c r="F1178" i="1"/>
  <c r="M1179" i="1" s="1"/>
  <c r="F1177" i="1"/>
  <c r="M1178" i="1" s="1"/>
  <c r="H1101" i="1"/>
  <c r="H1102" i="1"/>
  <c r="B1100" i="1"/>
  <c r="F1101" i="1"/>
  <c r="M1102" i="1" s="1"/>
  <c r="F1100" i="1"/>
  <c r="M1101" i="1" s="1"/>
  <c r="K1052" i="1" a="1"/>
  <c r="K1052" i="1" s="1"/>
  <c r="O1052" i="1" s="1" a="1"/>
  <c r="O1010" i="1" a="1"/>
  <c r="B968" i="1"/>
  <c r="O961" i="1"/>
  <c r="C967" i="1" s="1"/>
  <c r="H926" i="1"/>
  <c r="H927" i="1"/>
  <c r="B925" i="1"/>
  <c r="F926" i="1"/>
  <c r="M927" i="1" s="1"/>
  <c r="F925" i="1"/>
  <c r="M926" i="1" s="1"/>
  <c r="H884" i="1"/>
  <c r="H885" i="1"/>
  <c r="B883" i="1"/>
  <c r="F884" i="1"/>
  <c r="M885" i="1" s="1"/>
  <c r="F883" i="1"/>
  <c r="M884" i="1" s="1"/>
  <c r="B841" i="1"/>
  <c r="H842" i="1"/>
  <c r="H843" i="1"/>
  <c r="F842" i="1"/>
  <c r="M843" i="1" s="1"/>
  <c r="F841" i="1"/>
  <c r="M842" i="1" s="1"/>
  <c r="B758" i="1"/>
  <c r="O751" i="1"/>
  <c r="C757" i="1" s="1"/>
  <c r="B716" i="1"/>
  <c r="O709" i="1"/>
  <c r="C715" i="1" s="1"/>
  <c r="H674" i="1"/>
  <c r="H675" i="1"/>
  <c r="B673" i="1"/>
  <c r="F674" i="1"/>
  <c r="M675" i="1" s="1"/>
  <c r="F673" i="1"/>
  <c r="M674" i="1" s="1"/>
  <c r="B632" i="1"/>
  <c r="O625" i="1"/>
  <c r="C631" i="1" s="1"/>
  <c r="B590" i="1"/>
  <c r="O583" i="1"/>
  <c r="C589" i="1" s="1"/>
  <c r="O331" i="1"/>
  <c r="C337" i="1" s="1"/>
  <c r="F337" i="1" s="1"/>
  <c r="M338" i="1" s="1"/>
  <c r="B548" i="1"/>
  <c r="O541" i="1"/>
  <c r="C547" i="1" s="1"/>
  <c r="B506" i="1"/>
  <c r="O499" i="1"/>
  <c r="C505" i="1" s="1"/>
  <c r="B422" i="1"/>
  <c r="F421" i="1" s="1"/>
  <c r="O415" i="1"/>
  <c r="C421" i="1" s="1"/>
  <c r="B380" i="1"/>
  <c r="O373" i="1"/>
  <c r="C379" i="1" s="1"/>
  <c r="H338" i="1"/>
  <c r="F338" i="1"/>
  <c r="M339" i="1" s="1"/>
  <c r="B296" i="1"/>
  <c r="F295" i="1" s="1"/>
  <c r="O289" i="1"/>
  <c r="C295" i="1" s="1"/>
  <c r="B254" i="1"/>
  <c r="O247" i="1"/>
  <c r="C253" i="1" s="1"/>
  <c r="B212" i="1"/>
  <c r="O205" i="1"/>
  <c r="C211" i="1" s="1"/>
  <c r="B170" i="1"/>
  <c r="O163" i="1"/>
  <c r="C169" i="1" s="1"/>
  <c r="B128" i="1"/>
  <c r="F127" i="1" s="1"/>
  <c r="O121" i="1"/>
  <c r="C127" i="1" s="1"/>
  <c r="H44" i="1"/>
  <c r="H43" i="1"/>
  <c r="B49" i="2"/>
  <c r="O42" i="2"/>
  <c r="C48" i="2" s="1"/>
  <c r="B43" i="1"/>
  <c r="F42" i="1" s="1"/>
  <c r="B42" i="1"/>
  <c r="O1178" i="1" l="1" a="1"/>
  <c r="F547" i="1"/>
  <c r="B337" i="1"/>
  <c r="F471" i="1"/>
  <c r="M472" i="1" s="1"/>
  <c r="F470" i="1"/>
  <c r="M471" i="1" s="1"/>
  <c r="H339" i="1"/>
  <c r="H472" i="1"/>
  <c r="H471" i="1"/>
  <c r="B470" i="1"/>
  <c r="F379" i="1"/>
  <c r="I135" i="1"/>
  <c r="I136" i="1"/>
  <c r="F92" i="1"/>
  <c r="M93" i="1" s="1"/>
  <c r="F91" i="1"/>
  <c r="M92" i="1" s="1"/>
  <c r="K842" i="1" a="1"/>
  <c r="K842" i="1" s="1"/>
  <c r="O842" i="1" s="1" a="1"/>
  <c r="H92" i="1"/>
  <c r="B91" i="1"/>
  <c r="H93" i="1"/>
  <c r="H1304" i="1"/>
  <c r="H1305" i="1"/>
  <c r="B1303" i="1"/>
  <c r="F1304" i="1"/>
  <c r="M1305" i="1" s="1"/>
  <c r="F1303" i="1"/>
  <c r="M1304" i="1" s="1"/>
  <c r="B1143" i="1"/>
  <c r="F1142" i="1" s="1"/>
  <c r="M1143" i="1" s="1"/>
  <c r="I1144" i="1"/>
  <c r="I1143" i="1"/>
  <c r="O800" i="1"/>
  <c r="C806" i="1" s="1"/>
  <c r="F807" i="1" s="1"/>
  <c r="M808" i="1" s="1"/>
  <c r="H1262" i="1"/>
  <c r="H1263" i="1"/>
  <c r="B1261" i="1"/>
  <c r="F1262" i="1"/>
  <c r="M1263" i="1" s="1"/>
  <c r="F1261" i="1"/>
  <c r="M1262" i="1" s="1"/>
  <c r="B1227" i="1"/>
  <c r="O1220" i="1"/>
  <c r="C1226" i="1" s="1"/>
  <c r="B1185" i="1"/>
  <c r="O1178" i="1"/>
  <c r="C1184" i="1" s="1"/>
  <c r="H1143" i="1"/>
  <c r="H1144" i="1"/>
  <c r="B1142" i="1"/>
  <c r="F1143" i="1"/>
  <c r="M1144" i="1" s="1"/>
  <c r="B1059" i="1"/>
  <c r="O1052" i="1"/>
  <c r="C1058" i="1" s="1"/>
  <c r="B1017" i="1"/>
  <c r="O1010" i="1"/>
  <c r="C1016" i="1" s="1"/>
  <c r="H968" i="1"/>
  <c r="H969" i="1"/>
  <c r="B967" i="1"/>
  <c r="F968" i="1"/>
  <c r="M969" i="1" s="1"/>
  <c r="F967" i="1"/>
  <c r="M968" i="1" s="1"/>
  <c r="K926" i="1" a="1"/>
  <c r="K926" i="1" s="1"/>
  <c r="O926" i="1" s="1" a="1"/>
  <c r="K884" i="1" a="1"/>
  <c r="K884" i="1" s="1"/>
  <c r="O884" i="1" s="1" a="1"/>
  <c r="H807" i="1"/>
  <c r="H808" i="1"/>
  <c r="B806" i="1"/>
  <c r="F806" i="1"/>
  <c r="M807" i="1" s="1"/>
  <c r="H758" i="1"/>
  <c r="B757" i="1"/>
  <c r="H759" i="1"/>
  <c r="F758" i="1"/>
  <c r="M759" i="1" s="1"/>
  <c r="F757" i="1"/>
  <c r="M758" i="1" s="1"/>
  <c r="H716" i="1"/>
  <c r="H717" i="1"/>
  <c r="B715" i="1"/>
  <c r="F715" i="1"/>
  <c r="M716" i="1" s="1"/>
  <c r="F716" i="1"/>
  <c r="M717" i="1" s="1"/>
  <c r="K674" i="1" a="1"/>
  <c r="K674" i="1" s="1"/>
  <c r="O674" i="1" s="1" a="1"/>
  <c r="H632" i="1"/>
  <c r="H633" i="1"/>
  <c r="B631" i="1"/>
  <c r="F632" i="1"/>
  <c r="M633" i="1" s="1"/>
  <c r="F631" i="1"/>
  <c r="M632" i="1" s="1"/>
  <c r="H590" i="1"/>
  <c r="K590" i="1" s="1" a="1"/>
  <c r="K590" i="1" s="1"/>
  <c r="H591" i="1"/>
  <c r="B589" i="1"/>
  <c r="F590" i="1"/>
  <c r="M591" i="1" s="1"/>
  <c r="F589" i="1"/>
  <c r="M590" i="1" s="1"/>
  <c r="F505" i="1"/>
  <c r="M506" i="1" s="1"/>
  <c r="F253" i="1"/>
  <c r="M254" i="1" s="1"/>
  <c r="F211" i="1"/>
  <c r="M212" i="1" s="1"/>
  <c r="F169" i="1"/>
  <c r="M170" i="1" s="1"/>
  <c r="B547" i="1"/>
  <c r="H548" i="1"/>
  <c r="H549" i="1"/>
  <c r="F548" i="1"/>
  <c r="M549" i="1" s="1"/>
  <c r="M548" i="1"/>
  <c r="F506" i="1"/>
  <c r="M507" i="1" s="1"/>
  <c r="H506" i="1"/>
  <c r="H507" i="1"/>
  <c r="B505" i="1"/>
  <c r="H422" i="1"/>
  <c r="K422" i="1" s="1" a="1"/>
  <c r="K422" i="1" s="1"/>
  <c r="H423" i="1"/>
  <c r="B421" i="1"/>
  <c r="F422" i="1"/>
  <c r="M423" i="1" s="1"/>
  <c r="M422" i="1"/>
  <c r="B379" i="1"/>
  <c r="H380" i="1"/>
  <c r="H381" i="1"/>
  <c r="F380" i="1"/>
  <c r="M381" i="1" s="1"/>
  <c r="M380" i="1"/>
  <c r="K338" i="1" a="1"/>
  <c r="K338" i="1" s="1"/>
  <c r="O338" i="1" s="1" a="1"/>
  <c r="B345" i="1" s="1"/>
  <c r="H296" i="1"/>
  <c r="H297" i="1"/>
  <c r="B295" i="1"/>
  <c r="F296" i="1"/>
  <c r="M297" i="1" s="1"/>
  <c r="M296" i="1"/>
  <c r="H254" i="1"/>
  <c r="H255" i="1"/>
  <c r="B253" i="1"/>
  <c r="F254" i="1"/>
  <c r="M255" i="1" s="1"/>
  <c r="B211" i="1"/>
  <c r="H212" i="1"/>
  <c r="H213" i="1"/>
  <c r="F212" i="1"/>
  <c r="M213" i="1" s="1"/>
  <c r="H170" i="1"/>
  <c r="B169" i="1"/>
  <c r="H171" i="1"/>
  <c r="F170" i="1"/>
  <c r="M171" i="1" s="1"/>
  <c r="H128" i="1"/>
  <c r="H129" i="1"/>
  <c r="B127" i="1"/>
  <c r="F128" i="1"/>
  <c r="M129" i="1" s="1"/>
  <c r="M128" i="1"/>
  <c r="K43" i="1" a="1"/>
  <c r="K43" i="1" s="1"/>
  <c r="F43" i="1"/>
  <c r="M44" i="1" s="1"/>
  <c r="M43" i="1"/>
  <c r="H49" i="2"/>
  <c r="K49" i="2" s="1" a="1"/>
  <c r="K49" i="2" s="1"/>
  <c r="O49" i="2" s="1" a="1"/>
  <c r="B48" i="2"/>
  <c r="H50" i="2"/>
  <c r="F49" i="2"/>
  <c r="M50" i="2" s="1"/>
  <c r="F48" i="2"/>
  <c r="M49" i="2" s="1"/>
  <c r="K968" i="1" l="1" a="1"/>
  <c r="K968" i="1" s="1"/>
  <c r="K548" i="1" a="1"/>
  <c r="K548" i="1" s="1"/>
  <c r="B849" i="1"/>
  <c r="O842" i="1"/>
  <c r="C848" i="1" s="1"/>
  <c r="I514" i="1"/>
  <c r="I513" i="1"/>
  <c r="O548" i="1" a="1"/>
  <c r="B555" i="1" s="1"/>
  <c r="K1304" i="1" a="1"/>
  <c r="K1304" i="1" s="1"/>
  <c r="O1304" i="1" s="1" a="1"/>
  <c r="K1262" i="1" a="1"/>
  <c r="K1262" i="1" s="1"/>
  <c r="O1262" i="1" s="1" a="1"/>
  <c r="K1143" i="1" a="1"/>
  <c r="K1143" i="1" s="1"/>
  <c r="O1143" i="1" s="1" a="1"/>
  <c r="O1143" i="1" s="1"/>
  <c r="I1185" i="1"/>
  <c r="I1186" i="1"/>
  <c r="I850" i="1"/>
  <c r="I849" i="1"/>
  <c r="K716" i="1" a="1"/>
  <c r="K716" i="1" s="1"/>
  <c r="O716" i="1" s="1" a="1"/>
  <c r="H1227" i="1"/>
  <c r="H1228" i="1"/>
  <c r="B1226" i="1"/>
  <c r="F1227" i="1"/>
  <c r="M1228" i="1" s="1"/>
  <c r="F1226" i="1"/>
  <c r="M1227" i="1" s="1"/>
  <c r="H1185" i="1"/>
  <c r="H1186" i="1"/>
  <c r="B1184" i="1"/>
  <c r="F1185" i="1"/>
  <c r="M1186" i="1" s="1"/>
  <c r="F1184" i="1"/>
  <c r="M1185" i="1" s="1"/>
  <c r="H1059" i="1"/>
  <c r="H1060" i="1"/>
  <c r="B1058" i="1"/>
  <c r="F1059" i="1"/>
  <c r="M1060" i="1" s="1"/>
  <c r="F1058" i="1"/>
  <c r="M1059" i="1" s="1"/>
  <c r="H1017" i="1"/>
  <c r="H1018" i="1"/>
  <c r="B1016" i="1"/>
  <c r="F1017" i="1"/>
  <c r="M1018" i="1" s="1"/>
  <c r="F1016" i="1"/>
  <c r="M1017" i="1" s="1"/>
  <c r="O968" i="1" a="1"/>
  <c r="B933" i="1"/>
  <c r="O926" i="1"/>
  <c r="C932" i="1" s="1"/>
  <c r="B891" i="1"/>
  <c r="O884" i="1"/>
  <c r="C890" i="1" s="1"/>
  <c r="H849" i="1"/>
  <c r="H850" i="1"/>
  <c r="B848" i="1"/>
  <c r="F849" i="1"/>
  <c r="M850" i="1" s="1"/>
  <c r="F848" i="1"/>
  <c r="M849" i="1" s="1"/>
  <c r="K758" i="1" a="1"/>
  <c r="K758" i="1" s="1"/>
  <c r="O758" i="1" s="1" a="1"/>
  <c r="B681" i="1"/>
  <c r="O674" i="1"/>
  <c r="C680" i="1" s="1"/>
  <c r="K632" i="1" a="1"/>
  <c r="K632" i="1" s="1"/>
  <c r="O632" i="1" s="1" a="1"/>
  <c r="O590" i="1" a="1"/>
  <c r="O422" i="1" a="1"/>
  <c r="K128" i="1" a="1"/>
  <c r="K128" i="1" s="1"/>
  <c r="O128" i="1" s="1" a="1"/>
  <c r="K506" i="1" a="1"/>
  <c r="K506" i="1" s="1"/>
  <c r="O506" i="1" s="1" a="1"/>
  <c r="B513" i="1" s="1"/>
  <c r="K380" i="1" a="1"/>
  <c r="K380" i="1" s="1"/>
  <c r="O380" i="1" s="1" a="1"/>
  <c r="B387" i="1" s="1"/>
  <c r="O338" i="1"/>
  <c r="C344" i="1" s="1"/>
  <c r="F344" i="1" s="1"/>
  <c r="M345" i="1" s="1"/>
  <c r="K296" i="1" a="1"/>
  <c r="K296" i="1" s="1"/>
  <c r="O296" i="1" s="1" a="1"/>
  <c r="B303" i="1" s="1"/>
  <c r="K254" i="1" a="1"/>
  <c r="K254" i="1" s="1"/>
  <c r="O254" i="1" s="1" a="1"/>
  <c r="B261" i="1" s="1"/>
  <c r="K212" i="1" a="1"/>
  <c r="K212" i="1" s="1"/>
  <c r="O212" i="1" s="1" a="1"/>
  <c r="B219" i="1" s="1"/>
  <c r="K170" i="1" a="1"/>
  <c r="K170" i="1" s="1"/>
  <c r="O170" i="1" s="1" a="1"/>
  <c r="B177" i="1" s="1"/>
  <c r="O43" i="1" a="1"/>
  <c r="O49" i="2"/>
  <c r="C55" i="2" s="1"/>
  <c r="B56" i="2"/>
  <c r="O548" i="1" l="1"/>
  <c r="C554" i="1" s="1"/>
  <c r="F554" i="1"/>
  <c r="M555" i="1" s="1"/>
  <c r="F555" i="1"/>
  <c r="M556" i="1" s="1"/>
  <c r="O128" i="1"/>
  <c r="C134" i="1" s="1"/>
  <c r="B135" i="1"/>
  <c r="O422" i="1"/>
  <c r="C428" i="1" s="1"/>
  <c r="B429" i="1"/>
  <c r="F345" i="1"/>
  <c r="M346" i="1" s="1"/>
  <c r="H555" i="1"/>
  <c r="B554" i="1"/>
  <c r="H556" i="1"/>
  <c r="H346" i="1"/>
  <c r="H345" i="1"/>
  <c r="B344" i="1"/>
  <c r="B1311" i="1"/>
  <c r="O1304" i="1"/>
  <c r="C1310" i="1" s="1"/>
  <c r="I1270" i="1"/>
  <c r="I1269" i="1"/>
  <c r="K1185" i="1" a="1"/>
  <c r="K1185" i="1" s="1"/>
  <c r="O1185" i="1" s="1" a="1"/>
  <c r="O1185" i="1" s="1"/>
  <c r="I1228" i="1"/>
  <c r="I1227" i="1"/>
  <c r="I1102" i="1"/>
  <c r="I1101" i="1"/>
  <c r="I1060" i="1"/>
  <c r="I1059" i="1"/>
  <c r="K849" i="1" a="1"/>
  <c r="K849" i="1" s="1"/>
  <c r="O849" i="1" s="1" a="1"/>
  <c r="O849" i="1" s="1"/>
  <c r="I892" i="1"/>
  <c r="I891" i="1"/>
  <c r="B1269" i="1"/>
  <c r="O1262" i="1"/>
  <c r="C1268" i="1" s="1"/>
  <c r="B975" i="1"/>
  <c r="O968" i="1"/>
  <c r="C974" i="1" s="1"/>
  <c r="H933" i="1"/>
  <c r="H934" i="1"/>
  <c r="B932" i="1"/>
  <c r="F933" i="1"/>
  <c r="M934" i="1" s="1"/>
  <c r="F932" i="1"/>
  <c r="M933" i="1" s="1"/>
  <c r="H891" i="1"/>
  <c r="H892" i="1"/>
  <c r="B890" i="1"/>
  <c r="F891" i="1"/>
  <c r="M892" i="1" s="1"/>
  <c r="F890" i="1"/>
  <c r="M891" i="1" s="1"/>
  <c r="B765" i="1"/>
  <c r="O758" i="1"/>
  <c r="C764" i="1" s="1"/>
  <c r="B723" i="1"/>
  <c r="O716" i="1"/>
  <c r="C722" i="1" s="1"/>
  <c r="H681" i="1"/>
  <c r="H682" i="1"/>
  <c r="B680" i="1"/>
  <c r="F681" i="1"/>
  <c r="M682" i="1" s="1"/>
  <c r="F680" i="1"/>
  <c r="M681" i="1" s="1"/>
  <c r="B639" i="1"/>
  <c r="O632" i="1"/>
  <c r="C638" i="1" s="1"/>
  <c r="B597" i="1"/>
  <c r="O590" i="1"/>
  <c r="C596" i="1" s="1"/>
  <c r="O506" i="1"/>
  <c r="C512" i="1" s="1"/>
  <c r="F512" i="1" s="1"/>
  <c r="M513" i="1" s="1"/>
  <c r="O380" i="1"/>
  <c r="C386" i="1" s="1"/>
  <c r="F387" i="1" s="1"/>
  <c r="M388" i="1" s="1"/>
  <c r="O296" i="1"/>
  <c r="C302" i="1" s="1"/>
  <c r="F303" i="1" s="1"/>
  <c r="M304" i="1" s="1"/>
  <c r="O254" i="1"/>
  <c r="C260" i="1" s="1"/>
  <c r="O212" i="1"/>
  <c r="C218" i="1" s="1"/>
  <c r="O170" i="1"/>
  <c r="C176" i="1" s="1"/>
  <c r="F177" i="1" s="1"/>
  <c r="M178" i="1" s="1"/>
  <c r="O43" i="1"/>
  <c r="B50" i="1"/>
  <c r="F56" i="2"/>
  <c r="M57" i="2" s="1"/>
  <c r="F55" i="2"/>
  <c r="M56" i="2" s="1"/>
  <c r="H57" i="2"/>
  <c r="H56" i="2"/>
  <c r="K56" i="2" s="1" a="1"/>
  <c r="K56" i="2" s="1"/>
  <c r="K1227" i="1" l="1" a="1"/>
  <c r="K1227" i="1" s="1"/>
  <c r="O1227" i="1" s="1" a="1"/>
  <c r="O1227" i="1" s="1"/>
  <c r="K1059" i="1" a="1"/>
  <c r="K1059" i="1" s="1"/>
  <c r="O1059" i="1" s="1" a="1"/>
  <c r="O1059" i="1" s="1"/>
  <c r="F428" i="1"/>
  <c r="M429" i="1" s="1"/>
  <c r="F429" i="1"/>
  <c r="M430" i="1" s="1"/>
  <c r="H219" i="1"/>
  <c r="S6" i="1"/>
  <c r="B218" i="1"/>
  <c r="H220" i="1"/>
  <c r="H262" i="1"/>
  <c r="H261" i="1"/>
  <c r="B260" i="1"/>
  <c r="F176" i="1"/>
  <c r="M177" i="1" s="1"/>
  <c r="F302" i="1"/>
  <c r="M303" i="1" s="1"/>
  <c r="H429" i="1"/>
  <c r="B428" i="1"/>
  <c r="H430" i="1"/>
  <c r="F219" i="1"/>
  <c r="M220" i="1" s="1"/>
  <c r="I388" i="1"/>
  <c r="I387" i="1"/>
  <c r="F218" i="1"/>
  <c r="M219" i="1" s="1"/>
  <c r="H388" i="1"/>
  <c r="H387" i="1"/>
  <c r="B386" i="1"/>
  <c r="H513" i="1"/>
  <c r="B512" i="1"/>
  <c r="H514" i="1"/>
  <c r="F513" i="1"/>
  <c r="M514" i="1" s="1"/>
  <c r="F135" i="1"/>
  <c r="M136" i="1" s="1"/>
  <c r="F134" i="1"/>
  <c r="M135" i="1" s="1"/>
  <c r="H135" i="1"/>
  <c r="B134" i="1"/>
  <c r="H136" i="1"/>
  <c r="K1101" i="1" a="1"/>
  <c r="K1101" i="1" s="1"/>
  <c r="O1101" i="1" s="1" a="1"/>
  <c r="O1101" i="1" s="1"/>
  <c r="F260" i="1"/>
  <c r="M261" i="1" s="1"/>
  <c r="H303" i="1"/>
  <c r="B302" i="1"/>
  <c r="H304" i="1"/>
  <c r="H177" i="1"/>
  <c r="S5" i="1"/>
  <c r="B176" i="1"/>
  <c r="H178" i="1"/>
  <c r="F386" i="1"/>
  <c r="M387" i="1" s="1"/>
  <c r="I598" i="1"/>
  <c r="I597" i="1"/>
  <c r="F261" i="1"/>
  <c r="M262" i="1" s="1"/>
  <c r="H1311" i="1"/>
  <c r="H1312" i="1"/>
  <c r="B1310" i="1"/>
  <c r="F1311" i="1"/>
  <c r="M1312" i="1" s="1"/>
  <c r="F1310" i="1"/>
  <c r="M1311" i="1" s="1"/>
  <c r="I976" i="1"/>
  <c r="I975" i="1"/>
  <c r="I934" i="1"/>
  <c r="I933" i="1"/>
  <c r="I724" i="1"/>
  <c r="I723" i="1"/>
  <c r="H1269" i="1"/>
  <c r="H1270" i="1"/>
  <c r="B1268" i="1"/>
  <c r="F1269" i="1"/>
  <c r="M1270" i="1" s="1"/>
  <c r="F1268" i="1"/>
  <c r="M1269" i="1" s="1"/>
  <c r="B974" i="1"/>
  <c r="H975" i="1"/>
  <c r="H976" i="1"/>
  <c r="F975" i="1"/>
  <c r="M976" i="1" s="1"/>
  <c r="F974" i="1"/>
  <c r="M975" i="1" s="1"/>
  <c r="K891" i="1" a="1"/>
  <c r="K891" i="1" s="1"/>
  <c r="O891" i="1" s="1" a="1"/>
  <c r="O891" i="1" s="1"/>
  <c r="H765" i="1"/>
  <c r="H766" i="1"/>
  <c r="B764" i="1"/>
  <c r="F765" i="1"/>
  <c r="M766" i="1" s="1"/>
  <c r="F764" i="1"/>
  <c r="M765" i="1" s="1"/>
  <c r="H723" i="1"/>
  <c r="H724" i="1"/>
  <c r="B722" i="1"/>
  <c r="F723" i="1"/>
  <c r="M724" i="1" s="1"/>
  <c r="F722" i="1"/>
  <c r="M723" i="1" s="1"/>
  <c r="H639" i="1"/>
  <c r="H640" i="1"/>
  <c r="B638" i="1"/>
  <c r="F639" i="1"/>
  <c r="M640" i="1" s="1"/>
  <c r="F638" i="1"/>
  <c r="M639" i="1" s="1"/>
  <c r="H597" i="1"/>
  <c r="H598" i="1"/>
  <c r="B596" i="1"/>
  <c r="F597" i="1"/>
  <c r="M598" i="1" s="1"/>
  <c r="F596" i="1"/>
  <c r="M597" i="1" s="1"/>
  <c r="C49" i="1"/>
  <c r="O56" i="2" a="1"/>
  <c r="F50" i="1" l="1"/>
  <c r="K387" i="1" a="1"/>
  <c r="K387" i="1" s="1"/>
  <c r="O387" i="1" s="1" a="1"/>
  <c r="O387" i="1" s="1"/>
  <c r="I346" i="1"/>
  <c r="I345" i="1"/>
  <c r="K219" i="1" a="1"/>
  <c r="K219" i="1" s="1"/>
  <c r="O219" i="1" s="1" a="1"/>
  <c r="O219" i="1" s="1"/>
  <c r="I262" i="1"/>
  <c r="I261" i="1"/>
  <c r="I430" i="1"/>
  <c r="I429" i="1"/>
  <c r="K429" i="1" s="1" a="1"/>
  <c r="K429" i="1" s="1"/>
  <c r="O429" i="1" s="1" a="1"/>
  <c r="O429" i="1" s="1"/>
  <c r="I220" i="1"/>
  <c r="I219" i="1"/>
  <c r="K135" i="1" a="1"/>
  <c r="K135" i="1" s="1"/>
  <c r="O135" i="1" s="1" a="1"/>
  <c r="O135" i="1" s="1"/>
  <c r="I304" i="1"/>
  <c r="K303" i="1" s="1" a="1"/>
  <c r="K303" i="1" s="1"/>
  <c r="O303" i="1" s="1" a="1"/>
  <c r="O303" i="1" s="1"/>
  <c r="I303" i="1"/>
  <c r="H51" i="1"/>
  <c r="H50" i="1"/>
  <c r="K933" i="1" a="1"/>
  <c r="K933" i="1" s="1"/>
  <c r="O933" i="1" s="1" a="1"/>
  <c r="O933" i="1" s="1"/>
  <c r="I178" i="1"/>
  <c r="I177" i="1"/>
  <c r="K177" i="1" s="1" a="1"/>
  <c r="K177" i="1" s="1"/>
  <c r="O177" i="1" s="1" a="1"/>
  <c r="O177" i="1" s="1"/>
  <c r="K513" i="1" a="1"/>
  <c r="K513" i="1" s="1"/>
  <c r="O513" i="1" s="1" a="1"/>
  <c r="O513" i="1" s="1"/>
  <c r="I1312" i="1"/>
  <c r="I1311" i="1"/>
  <c r="I471" i="1"/>
  <c r="I472" i="1"/>
  <c r="I556" i="1"/>
  <c r="I555" i="1"/>
  <c r="K555" i="1" s="1" a="1"/>
  <c r="K555" i="1" s="1"/>
  <c r="O555" i="1" s="1" a="1"/>
  <c r="O555" i="1" s="1"/>
  <c r="K1311" i="1" a="1"/>
  <c r="K1311" i="1" s="1"/>
  <c r="O1311" i="1" s="1" a="1"/>
  <c r="O1311" i="1" s="1"/>
  <c r="K1269" i="1" a="1"/>
  <c r="K1269" i="1" s="1"/>
  <c r="O1269" i="1" s="1" a="1"/>
  <c r="O1269" i="1" s="1"/>
  <c r="K975" i="1" a="1"/>
  <c r="K975" i="1" s="1"/>
  <c r="O975" i="1" s="1" a="1"/>
  <c r="O975" i="1" s="1"/>
  <c r="I1018" i="1"/>
  <c r="I1017" i="1"/>
  <c r="I808" i="1"/>
  <c r="I807" i="1"/>
  <c r="I766" i="1"/>
  <c r="I765" i="1"/>
  <c r="K765" i="1" s="1" a="1"/>
  <c r="K765" i="1" s="1"/>
  <c r="O765" i="1" s="1" a="1"/>
  <c r="O765" i="1" s="1"/>
  <c r="I682" i="1"/>
  <c r="I681" i="1"/>
  <c r="K597" i="1" a="1"/>
  <c r="K597" i="1" s="1"/>
  <c r="O597" i="1" s="1" a="1"/>
  <c r="O597" i="1" s="1"/>
  <c r="I639" i="1"/>
  <c r="I640" i="1"/>
  <c r="K723" i="1" a="1"/>
  <c r="K723" i="1" s="1"/>
  <c r="O723" i="1" s="1" a="1"/>
  <c r="O723" i="1" s="1"/>
  <c r="M51" i="1"/>
  <c r="F49" i="1"/>
  <c r="M50" i="1" s="1"/>
  <c r="B49" i="1"/>
  <c r="B63" i="2"/>
  <c r="O56" i="2"/>
  <c r="C62" i="2" s="1"/>
  <c r="K261" i="1" l="1" a="1"/>
  <c r="K261" i="1" s="1"/>
  <c r="O261" i="1" s="1" a="1"/>
  <c r="O261" i="1" s="1"/>
  <c r="K471" i="1" a="1"/>
  <c r="K471" i="1" s="1"/>
  <c r="O471" i="1" s="1" a="1"/>
  <c r="O471" i="1" s="1"/>
  <c r="K681" i="1" a="1"/>
  <c r="K681" i="1" s="1"/>
  <c r="O681" i="1" s="1" a="1"/>
  <c r="O681" i="1" s="1"/>
  <c r="I92" i="1"/>
  <c r="I93" i="1"/>
  <c r="K1017" i="1" a="1"/>
  <c r="K1017" i="1" s="1"/>
  <c r="O1017" i="1" s="1" a="1"/>
  <c r="O1017" i="1" s="1"/>
  <c r="K345" i="1" a="1"/>
  <c r="K345" i="1" s="1"/>
  <c r="O345" i="1" s="1" a="1"/>
  <c r="O345" i="1" s="1"/>
  <c r="K807" i="1" a="1"/>
  <c r="K807" i="1" s="1"/>
  <c r="O807" i="1" s="1" a="1"/>
  <c r="O807" i="1" s="1"/>
  <c r="K639" i="1" a="1"/>
  <c r="K639" i="1" s="1"/>
  <c r="O639" i="1" s="1" a="1"/>
  <c r="O639" i="1" s="1"/>
  <c r="K50" i="1" a="1"/>
  <c r="K50" i="1" s="1"/>
  <c r="O50" i="1" s="1" a="1"/>
  <c r="O50" i="1" s="1"/>
  <c r="H63" i="2"/>
  <c r="K63" i="2" s="1" a="1"/>
  <c r="K63" i="2" s="1"/>
  <c r="O63" i="2" s="1" a="1"/>
  <c r="H64" i="2"/>
  <c r="B62" i="2"/>
  <c r="F63" i="2"/>
  <c r="M64" i="2" s="1"/>
  <c r="F62" i="2"/>
  <c r="M63" i="2" s="1"/>
  <c r="K92" i="1" l="1" a="1"/>
  <c r="K92" i="1" s="1"/>
  <c r="O92" i="1" s="1" a="1"/>
  <c r="O92" i="1" s="1"/>
  <c r="B70" i="2"/>
  <c r="O63" i="2"/>
  <c r="C69" i="2" s="1"/>
  <c r="F70" i="2" l="1"/>
  <c r="M71" i="2" s="1"/>
  <c r="F69" i="2"/>
  <c r="M70" i="2" s="1"/>
  <c r="H70" i="2"/>
  <c r="H71" i="2"/>
  <c r="B69" i="2"/>
  <c r="K70" i="2" l="1" a="1"/>
  <c r="K70" i="2" s="1"/>
  <c r="O70" i="2" s="1" a="1"/>
  <c r="B77" i="2" l="1"/>
  <c r="O70" i="2"/>
  <c r="C76" i="2" s="1"/>
  <c r="F77" i="2" l="1"/>
  <c r="M78" i="2" s="1"/>
  <c r="F76" i="2"/>
  <c r="M77" i="2" s="1"/>
  <c r="H77" i="2"/>
  <c r="K77" i="2" s="1" a="1"/>
  <c r="K77" i="2" s="1"/>
  <c r="O77" i="2" s="1" a="1"/>
  <c r="H78" i="2"/>
  <c r="B76" i="2"/>
  <c r="B84" i="2" l="1"/>
  <c r="O77" i="2"/>
  <c r="C83" i="2" s="1"/>
  <c r="H84" i="2" l="1"/>
  <c r="H85" i="2"/>
  <c r="B83" i="2"/>
  <c r="F84" i="2"/>
  <c r="M85" i="2" s="1"/>
  <c r="F83" i="2"/>
  <c r="M84" i="2" s="1"/>
  <c r="K84" i="2" l="1" a="1"/>
  <c r="K84" i="2" s="1"/>
  <c r="O84" i="2" s="1" a="1"/>
  <c r="B91" i="2" l="1"/>
  <c r="O84" i="2"/>
  <c r="C90" i="2" s="1"/>
  <c r="H91" i="2" l="1"/>
  <c r="H92" i="2"/>
  <c r="B90" i="2"/>
  <c r="F91" i="2"/>
  <c r="M92" i="2" s="1"/>
  <c r="F90" i="2"/>
  <c r="M91" i="2" s="1"/>
  <c r="K91" i="2" l="1" a="1"/>
  <c r="K91" i="2" s="1"/>
  <c r="O91" i="2" s="1" a="1"/>
  <c r="O9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<sst xmlns="http://schemas.openxmlformats.org/spreadsheetml/2006/main" count="2986" uniqueCount="29">
  <si>
    <t>a</t>
  </si>
  <si>
    <t>b</t>
  </si>
  <si>
    <t>c</t>
  </si>
  <si>
    <t>th 4</t>
  </si>
  <si>
    <t>rad</t>
  </si>
  <si>
    <t>th 2</t>
  </si>
  <si>
    <t>Iteracion 1</t>
  </si>
  <si>
    <t>th 3</t>
  </si>
  <si>
    <t>th 1</t>
  </si>
  <si>
    <t>d</t>
  </si>
  <si>
    <t>f1</t>
  </si>
  <si>
    <t>f2</t>
  </si>
  <si>
    <t>Jacobiano</t>
  </si>
  <si>
    <t>J-1</t>
  </si>
  <si>
    <t>fi</t>
  </si>
  <si>
    <t>D=J-1 fi</t>
  </si>
  <si>
    <t>Iteracion 2</t>
  </si>
  <si>
    <t>Iteracion 3</t>
  </si>
  <si>
    <t>Iteracion 4</t>
  </si>
  <si>
    <t>Iteracion 5</t>
  </si>
  <si>
    <t>Iteracion 6</t>
  </si>
  <si>
    <t>Iteracion 7</t>
  </si>
  <si>
    <t>Iteracion 8</t>
  </si>
  <si>
    <t>Iteracion 9</t>
  </si>
  <si>
    <t>Iteracion 10</t>
  </si>
  <si>
    <t>Iteracion 11</t>
  </si>
  <si>
    <t>Iteracion 12</t>
  </si>
  <si>
    <t>Eje x</t>
  </si>
  <si>
    <t>Eje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</si>
</sst>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6" borderId="0" xfId="0" applyFont="1" applyFill="1" applyBorder="1"/>
    <xf numFmtId="0" fontId="0" fillId="6" borderId="0" xfId="0" applyFill="1" applyBorder="1"/>
    <xf numFmtId="0" fontId="0" fillId="6" borderId="0" xfId="0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2" fillId="0" borderId="0" xfId="0" applyFont="1"/>
    <xf numFmtId="0" fontId="0" fillId="0" borderId="0" xfId="0" applyFill="1"/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theta3 vs theta2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Hoja1!$S$1</c:f>
              <c:strCache>
                <c:ptCount val="1"/>
                <c:pt idx="0">
                  <c:v>Eje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Hoja1!$R$2:$R$32</c:f>
              <c:numCache>
                <c:formatCode>General</c:formatCode>
                <c:ptCount val="31"/>
                <c:pt idx="0">
                  <c:v>0</c:v>
                </c:pt>
                <c:pt idx="1">
                  <c:v>0.20943951023931953</c:v>
                </c:pt>
                <c:pt idx="2">
                  <c:v>0.41887902047863906</c:v>
                </c:pt>
                <c:pt idx="3">
                  <c:v>0.62831853071795862</c:v>
                </c:pt>
                <c:pt idx="4">
                  <c:v>0.83775804095727813</c:v>
                </c:pt>
                <c:pt idx="5">
                  <c:v>1.0471975511965976</c:v>
                </c:pt>
                <c:pt idx="6">
                  <c:v>1.2566370614359172</c:v>
                </c:pt>
                <c:pt idx="7">
                  <c:v>1.4660765716752369</c:v>
                </c:pt>
                <c:pt idx="8">
                  <c:v>1.6755160819145563</c:v>
                </c:pt>
                <c:pt idx="9">
                  <c:v>1.8849555921538759</c:v>
                </c:pt>
                <c:pt idx="10">
                  <c:v>2.0943951023931953</c:v>
                </c:pt>
                <c:pt idx="11">
                  <c:v>2.3038346126325151</c:v>
                </c:pt>
                <c:pt idx="12">
                  <c:v>2.5132741228718345</c:v>
                </c:pt>
                <c:pt idx="13">
                  <c:v>2.7227136331111539</c:v>
                </c:pt>
                <c:pt idx="14">
                  <c:v>2.9321531433504737</c:v>
                </c:pt>
                <c:pt idx="15">
                  <c:v>3.1415926535897931</c:v>
                </c:pt>
                <c:pt idx="16">
                  <c:v>3.3510321638291125</c:v>
                </c:pt>
                <c:pt idx="17">
                  <c:v>3.5604716740684319</c:v>
                </c:pt>
                <c:pt idx="18">
                  <c:v>3.7699111843077517</c:v>
                </c:pt>
                <c:pt idx="19">
                  <c:v>3.9793506945470711</c:v>
                </c:pt>
                <c:pt idx="20">
                  <c:v>4.1887902047863905</c:v>
                </c:pt>
                <c:pt idx="21">
                  <c:v>4.3982297150257104</c:v>
                </c:pt>
                <c:pt idx="22">
                  <c:v>4.6076692252650302</c:v>
                </c:pt>
                <c:pt idx="23">
                  <c:v>4.8171087355043491</c:v>
                </c:pt>
                <c:pt idx="24">
                  <c:v>5.026548245743669</c:v>
                </c:pt>
                <c:pt idx="25">
                  <c:v>5.2359877559829888</c:v>
                </c:pt>
                <c:pt idx="26">
                  <c:v>5.4454272662223078</c:v>
                </c:pt>
                <c:pt idx="27">
                  <c:v>5.6548667764616276</c:v>
                </c:pt>
                <c:pt idx="28">
                  <c:v>5.8643062867009474</c:v>
                </c:pt>
                <c:pt idx="29">
                  <c:v>6.0737457969402664</c:v>
                </c:pt>
                <c:pt idx="30">
                  <c:v>6.2831853071795862</c:v>
                </c:pt>
              </c:numCache>
            </c:numRef>
          </c:xVal>
          <c:yVal>
            <c:numRef>
              <c:f>Hoja1!$S$2:$S$32</c:f>
              <c:numCache>
                <c:formatCode>General</c:formatCode>
                <c:ptCount val="31"/>
                <c:pt idx="0">
                  <c:v>2.7118172222852657</c:v>
                </c:pt>
                <c:pt idx="1">
                  <c:v>2.8235470052312941</c:v>
                </c:pt>
                <c:pt idx="2">
                  <c:v>2.9266428931893178</c:v>
                </c:pt>
                <c:pt idx="3">
                  <c:v>3.0185080635798185</c:v>
                </c:pt>
                <c:pt idx="4">
                  <c:v>3.0964831025275901</c:v>
                </c:pt>
                <c:pt idx="5">
                  <c:v>3.1579394168268875</c:v>
                </c:pt>
                <c:pt idx="6">
                  <c:v>3.2004882876715803</c:v>
                </c:pt>
                <c:pt idx="7">
                  <c:v>3.2222744398168048</c:v>
                </c:pt>
                <c:pt idx="8">
                  <c:v>3.2222744398168048</c:v>
                </c:pt>
                <c:pt idx="9">
                  <c:v>3.2004882876715803</c:v>
                </c:pt>
                <c:pt idx="10">
                  <c:v>3.1579394168268875</c:v>
                </c:pt>
                <c:pt idx="11">
                  <c:v>3.0964831025275901</c:v>
                </c:pt>
                <c:pt idx="12">
                  <c:v>3.0185080635798189</c:v>
                </c:pt>
                <c:pt idx="13">
                  <c:v>2.9266428931893183</c:v>
                </c:pt>
                <c:pt idx="14">
                  <c:v>2.8235470052312941</c:v>
                </c:pt>
                <c:pt idx="15">
                  <c:v>2.7118172222852657</c:v>
                </c:pt>
                <c:pt idx="16">
                  <c:v>2.5940127461110758</c:v>
                </c:pt>
                <c:pt idx="17">
                  <c:v>2.4728053560204146</c:v>
                </c:pt>
                <c:pt idx="18">
                  <c:v>2.3512999034169497</c:v>
                </c:pt>
                <c:pt idx="19">
                  <c:v>2.2336504919257032</c:v>
                </c:pt>
                <c:pt idx="20">
                  <c:v>2.1262157235567369</c:v>
                </c:pt>
                <c:pt idx="21">
                  <c:v>2.0394108685885737</c:v>
                </c:pt>
                <c:pt idx="22">
                  <c:v>1.9887353229993303</c:v>
                </c:pt>
                <c:pt idx="23">
                  <c:v>1.9887353229993303</c:v>
                </c:pt>
                <c:pt idx="24">
                  <c:v>2.0394108685885737</c:v>
                </c:pt>
                <c:pt idx="25">
                  <c:v>2.1262157235567365</c:v>
                </c:pt>
                <c:pt idx="26">
                  <c:v>2.2336504919257028</c:v>
                </c:pt>
                <c:pt idx="27">
                  <c:v>2.3512999034169493</c:v>
                </c:pt>
                <c:pt idx="28">
                  <c:v>2.4728053560204146</c:v>
                </c:pt>
                <c:pt idx="29">
                  <c:v>2.5940127461110754</c:v>
                </c:pt>
                <c:pt idx="30">
                  <c:v>2.7118172222852652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8A-4B13-AE69-949574A28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002528"/>
        <c:axId val="1386002944"/>
      </c:scatterChart>
      <c:valAx>
        <c:axId val="138600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theta2 [rad]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02944"/>
        <c:crosses val="autoZero"/>
        <c:crossBetween val="midCat"/>
      </c:valAx>
      <c:valAx>
        <c:axId val="138600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theta3</a:t>
                </a:r>
                <a:r>
                  <a:rPr lang="en-CA" baseline="0"/>
                  <a:t> [rad]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0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 vs theta</a:t>
            </a:r>
            <a:r>
              <a:rPr lang="en-US" baseline="0"/>
              <a:t>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Hoja1!$W$1</c:f>
              <c:strCache>
                <c:ptCount val="1"/>
                <c:pt idx="0">
                  <c:v>Eje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Hoja1!$V$2:$V$32</c:f>
              <c:numCache>
                <c:formatCode>General</c:formatCode>
                <c:ptCount val="31"/>
                <c:pt idx="0">
                  <c:v>0</c:v>
                </c:pt>
                <c:pt idx="1">
                  <c:v>0.20943951023931953</c:v>
                </c:pt>
                <c:pt idx="2">
                  <c:v>0.41887902047863906</c:v>
                </c:pt>
                <c:pt idx="3">
                  <c:v>0.62831853071795862</c:v>
                </c:pt>
                <c:pt idx="4">
                  <c:v>0.83775804095727813</c:v>
                </c:pt>
                <c:pt idx="5">
                  <c:v>1.0471975511965976</c:v>
                </c:pt>
                <c:pt idx="6">
                  <c:v>1.2566370614359172</c:v>
                </c:pt>
                <c:pt idx="7">
                  <c:v>1.4660765716752369</c:v>
                </c:pt>
                <c:pt idx="8">
                  <c:v>1.6755160819145563</c:v>
                </c:pt>
                <c:pt idx="9">
                  <c:v>1.8849555921538759</c:v>
                </c:pt>
                <c:pt idx="10">
                  <c:v>2.0943951023931953</c:v>
                </c:pt>
                <c:pt idx="11">
                  <c:v>2.3038346126325151</c:v>
                </c:pt>
                <c:pt idx="12">
                  <c:v>2.5132741228718345</c:v>
                </c:pt>
                <c:pt idx="13">
                  <c:v>2.7227136331111539</c:v>
                </c:pt>
                <c:pt idx="14">
                  <c:v>2.9321531433504737</c:v>
                </c:pt>
                <c:pt idx="15">
                  <c:v>3.1415926535897931</c:v>
                </c:pt>
                <c:pt idx="16">
                  <c:v>3.3510321638291125</c:v>
                </c:pt>
                <c:pt idx="17">
                  <c:v>3.5604716740684319</c:v>
                </c:pt>
                <c:pt idx="18">
                  <c:v>3.7699111843077517</c:v>
                </c:pt>
                <c:pt idx="19">
                  <c:v>3.9793506945470711</c:v>
                </c:pt>
                <c:pt idx="20">
                  <c:v>4.1887902047863905</c:v>
                </c:pt>
                <c:pt idx="21">
                  <c:v>4.3982297150257104</c:v>
                </c:pt>
                <c:pt idx="22">
                  <c:v>4.6076692252650302</c:v>
                </c:pt>
                <c:pt idx="23">
                  <c:v>4.8171087355043491</c:v>
                </c:pt>
                <c:pt idx="24">
                  <c:v>5.026548245743669</c:v>
                </c:pt>
                <c:pt idx="25">
                  <c:v>5.2359877559829888</c:v>
                </c:pt>
                <c:pt idx="26">
                  <c:v>5.4454272662223078</c:v>
                </c:pt>
                <c:pt idx="27">
                  <c:v>5.6548667764616276</c:v>
                </c:pt>
                <c:pt idx="28">
                  <c:v>5.8643062867009474</c:v>
                </c:pt>
                <c:pt idx="29">
                  <c:v>6.0737457969402664</c:v>
                </c:pt>
                <c:pt idx="30">
                  <c:v>6.2831853071795862</c:v>
                </c:pt>
              </c:numCache>
            </c:numRef>
          </c:xVal>
          <c:yVal>
            <c:numRef>
              <c:f>Hoja1!$W$2:$W$32</c:f>
              <c:numCache>
                <c:formatCode>General</c:formatCode>
                <c:ptCount val="31"/>
                <c:pt idx="0">
                  <c:v>-2.4543560573178573</c:v>
                </c:pt>
                <c:pt idx="1">
                  <c:v>-2.7646474692066514</c:v>
                </c:pt>
                <c:pt idx="2">
                  <c:v>-3.1212862958517733</c:v>
                </c:pt>
                <c:pt idx="3">
                  <c:v>-3.5275569182465283</c:v>
                </c:pt>
                <c:pt idx="4">
                  <c:v>-3.9865046012377161</c:v>
                </c:pt>
                <c:pt idx="5">
                  <c:v>-4.4991983678460397</c:v>
                </c:pt>
                <c:pt idx="6">
                  <c:v>-5.0625459373481911</c:v>
                </c:pt>
                <c:pt idx="7">
                  <c:v>-5.6668965495746662</c:v>
                </c:pt>
                <c:pt idx="8">
                  <c:v>-6.294067329180586</c:v>
                </c:pt>
                <c:pt idx="9">
                  <c:v>-6.9166479035978758</c:v>
                </c:pt>
                <c:pt idx="10">
                  <c:v>-7.4991983678460388</c:v>
                </c:pt>
                <c:pt idx="11">
                  <c:v>-8.0012882393908669</c:v>
                </c:pt>
                <c:pt idx="12">
                  <c:v>-8.3816588844962112</c:v>
                </c:pt>
                <c:pt idx="13">
                  <c:v>-8.6025590417073783</c:v>
                </c:pt>
                <c:pt idx="14">
                  <c:v>-8.6335330736094846</c:v>
                </c:pt>
                <c:pt idx="15">
                  <c:v>-8.4543560573178578</c:v>
                </c:pt>
                <c:pt idx="16">
                  <c:v>-8.0571646565602215</c:v>
                </c:pt>
                <c:pt idx="17">
                  <c:v>-7.4480813362256075</c:v>
                </c:pt>
                <c:pt idx="18">
                  <c:v>-6.6488749598322041</c:v>
                </c:pt>
                <c:pt idx="19">
                  <c:v>-5.6996065384674734</c:v>
                </c:pt>
                <c:pt idx="20">
                  <c:v>-4.6637982010532566</c:v>
                </c:pt>
                <c:pt idx="21">
                  <c:v>-3.6369548201158186</c:v>
                </c:pt>
                <c:pt idx="22">
                  <c:v>-2.7488522231488379</c:v>
                </c:pt>
                <c:pt idx="23">
                  <c:v>-2.121681443542919</c:v>
                </c:pt>
                <c:pt idx="24">
                  <c:v>-1.7828528538661332</c:v>
                </c:pt>
                <c:pt idx="25">
                  <c:v>-1.663798201053253</c:v>
                </c:pt>
                <c:pt idx="26">
                  <c:v>-1.6848229003143222</c:v>
                </c:pt>
                <c:pt idx="27">
                  <c:v>-1.7947729935825194</c:v>
                </c:pt>
                <c:pt idx="28">
                  <c:v>-1.9668085903700008</c:v>
                </c:pt>
                <c:pt idx="29">
                  <c:v>-2.1882790521573878</c:v>
                </c:pt>
                <c:pt idx="30">
                  <c:v>-2.4543560573178569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48-44D7-BE2B-B9A12EDF4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898704"/>
        <c:axId val="1026899952"/>
      </c:scatterChart>
      <c:valAx>
        <c:axId val="102689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theta2</a:t>
                </a:r>
                <a:r>
                  <a:rPr lang="en-CA" baseline="0"/>
                  <a:t> [rad]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899952"/>
        <c:crosses val="autoZero"/>
        <c:crossBetween val="midCat"/>
      </c:valAx>
      <c:valAx>
        <c:axId val="10268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89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640079</xdr:colOff>
      <xdr:row>0</xdr:row>
      <xdr:rowOff>53340</xdr:rowOff>
    </xdr:from>
    <xdr:to>
      <xdr:col>11</xdr:col>
      <xdr:colOff>265612</xdr:colOff>
      <xdr:row>10</xdr:row>
      <xdr:rowOff>110016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009D78-491F-4425-84CB-452F1DDB4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19" y="53340"/>
          <a:ext cx="3307081" cy="1885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502131</xdr:colOff>
      <xdr:row>1</xdr:row>
      <xdr:rowOff>137844</xdr:rowOff>
    </xdr:from>
    <xdr:to>
      <xdr:col>31</xdr:col>
      <xdr:colOff>319251</xdr:colOff>
      <xdr:row>16</xdr:row>
      <xdr:rowOff>137844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CC70CF3-B2FC-4BB2-9064-24032EEAA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500529</xdr:colOff>
      <xdr:row>17</xdr:row>
      <xdr:rowOff>122518</xdr:rowOff>
    </xdr:from>
    <xdr:to>
      <xdr:col>31</xdr:col>
      <xdr:colOff>500529</xdr:colOff>
      <xdr:row>32</xdr:row>
      <xdr:rowOff>64247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35EA73-EE68-433E-80CC-92C628BDE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640079</xdr:colOff>
      <xdr:row>0</xdr:row>
      <xdr:rowOff>53340</xdr:rowOff>
    </xdr:from>
    <xdr:to>
      <xdr:col>9</xdr:col>
      <xdr:colOff>777240</xdr:colOff>
      <xdr:row>10</xdr:row>
      <xdr:rowOff>110016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753A57-D8C6-477F-9B0A-B7435985A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19" y="53340"/>
          <a:ext cx="3307081" cy="1885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0D5B-DA7B-4FF3-B0E4-5A0728FC92F2}">
  <dimension ref="A1:W1312"/>
  <sheetViews>
    <sheetView tabSelected="1" topLeftCell="F17" zoomScale="85" zoomScaleNormal="85" workbookViewId="0">
      <selection activeCell="Y21" sqref="Y21"/>
    </sheetView>
  </sheetViews>
  <sheetFormatPr defaultColWidth="10.90625" defaultRowHeight="14.5" x14ac:dyDescent="0.35"/>
  <cols>
    <col min="4" max="4" width="2.36328125" customWidth="1"/>
    <col min="6" max="6" width="13.54296875" bestFit="1" customWidth="1"/>
    <col min="7" max="7" width="2.81640625" customWidth="1"/>
    <col min="10" max="10" width="2.81640625" customWidth="1"/>
    <col min="14" max="14" width="2.36328125" customWidth="1"/>
  </cols>
  <sheetData>
    <row r="1" spans="1:23" x14ac:dyDescent="0.35">
      <c r="R1" s="15" t="s">
        <v>27</v>
      </c>
      <c r="S1" s="15" t="s">
        <v>28</v>
      </c>
      <c r="V1" s="15" t="s">
        <v>27</v>
      </c>
      <c r="W1" s="15" t="s">
        <v>28</v>
      </c>
    </row>
    <row r="2" spans="1:23" x14ac:dyDescent="0.35">
      <c r="A2" s="2" t="s">
        <v>0</v>
      </c>
      <c r="B2" s="3">
        <v>3</v>
      </c>
      <c r="C2" s="4"/>
      <c r="Q2">
        <v>0</v>
      </c>
      <c r="R2" s="3">
        <f>Q2*PI()/180</f>
        <v>0</v>
      </c>
      <c r="S2" s="3">
        <f>C49</f>
        <v>2.7118172222852657</v>
      </c>
      <c r="U2">
        <v>0</v>
      </c>
      <c r="V2" s="3">
        <f>U2*PI()/180</f>
        <v>0</v>
      </c>
      <c r="W2" s="3">
        <f>B50</f>
        <v>-2.4543560573178573</v>
      </c>
    </row>
    <row r="3" spans="1:23" x14ac:dyDescent="0.35">
      <c r="A3" s="2" t="s">
        <v>1</v>
      </c>
      <c r="B3" s="3">
        <v>6</v>
      </c>
      <c r="C3" s="4"/>
      <c r="Q3">
        <v>12</v>
      </c>
      <c r="R3" s="3">
        <f t="shared" ref="R3:R32" si="0">Q3*PI()/180</f>
        <v>0.20943951023931953</v>
      </c>
      <c r="S3" s="3">
        <f>C91</f>
        <v>2.8235470052312941</v>
      </c>
      <c r="U3">
        <v>12</v>
      </c>
      <c r="V3" s="3">
        <f t="shared" ref="V3:V32" si="1">U3*PI()/180</f>
        <v>0.20943951023931953</v>
      </c>
      <c r="W3" s="3">
        <f>B92</f>
        <v>-2.7646474692066514</v>
      </c>
    </row>
    <row r="4" spans="1:23" x14ac:dyDescent="0.35">
      <c r="A4" s="2" t="s">
        <v>2</v>
      </c>
      <c r="B4" s="3">
        <v>2.5</v>
      </c>
      <c r="C4" s="2" t="s">
        <v>4</v>
      </c>
      <c r="Q4">
        <v>24</v>
      </c>
      <c r="R4" s="3">
        <f t="shared" si="0"/>
        <v>0.41887902047863906</v>
      </c>
      <c r="S4" s="3">
        <f>C134</f>
        <v>2.9266428931893178</v>
      </c>
      <c r="U4">
        <v>24</v>
      </c>
      <c r="V4" s="3">
        <f t="shared" si="1"/>
        <v>0.41887902047863906</v>
      </c>
      <c r="W4" s="3">
        <f>B135</f>
        <v>-3.1212862958517733</v>
      </c>
    </row>
    <row r="5" spans="1:23" x14ac:dyDescent="0.35">
      <c r="A5" s="2" t="s">
        <v>3</v>
      </c>
      <c r="B5" s="3">
        <v>90</v>
      </c>
      <c r="C5" s="3">
        <f>B5*PI()/180</f>
        <v>1.5707963267948966</v>
      </c>
      <c r="Q5">
        <v>36</v>
      </c>
      <c r="R5" s="3">
        <f t="shared" si="0"/>
        <v>0.62831853071795862</v>
      </c>
      <c r="S5" s="3">
        <f>C176</f>
        <v>3.0185080635798185</v>
      </c>
      <c r="U5">
        <v>36</v>
      </c>
      <c r="V5" s="3">
        <f t="shared" si="1"/>
        <v>0.62831853071795862</v>
      </c>
      <c r="W5" s="3">
        <f>B177</f>
        <v>-3.5275569182465283</v>
      </c>
    </row>
    <row r="6" spans="1:23" x14ac:dyDescent="0.35">
      <c r="Q6">
        <v>48</v>
      </c>
      <c r="R6" s="3">
        <f t="shared" si="0"/>
        <v>0.83775804095727813</v>
      </c>
      <c r="S6" s="3">
        <f>C218</f>
        <v>3.0964831025275901</v>
      </c>
      <c r="U6">
        <v>48</v>
      </c>
      <c r="V6" s="3">
        <f t="shared" si="1"/>
        <v>0.83775804095727813</v>
      </c>
      <c r="W6" s="3">
        <f>B219</f>
        <v>-3.9865046012377161</v>
      </c>
    </row>
    <row r="7" spans="1:23" x14ac:dyDescent="0.35">
      <c r="A7" s="2" t="s">
        <v>8</v>
      </c>
      <c r="B7" s="5">
        <v>0</v>
      </c>
      <c r="Q7">
        <v>60</v>
      </c>
      <c r="R7" s="3">
        <f t="shared" si="0"/>
        <v>1.0471975511965976</v>
      </c>
      <c r="S7" s="3">
        <f>C260</f>
        <v>3.1579394168268875</v>
      </c>
      <c r="U7">
        <v>60</v>
      </c>
      <c r="V7" s="3">
        <f t="shared" si="1"/>
        <v>1.0471975511965976</v>
      </c>
      <c r="W7" s="3">
        <f>B261</f>
        <v>-4.4991983678460397</v>
      </c>
    </row>
    <row r="8" spans="1:23" x14ac:dyDescent="0.35">
      <c r="P8" s="16"/>
      <c r="Q8">
        <v>72</v>
      </c>
      <c r="R8" s="3">
        <f t="shared" si="0"/>
        <v>1.2566370614359172</v>
      </c>
      <c r="S8" s="3">
        <f>C302</f>
        <v>3.2004882876715803</v>
      </c>
      <c r="U8">
        <v>72</v>
      </c>
      <c r="V8" s="3">
        <f t="shared" si="1"/>
        <v>1.2566370614359172</v>
      </c>
      <c r="W8" s="3">
        <f>B303</f>
        <v>-5.0625459373481911</v>
      </c>
    </row>
    <row r="9" spans="1:23" x14ac:dyDescent="0.35">
      <c r="Q9">
        <v>84</v>
      </c>
      <c r="R9" s="3">
        <f t="shared" si="0"/>
        <v>1.4660765716752369</v>
      </c>
      <c r="S9" s="3">
        <f>C344</f>
        <v>3.2222744398168048</v>
      </c>
      <c r="U9">
        <v>84</v>
      </c>
      <c r="V9" s="3">
        <f t="shared" si="1"/>
        <v>1.4660765716752369</v>
      </c>
      <c r="W9" s="3">
        <f>B345</f>
        <v>-5.6668965495746662</v>
      </c>
    </row>
    <row r="10" spans="1:23" x14ac:dyDescent="0.35">
      <c r="Q10">
        <v>96</v>
      </c>
      <c r="R10" s="3">
        <f t="shared" si="0"/>
        <v>1.6755160819145563</v>
      </c>
      <c r="S10" s="3">
        <f>C386</f>
        <v>3.2222744398168048</v>
      </c>
      <c r="U10">
        <v>96</v>
      </c>
      <c r="V10" s="3">
        <f t="shared" si="1"/>
        <v>1.6755160819145563</v>
      </c>
      <c r="W10" s="3">
        <f>B387</f>
        <v>-6.294067329180586</v>
      </c>
    </row>
    <row r="11" spans="1:23" x14ac:dyDescent="0.35">
      <c r="A11" s="9" t="s">
        <v>6</v>
      </c>
      <c r="C11" s="2" t="s">
        <v>4</v>
      </c>
      <c r="Q11">
        <v>108</v>
      </c>
      <c r="R11" s="3">
        <f t="shared" si="0"/>
        <v>1.8849555921538759</v>
      </c>
      <c r="S11" s="3">
        <f>C428</f>
        <v>3.2004882876715803</v>
      </c>
      <c r="U11">
        <v>108</v>
      </c>
      <c r="V11" s="3">
        <f t="shared" si="1"/>
        <v>1.8849555921538759</v>
      </c>
      <c r="W11" s="3">
        <f>B429</f>
        <v>-6.9166479035978758</v>
      </c>
    </row>
    <row r="12" spans="1:23" x14ac:dyDescent="0.35">
      <c r="A12" s="2" t="s">
        <v>5</v>
      </c>
      <c r="B12" s="6">
        <v>0</v>
      </c>
      <c r="C12" s="3">
        <f>B12*PI()/180</f>
        <v>0</v>
      </c>
      <c r="Q12">
        <v>120</v>
      </c>
      <c r="R12" s="3">
        <f t="shared" si="0"/>
        <v>2.0943951023931953</v>
      </c>
      <c r="S12" s="3">
        <f>C470</f>
        <v>3.1579394168268875</v>
      </c>
      <c r="U12">
        <v>120</v>
      </c>
      <c r="V12" s="3">
        <f t="shared" si="1"/>
        <v>2.0943951023931953</v>
      </c>
      <c r="W12" s="3">
        <f>B471</f>
        <v>-7.4991983678460388</v>
      </c>
    </row>
    <row r="13" spans="1:23" x14ac:dyDescent="0.35">
      <c r="A13" s="4"/>
      <c r="B13" s="4"/>
      <c r="C13" s="1"/>
      <c r="H13" s="18" t="s">
        <v>12</v>
      </c>
      <c r="I13" s="18"/>
      <c r="J13" s="4"/>
      <c r="K13" s="18" t="s">
        <v>13</v>
      </c>
      <c r="L13" s="18"/>
      <c r="M13" s="19" t="s">
        <v>14</v>
      </c>
      <c r="O13" s="21" t="s">
        <v>15</v>
      </c>
      <c r="Q13">
        <v>132</v>
      </c>
      <c r="R13" s="3">
        <f t="shared" si="0"/>
        <v>2.3038346126325151</v>
      </c>
      <c r="S13" s="3">
        <f>C512</f>
        <v>3.0964831025275901</v>
      </c>
      <c r="U13">
        <v>132</v>
      </c>
      <c r="V13" s="3">
        <f t="shared" si="1"/>
        <v>2.3038346126325151</v>
      </c>
      <c r="W13" s="3">
        <f>B513</f>
        <v>-8.0012882393908669</v>
      </c>
    </row>
    <row r="14" spans="1:23" x14ac:dyDescent="0.35">
      <c r="A14" s="2" t="s">
        <v>7</v>
      </c>
      <c r="B14" s="6">
        <v>110</v>
      </c>
      <c r="C14" s="3">
        <f>B14*PI()/180</f>
        <v>1.9198621771937625</v>
      </c>
      <c r="E14" s="7" t="s">
        <v>10</v>
      </c>
      <c r="F14" s="1">
        <f>-B15*COS(t.1)+a*COS(C12)+b*COS(C14)-c.*COS(t.4)</f>
        <v>-5.0521208599540124</v>
      </c>
      <c r="H14" s="8" t="s">
        <v>7</v>
      </c>
      <c r="I14" s="8" t="s">
        <v>9</v>
      </c>
      <c r="J14" s="4"/>
      <c r="K14" s="8" t="s">
        <v>7</v>
      </c>
      <c r="L14" s="8" t="s">
        <v>9</v>
      </c>
      <c r="M14" s="20"/>
      <c r="O14" s="22"/>
      <c r="Q14">
        <v>144</v>
      </c>
      <c r="R14" s="3">
        <f t="shared" si="0"/>
        <v>2.5132741228718345</v>
      </c>
      <c r="S14" s="3">
        <f>C554</f>
        <v>3.0185080635798189</v>
      </c>
      <c r="U14">
        <v>144</v>
      </c>
      <c r="V14" s="3">
        <f t="shared" si="1"/>
        <v>2.5132741228718345</v>
      </c>
      <c r="W14" s="3">
        <f>B555</f>
        <v>-8.3816588844962112</v>
      </c>
    </row>
    <row r="15" spans="1:23" x14ac:dyDescent="0.35">
      <c r="A15" s="2" t="s">
        <v>9</v>
      </c>
      <c r="B15" s="6">
        <v>6</v>
      </c>
      <c r="C15" s="3"/>
      <c r="E15" s="7" t="s">
        <v>11</v>
      </c>
      <c r="F15" s="1">
        <f>-B15*SIN(t.1)+a*SIN(C12)+b*SIN(C14)-c.*SIN(t.4)</f>
        <v>3.1381557247154506</v>
      </c>
      <c r="H15" s="3">
        <f>-b*SIN(C14)</f>
        <v>-5.6381557247154506</v>
      </c>
      <c r="I15" s="3">
        <f>-COS(t.1)</f>
        <v>-1</v>
      </c>
      <c r="J15" s="4"/>
      <c r="K15" s="3" cm="1">
        <f t="array" ref="K15:L16">MINVERSE(H15:I16)</f>
        <v>0</v>
      </c>
      <c r="L15" s="3">
        <v>-0.48730073336051455</v>
      </c>
      <c r="M15" s="3">
        <f>-F14</f>
        <v>5.0521208599540124</v>
      </c>
      <c r="O15" s="1" cm="1">
        <f t="array" ref="O15:O16">MMULT(K15:L16,M15:M16)</f>
        <v>1.5292255860533361</v>
      </c>
      <c r="Q15">
        <v>156</v>
      </c>
      <c r="R15" s="3">
        <f t="shared" si="0"/>
        <v>2.7227136331111539</v>
      </c>
      <c r="S15" s="3">
        <f>C596</f>
        <v>2.9266428931893183</v>
      </c>
      <c r="U15">
        <v>156</v>
      </c>
      <c r="V15" s="3">
        <f t="shared" si="1"/>
        <v>2.7227136331111539</v>
      </c>
      <c r="W15" s="3">
        <f>B597</f>
        <v>-8.6025590417073783</v>
      </c>
    </row>
    <row r="16" spans="1:23" x14ac:dyDescent="0.35">
      <c r="H16" s="3">
        <f>b*COS(C14)</f>
        <v>-2.0521208599540124</v>
      </c>
      <c r="I16" s="3">
        <f>-SIN(t.1)</f>
        <v>0</v>
      </c>
      <c r="J16" s="4"/>
      <c r="K16" s="3">
        <v>-1</v>
      </c>
      <c r="L16" s="3">
        <v>2.7474774194546225</v>
      </c>
      <c r="M16" s="3">
        <f>-F15</f>
        <v>-3.1381557247154506</v>
      </c>
      <c r="O16" s="1">
        <v>-13.67413285234197</v>
      </c>
      <c r="Q16">
        <v>168</v>
      </c>
      <c r="R16" s="3">
        <f t="shared" si="0"/>
        <v>2.9321531433504737</v>
      </c>
      <c r="S16" s="3">
        <f>C638</f>
        <v>2.8235470052312941</v>
      </c>
      <c r="U16">
        <v>168</v>
      </c>
      <c r="V16" s="3">
        <f t="shared" si="1"/>
        <v>2.9321531433504737</v>
      </c>
      <c r="W16" s="3">
        <f>B639</f>
        <v>-8.6335330736094846</v>
      </c>
    </row>
    <row r="17" spans="1:23" x14ac:dyDescent="0.35">
      <c r="Q17">
        <v>180</v>
      </c>
      <c r="R17" s="3">
        <f t="shared" si="0"/>
        <v>3.1415926535897931</v>
      </c>
      <c r="S17" s="3">
        <f>C680</f>
        <v>2.7118172222852657</v>
      </c>
      <c r="U17">
        <v>180</v>
      </c>
      <c r="V17" s="3">
        <f t="shared" si="1"/>
        <v>3.1415926535897931</v>
      </c>
      <c r="W17" s="3">
        <f>B681</f>
        <v>-8.4543560573178578</v>
      </c>
    </row>
    <row r="18" spans="1:23" x14ac:dyDescent="0.35">
      <c r="A18" s="9" t="s">
        <v>16</v>
      </c>
      <c r="C18" s="2" t="s">
        <v>4</v>
      </c>
      <c r="Q18">
        <v>192</v>
      </c>
      <c r="R18" s="3">
        <f t="shared" si="0"/>
        <v>3.3510321638291125</v>
      </c>
      <c r="S18" s="3">
        <f>C722</f>
        <v>2.5940127461110758</v>
      </c>
      <c r="U18">
        <v>192</v>
      </c>
      <c r="V18" s="3">
        <f t="shared" si="1"/>
        <v>3.3510321638291125</v>
      </c>
      <c r="W18" s="3">
        <f>B723</f>
        <v>-8.0571646565602215</v>
      </c>
    </row>
    <row r="19" spans="1:23" x14ac:dyDescent="0.35">
      <c r="A19" s="2" t="s">
        <v>5</v>
      </c>
      <c r="B19" s="6">
        <v>0</v>
      </c>
      <c r="C19" s="3">
        <f>B19*PI()/180</f>
        <v>0</v>
      </c>
      <c r="Q19">
        <v>204</v>
      </c>
      <c r="R19" s="3">
        <f t="shared" si="0"/>
        <v>3.5604716740684319</v>
      </c>
      <c r="S19" s="3">
        <f>C764</f>
        <v>2.4728053560204146</v>
      </c>
      <c r="U19">
        <v>204</v>
      </c>
      <c r="V19" s="3">
        <f t="shared" si="1"/>
        <v>3.5604716740684319</v>
      </c>
      <c r="W19" s="3">
        <f>B765</f>
        <v>-7.4480813362256075</v>
      </c>
    </row>
    <row r="20" spans="1:23" x14ac:dyDescent="0.35">
      <c r="A20" s="4"/>
      <c r="B20" s="4"/>
      <c r="C20" s="1"/>
      <c r="H20" s="18" t="s">
        <v>12</v>
      </c>
      <c r="I20" s="18"/>
      <c r="J20" s="4"/>
      <c r="K20" s="18" t="s">
        <v>13</v>
      </c>
      <c r="L20" s="18"/>
      <c r="M20" s="19" t="s">
        <v>14</v>
      </c>
      <c r="O20" s="21" t="s">
        <v>15</v>
      </c>
      <c r="Q20">
        <v>216</v>
      </c>
      <c r="R20" s="3">
        <f t="shared" si="0"/>
        <v>3.7699111843077517</v>
      </c>
      <c r="S20" s="3">
        <f>C806</f>
        <v>2.3512999034169497</v>
      </c>
      <c r="U20">
        <v>216</v>
      </c>
      <c r="V20" s="3">
        <f t="shared" si="1"/>
        <v>3.7699111843077517</v>
      </c>
      <c r="W20" s="3">
        <f>B807</f>
        <v>-6.6488749598322041</v>
      </c>
    </row>
    <row r="21" spans="1:23" x14ac:dyDescent="0.35">
      <c r="A21" s="2" t="s">
        <v>7</v>
      </c>
      <c r="B21" s="6">
        <f>C21*180/PI()</f>
        <v>197.61817200427606</v>
      </c>
      <c r="C21" s="3">
        <f>O15+C14</f>
        <v>3.4490877632470989</v>
      </c>
      <c r="E21" s="7" t="s">
        <v>10</v>
      </c>
      <c r="F21" s="1">
        <f>-B22*COS(t.1)+a*COS(C19)+b*COS(C21)-c.*COS(t.4)</f>
        <v>4.9555645333999108</v>
      </c>
      <c r="H21" s="8" t="s">
        <v>7</v>
      </c>
      <c r="I21" s="8" t="s">
        <v>9</v>
      </c>
      <c r="J21" s="4"/>
      <c r="K21" s="8" t="s">
        <v>7</v>
      </c>
      <c r="L21" s="8" t="s">
        <v>9</v>
      </c>
      <c r="M21" s="20"/>
      <c r="O21" s="22"/>
      <c r="Q21">
        <v>228</v>
      </c>
      <c r="R21" s="3">
        <f t="shared" si="0"/>
        <v>3.9793506945470711</v>
      </c>
      <c r="S21" s="3">
        <f>C848</f>
        <v>2.2336504919257032</v>
      </c>
      <c r="U21">
        <v>228</v>
      </c>
      <c r="V21" s="3">
        <f t="shared" si="1"/>
        <v>3.9793506945470711</v>
      </c>
      <c r="W21" s="3">
        <f>B849</f>
        <v>-5.6996065384674734</v>
      </c>
    </row>
    <row r="22" spans="1:23" x14ac:dyDescent="0.35">
      <c r="A22" s="2" t="s">
        <v>9</v>
      </c>
      <c r="B22" s="6">
        <f>O16+B15</f>
        <v>-7.6741328523419696</v>
      </c>
      <c r="C22" s="3"/>
      <c r="E22" s="7" t="s">
        <v>11</v>
      </c>
      <c r="F22" s="1">
        <f>-B22*SIN(t.1)+a*SIN(C19)+b*SIN(C21)-c.*SIN(t.4)</f>
        <v>-4.3160331444090438</v>
      </c>
      <c r="H22" s="3">
        <f>-b*SIN(C21)</f>
        <v>1.8160331444090434</v>
      </c>
      <c r="I22" s="3">
        <f>-COS(t.1)</f>
        <v>-1</v>
      </c>
      <c r="J22" s="4"/>
      <c r="K22" s="3" cm="1">
        <f t="array" ref="K22:L23">MINVERSE(H22:I23)</f>
        <v>0</v>
      </c>
      <c r="L22" s="3">
        <v>-0.1748689434534903</v>
      </c>
      <c r="M22" s="3">
        <f>-F21</f>
        <v>-4.9555645333999108</v>
      </c>
      <c r="O22" s="1" cm="1">
        <f t="array" ref="O22:O23">MMULT(K22:L23,M22:M23)</f>
        <v>-0.75474015587305499</v>
      </c>
      <c r="Q22">
        <v>240</v>
      </c>
      <c r="R22" s="3">
        <f t="shared" si="0"/>
        <v>4.1887902047863905</v>
      </c>
      <c r="S22" s="3">
        <f>C890</f>
        <v>2.1262157235567369</v>
      </c>
      <c r="U22">
        <v>240</v>
      </c>
      <c r="V22" s="3">
        <f t="shared" si="1"/>
        <v>4.1887902047863905</v>
      </c>
      <c r="W22" s="3">
        <f>B891</f>
        <v>-4.6637982010532566</v>
      </c>
    </row>
    <row r="23" spans="1:23" x14ac:dyDescent="0.35">
      <c r="H23" s="3">
        <f>b*COS(C21)</f>
        <v>-5.7185683189420589</v>
      </c>
      <c r="I23" s="3">
        <f>-SIN(t.1)</f>
        <v>0</v>
      </c>
      <c r="J23" s="4"/>
      <c r="K23" s="3">
        <v>-1</v>
      </c>
      <c r="L23" s="3">
        <v>-0.31756779723932921</v>
      </c>
      <c r="M23" s="3">
        <f>-F22</f>
        <v>4.3160331444090438</v>
      </c>
      <c r="O23" s="1">
        <v>3.5849313949179953</v>
      </c>
      <c r="Q23">
        <v>252</v>
      </c>
      <c r="R23" s="3">
        <f t="shared" si="0"/>
        <v>4.3982297150257104</v>
      </c>
      <c r="S23" s="3">
        <f>C932</f>
        <v>2.0394108685885737</v>
      </c>
      <c r="U23">
        <v>252</v>
      </c>
      <c r="V23" s="3">
        <f t="shared" si="1"/>
        <v>4.3982297150257104</v>
      </c>
      <c r="W23" s="3">
        <f>B933</f>
        <v>-3.6369548201158186</v>
      </c>
    </row>
    <row r="24" spans="1:23" x14ac:dyDescent="0.35">
      <c r="Q24">
        <v>264</v>
      </c>
      <c r="R24" s="3">
        <f t="shared" si="0"/>
        <v>4.6076692252650302</v>
      </c>
      <c r="S24" s="3">
        <f>C974</f>
        <v>1.9887353229993303</v>
      </c>
      <c r="U24">
        <v>264</v>
      </c>
      <c r="V24" s="3">
        <f t="shared" si="1"/>
        <v>4.6076692252650302</v>
      </c>
      <c r="W24" s="3">
        <f>B975</f>
        <v>-2.7488522231488379</v>
      </c>
    </row>
    <row r="25" spans="1:23" x14ac:dyDescent="0.35">
      <c r="A25" s="9" t="s">
        <v>17</v>
      </c>
      <c r="C25" s="2" t="s">
        <v>4</v>
      </c>
      <c r="Q25">
        <v>276</v>
      </c>
      <c r="R25" s="3">
        <f t="shared" si="0"/>
        <v>4.8171087355043491</v>
      </c>
      <c r="S25" s="3">
        <f>C1016</f>
        <v>1.9887353229993303</v>
      </c>
      <c r="U25">
        <v>276</v>
      </c>
      <c r="V25" s="3">
        <f t="shared" si="1"/>
        <v>4.8171087355043491</v>
      </c>
      <c r="W25" s="3">
        <f>B1017</f>
        <v>-2.121681443542919</v>
      </c>
    </row>
    <row r="26" spans="1:23" x14ac:dyDescent="0.35">
      <c r="A26" s="2" t="s">
        <v>5</v>
      </c>
      <c r="B26" s="6">
        <v>0</v>
      </c>
      <c r="C26" s="3">
        <f>B26*PI()/180</f>
        <v>0</v>
      </c>
      <c r="Q26">
        <v>288</v>
      </c>
      <c r="R26" s="3">
        <f t="shared" si="0"/>
        <v>5.026548245743669</v>
      </c>
      <c r="S26" s="3">
        <f>C1058</f>
        <v>2.0394108685885737</v>
      </c>
      <c r="U26">
        <v>288</v>
      </c>
      <c r="V26" s="3">
        <f t="shared" si="1"/>
        <v>5.026548245743669</v>
      </c>
      <c r="W26" s="3">
        <f>B1059</f>
        <v>-1.7828528538661332</v>
      </c>
    </row>
    <row r="27" spans="1:23" x14ac:dyDescent="0.35">
      <c r="A27" s="4"/>
      <c r="B27" s="4"/>
      <c r="C27" s="1"/>
      <c r="H27" s="18" t="s">
        <v>12</v>
      </c>
      <c r="I27" s="18"/>
      <c r="J27" s="4"/>
      <c r="K27" s="18" t="s">
        <v>13</v>
      </c>
      <c r="L27" s="18"/>
      <c r="M27" s="19" t="s">
        <v>14</v>
      </c>
      <c r="O27" s="21" t="s">
        <v>15</v>
      </c>
      <c r="Q27">
        <v>300</v>
      </c>
      <c r="R27" s="3">
        <f t="shared" si="0"/>
        <v>5.2359877559829888</v>
      </c>
      <c r="S27" s="3">
        <f>C1100</f>
        <v>2.1262157235567365</v>
      </c>
      <c r="U27">
        <v>300</v>
      </c>
      <c r="V27" s="3">
        <f t="shared" si="1"/>
        <v>5.2359877559829888</v>
      </c>
      <c r="W27" s="3">
        <f>B1101</f>
        <v>-1.663798201053253</v>
      </c>
    </row>
    <row r="28" spans="1:23" x14ac:dyDescent="0.35">
      <c r="A28" s="2" t="s">
        <v>7</v>
      </c>
      <c r="B28" s="6">
        <f>C28*180/PI()</f>
        <v>154.37474644370411</v>
      </c>
      <c r="C28" s="3">
        <f>O22+C21</f>
        <v>2.694347607374044</v>
      </c>
      <c r="E28" s="10" t="s">
        <v>10</v>
      </c>
      <c r="F28" s="1">
        <f>-B29*COS(t.1)+a*COS(C26)+b*COS(C28)-c.*COS(t.4)</f>
        <v>1.679349495284695</v>
      </c>
      <c r="H28" s="8" t="s">
        <v>7</v>
      </c>
      <c r="I28" s="8" t="s">
        <v>9</v>
      </c>
      <c r="J28" s="4"/>
      <c r="K28" s="8" t="s">
        <v>7</v>
      </c>
      <c r="L28" s="8" t="s">
        <v>9</v>
      </c>
      <c r="M28" s="20"/>
      <c r="O28" s="22"/>
      <c r="Q28">
        <v>312</v>
      </c>
      <c r="R28" s="3">
        <f t="shared" si="0"/>
        <v>5.4454272662223078</v>
      </c>
      <c r="S28" s="3">
        <f>C1142</f>
        <v>2.2336504919257028</v>
      </c>
      <c r="U28">
        <v>312</v>
      </c>
      <c r="V28" s="3">
        <f t="shared" si="1"/>
        <v>5.4454272662223078</v>
      </c>
      <c r="W28" s="3">
        <f>B1143</f>
        <v>-1.6848229003143222</v>
      </c>
    </row>
    <row r="29" spans="1:23" x14ac:dyDescent="0.35">
      <c r="A29" s="2" t="s">
        <v>9</v>
      </c>
      <c r="B29" s="6">
        <f>O23+B22</f>
        <v>-4.0892014574239743</v>
      </c>
      <c r="C29" s="3"/>
      <c r="E29" s="10" t="s">
        <v>11</v>
      </c>
      <c r="F29" s="1">
        <f>-B29*SIN(t.1)+a*SIN(C26)+b*SIN(C28)-c.*SIN(t.4)</f>
        <v>9.4899178723095279E-2</v>
      </c>
      <c r="H29" s="3">
        <f>-b*SIN(C28)</f>
        <v>-2.5948991787230953</v>
      </c>
      <c r="I29" s="3">
        <f>-COS(t.1)</f>
        <v>-1</v>
      </c>
      <c r="J29" s="4"/>
      <c r="K29" s="3" cm="1">
        <f t="array" ref="K29:L30">MINVERSE(H29:I30)</f>
        <v>0</v>
      </c>
      <c r="L29" s="3">
        <v>-0.18484794168093255</v>
      </c>
      <c r="M29" s="3">
        <f>-F28</f>
        <v>-1.679349495284695</v>
      </c>
      <c r="O29" s="1" cm="1">
        <f t="array" ref="O29:O30">MMULT(K29:L30,M29:M30)</f>
        <v>1.754191785417511E-2</v>
      </c>
      <c r="Q29">
        <v>324</v>
      </c>
      <c r="R29" s="3">
        <f t="shared" si="0"/>
        <v>5.6548667764616276</v>
      </c>
      <c r="S29" s="3">
        <f>C1184</f>
        <v>2.3512999034169493</v>
      </c>
      <c r="U29">
        <v>324</v>
      </c>
      <c r="V29" s="3">
        <f t="shared" si="1"/>
        <v>5.6548667764616276</v>
      </c>
      <c r="W29" s="3">
        <f>B1185</f>
        <v>-1.7947729935825194</v>
      </c>
    </row>
    <row r="30" spans="1:23" x14ac:dyDescent="0.35">
      <c r="H30" s="3">
        <f>b*COS(C28)</f>
        <v>-5.4098519621392791</v>
      </c>
      <c r="I30" s="3">
        <f>-SIN(t.1)</f>
        <v>0</v>
      </c>
      <c r="J30" s="4"/>
      <c r="K30" s="3">
        <v>-1</v>
      </c>
      <c r="L30" s="3">
        <v>0.47966177205650651</v>
      </c>
      <c r="M30" s="3">
        <f>-F29</f>
        <v>-9.4899178723095279E-2</v>
      </c>
      <c r="O30" s="1">
        <v>1.6338299870516679</v>
      </c>
      <c r="Q30">
        <v>336</v>
      </c>
      <c r="R30" s="3">
        <f t="shared" si="0"/>
        <v>5.8643062867009474</v>
      </c>
      <c r="S30" s="3">
        <f>C1226</f>
        <v>2.4728053560204146</v>
      </c>
      <c r="U30">
        <v>336</v>
      </c>
      <c r="V30" s="3">
        <f t="shared" si="1"/>
        <v>5.8643062867009474</v>
      </c>
      <c r="W30" s="3">
        <f>B1227</f>
        <v>-1.9668085903700008</v>
      </c>
    </row>
    <row r="31" spans="1:23" x14ac:dyDescent="0.35">
      <c r="Q31">
        <v>348</v>
      </c>
      <c r="R31" s="3">
        <f t="shared" si="0"/>
        <v>6.0737457969402664</v>
      </c>
      <c r="S31" s="3">
        <f>C1268</f>
        <v>2.5940127461110754</v>
      </c>
      <c r="U31">
        <v>348</v>
      </c>
      <c r="V31" s="3">
        <f t="shared" si="1"/>
        <v>6.0737457969402664</v>
      </c>
      <c r="W31" s="3">
        <f>B1269</f>
        <v>-2.1882790521573878</v>
      </c>
    </row>
    <row r="32" spans="1:23" x14ac:dyDescent="0.35">
      <c r="A32" s="9" t="s">
        <v>18</v>
      </c>
      <c r="C32" s="2" t="s">
        <v>4</v>
      </c>
      <c r="Q32">
        <v>360</v>
      </c>
      <c r="R32" s="3">
        <f t="shared" si="0"/>
        <v>6.2831853071795862</v>
      </c>
      <c r="S32" s="3">
        <f>C1310</f>
        <v>2.7118172222852652</v>
      </c>
      <c r="U32">
        <v>360</v>
      </c>
      <c r="V32" s="3">
        <f t="shared" si="1"/>
        <v>6.2831853071795862</v>
      </c>
      <c r="W32" s="3">
        <f>B1311</f>
        <v>-2.4543560573178569</v>
      </c>
    </row>
    <row r="33" spans="1:15" x14ac:dyDescent="0.35">
      <c r="A33" s="2" t="s">
        <v>5</v>
      </c>
      <c r="B33" s="6">
        <v>0</v>
      </c>
      <c r="C33" s="3">
        <f>B33*PI()/180</f>
        <v>0</v>
      </c>
    </row>
    <row r="34" spans="1:15" x14ac:dyDescent="0.35">
      <c r="A34" s="4"/>
      <c r="B34" s="4"/>
      <c r="C34" s="1"/>
      <c r="H34" s="18" t="s">
        <v>12</v>
      </c>
      <c r="I34" s="18"/>
      <c r="J34" s="4"/>
      <c r="K34" s="18" t="s">
        <v>13</v>
      </c>
      <c r="L34" s="18"/>
      <c r="M34" s="19" t="s">
        <v>14</v>
      </c>
      <c r="O34" s="21" t="s">
        <v>15</v>
      </c>
    </row>
    <row r="35" spans="1:15" x14ac:dyDescent="0.35">
      <c r="A35" s="2" t="s">
        <v>7</v>
      </c>
      <c r="B35" s="6">
        <f>C35*180/PI()</f>
        <v>155.37982430131353</v>
      </c>
      <c r="C35" s="3">
        <f>O29+C28</f>
        <v>2.7118895252282189</v>
      </c>
      <c r="E35" s="10" t="s">
        <v>10</v>
      </c>
      <c r="F35" s="1">
        <f>-B36*COS(t.1)+a*COS(C33)+b*COS(C35)-c.*COS(t.4)</f>
        <v>8.3466995413401758E-4</v>
      </c>
      <c r="H35" s="8" t="s">
        <v>7</v>
      </c>
      <c r="I35" s="8" t="s">
        <v>9</v>
      </c>
      <c r="J35" s="4"/>
      <c r="K35" s="8" t="s">
        <v>7</v>
      </c>
      <c r="L35" s="8" t="s">
        <v>9</v>
      </c>
      <c r="M35" s="20"/>
      <c r="O35" s="22"/>
    </row>
    <row r="36" spans="1:15" x14ac:dyDescent="0.35">
      <c r="A36" s="2" t="s">
        <v>9</v>
      </c>
      <c r="B36" s="6">
        <f>O30+B29</f>
        <v>-2.4553714703723064</v>
      </c>
      <c r="C36" s="3"/>
      <c r="E36" s="10" t="s">
        <v>11</v>
      </c>
      <c r="F36" s="1">
        <f>-B36*SIN(t.1)+a*SIN(C33)+b*SIN(C35)-c.*SIN(t.4)</f>
        <v>-3.9437252916041388E-4</v>
      </c>
      <c r="H36" s="3">
        <f>-b*SIN(C35)</f>
        <v>-2.4996056274708396</v>
      </c>
      <c r="I36" s="3">
        <f>-COS(t.1)</f>
        <v>-1</v>
      </c>
      <c r="J36" s="4"/>
      <c r="K36" s="3" cm="1">
        <f t="array" ref="K36:L37">MINVERSE(H36:I37)</f>
        <v>0</v>
      </c>
      <c r="L36" s="3">
        <v>-0.1833336242086285</v>
      </c>
      <c r="M36" s="3">
        <f>-F35</f>
        <v>-8.3466995413401758E-4</v>
      </c>
      <c r="O36" s="1" cm="1">
        <f t="array" ref="O36:O37">MMULT(K36:L37,M36:M37)</f>
        <v>-7.2301745059301701E-5</v>
      </c>
    </row>
    <row r="37" spans="1:15" x14ac:dyDescent="0.35">
      <c r="H37" s="3">
        <f>b*COS(C35)</f>
        <v>-5.4545368004181718</v>
      </c>
      <c r="I37" s="3">
        <f>-SIN(t.1)</f>
        <v>0</v>
      </c>
      <c r="J37" s="4"/>
      <c r="K37" s="3">
        <v>-1</v>
      </c>
      <c r="L37" s="3">
        <v>0.45826175877651193</v>
      </c>
      <c r="M37" s="3">
        <f>-F36</f>
        <v>3.9437252916041388E-4</v>
      </c>
      <c r="O37" s="1">
        <v>1.0153958029602101E-3</v>
      </c>
    </row>
    <row r="39" spans="1:15" x14ac:dyDescent="0.35">
      <c r="A39" s="9" t="s">
        <v>19</v>
      </c>
      <c r="C39" s="2" t="s">
        <v>4</v>
      </c>
    </row>
    <row r="40" spans="1:15" x14ac:dyDescent="0.35">
      <c r="A40" s="2" t="s">
        <v>5</v>
      </c>
      <c r="B40" s="6">
        <v>0</v>
      </c>
      <c r="C40" s="3">
        <f>B40*PI()/180</f>
        <v>0</v>
      </c>
    </row>
    <row r="41" spans="1:15" x14ac:dyDescent="0.35">
      <c r="A41" s="4"/>
      <c r="B41" s="4"/>
      <c r="C41" s="1"/>
      <c r="H41" s="18" t="s">
        <v>12</v>
      </c>
      <c r="I41" s="18"/>
      <c r="J41" s="4"/>
      <c r="K41" s="18" t="s">
        <v>13</v>
      </c>
      <c r="L41" s="18"/>
      <c r="M41" s="19" t="s">
        <v>14</v>
      </c>
      <c r="O41" s="21" t="s">
        <v>15</v>
      </c>
    </row>
    <row r="42" spans="1:15" x14ac:dyDescent="0.35">
      <c r="A42" s="2" t="s">
        <v>7</v>
      </c>
      <c r="B42" s="6">
        <f>C42*180/PI()</f>
        <v>155.37568171647018</v>
      </c>
      <c r="C42" s="3">
        <f>O36+C35</f>
        <v>2.7118172234831595</v>
      </c>
      <c r="E42" s="10" t="s">
        <v>10</v>
      </c>
      <c r="F42" s="1">
        <f>-B43*COS(t.1)+a*COS(C40)+b*COS(C42)-c.*COS(t.4)</f>
        <v>1.425675384643171E-8</v>
      </c>
      <c r="H42" s="8" t="s">
        <v>7</v>
      </c>
      <c r="I42" s="8" t="s">
        <v>9</v>
      </c>
      <c r="J42" s="4"/>
      <c r="K42" s="8" t="s">
        <v>7</v>
      </c>
      <c r="L42" s="8" t="s">
        <v>9</v>
      </c>
      <c r="M42" s="20"/>
      <c r="O42" s="22"/>
    </row>
    <row r="43" spans="1:15" x14ac:dyDescent="0.35">
      <c r="A43" s="2" t="s">
        <v>9</v>
      </c>
      <c r="B43" s="6">
        <f>O37+B36</f>
        <v>-2.454356074569346</v>
      </c>
      <c r="C43" s="3"/>
      <c r="E43" s="10" t="s">
        <v>11</v>
      </c>
      <c r="F43" s="1">
        <f>-B43*SIN(t.1)+a*SIN(C40)+b*SIN(C42)-c.*SIN(t.4)</f>
        <v>-6.5337397714415602E-9</v>
      </c>
      <c r="H43" s="3">
        <f>-b*SIN(C42)</f>
        <v>-2.4999999934662602</v>
      </c>
      <c r="I43" s="3">
        <f>-COS(t.1)</f>
        <v>-1</v>
      </c>
      <c r="J43" s="4"/>
      <c r="K43" s="3" cm="1">
        <f t="array" ref="K43:L44">MINVERSE(H43:I44)</f>
        <v>0</v>
      </c>
      <c r="L43" s="3">
        <v>-0.1833396993049789</v>
      </c>
      <c r="M43" s="3">
        <f>-F42</f>
        <v>-1.425675384643171E-8</v>
      </c>
      <c r="O43" s="1" cm="1">
        <f t="array" ref="O43:O44">MMULT(K43:L44,M43:M44)</f>
        <v>-1.1978938850330772E-9</v>
      </c>
    </row>
    <row r="44" spans="1:15" x14ac:dyDescent="0.35">
      <c r="H44" s="3">
        <f>b*COS(C42)</f>
        <v>-5.454356060312592</v>
      </c>
      <c r="I44" s="3">
        <f>-SIN(t.1)</f>
        <v>0</v>
      </c>
      <c r="J44" s="4"/>
      <c r="K44" s="3">
        <v>-1</v>
      </c>
      <c r="L44" s="3">
        <v>0.45834924706455338</v>
      </c>
      <c r="M44" s="3">
        <f>-F43</f>
        <v>6.5337397714415602E-9</v>
      </c>
      <c r="O44" s="1">
        <v>1.7251488551187675E-8</v>
      </c>
    </row>
    <row r="46" spans="1:15" x14ac:dyDescent="0.35">
      <c r="A46" s="9" t="s">
        <v>20</v>
      </c>
      <c r="C46" s="2" t="s">
        <v>4</v>
      </c>
    </row>
    <row r="47" spans="1:15" x14ac:dyDescent="0.35">
      <c r="A47" s="2" t="s">
        <v>5</v>
      </c>
      <c r="B47" s="6">
        <v>0</v>
      </c>
      <c r="C47" s="3">
        <f>B47*PI()/180</f>
        <v>0</v>
      </c>
    </row>
    <row r="48" spans="1:15" x14ac:dyDescent="0.35">
      <c r="A48" s="4"/>
      <c r="B48" s="4"/>
      <c r="C48" s="1"/>
      <c r="H48" s="18" t="s">
        <v>12</v>
      </c>
      <c r="I48" s="18"/>
      <c r="J48" s="4"/>
      <c r="K48" s="18" t="s">
        <v>13</v>
      </c>
      <c r="L48" s="18"/>
      <c r="M48" s="19" t="s">
        <v>14</v>
      </c>
      <c r="O48" s="21" t="s">
        <v>15</v>
      </c>
    </row>
    <row r="49" spans="1:15" x14ac:dyDescent="0.35">
      <c r="A49" s="2" t="s">
        <v>7</v>
      </c>
      <c r="B49" s="6">
        <f>C49*180/PI()</f>
        <v>155.37568164783593</v>
      </c>
      <c r="C49" s="3">
        <f>O43+C42</f>
        <v>2.7118172222852657</v>
      </c>
      <c r="E49" s="10" t="s">
        <v>10</v>
      </c>
      <c r="F49" s="1">
        <f>-B50*COS(t.1)+a*COS(C47)+b*COS(C49)-c.*COS(t.4)</f>
        <v>-1.531435568635775E-16</v>
      </c>
      <c r="H49" s="8" t="s">
        <v>7</v>
      </c>
      <c r="I49" s="8" t="s">
        <v>9</v>
      </c>
      <c r="J49" s="4"/>
      <c r="K49" s="8" t="s">
        <v>7</v>
      </c>
      <c r="L49" s="8" t="s">
        <v>9</v>
      </c>
      <c r="M49" s="20"/>
      <c r="O49" s="22"/>
    </row>
    <row r="50" spans="1:15" x14ac:dyDescent="0.35">
      <c r="A50" s="2" t="s">
        <v>9</v>
      </c>
      <c r="B50" s="6">
        <f>O44+B43</f>
        <v>-2.4543560573178573</v>
      </c>
      <c r="C50" s="3"/>
      <c r="E50" s="10" t="s">
        <v>11</v>
      </c>
      <c r="F50" s="1">
        <f>-B50*SIN(t.1)+a*SIN(C47)+b*SIN(C49)-c.*SIN(t.4)</f>
        <v>0</v>
      </c>
      <c r="H50" s="3">
        <f>-b*SIN(C49)</f>
        <v>-2.4999999999999996</v>
      </c>
      <c r="I50" s="3">
        <f>-COS(B7)</f>
        <v>-1</v>
      </c>
      <c r="J50" s="4"/>
      <c r="K50" s="3" cm="1">
        <f t="array" ref="K50:L51">MINVERSE(H50:I51)</f>
        <v>0</v>
      </c>
      <c r="L50" s="3">
        <v>-0.18333969940564224</v>
      </c>
      <c r="M50" s="3">
        <f>-F49</f>
        <v>1.531435568635775E-16</v>
      </c>
      <c r="O50" s="1" cm="1">
        <f t="array" ref="O50:O51">MMULT(K50:L51,M50:M51)</f>
        <v>0</v>
      </c>
    </row>
    <row r="51" spans="1:15" x14ac:dyDescent="0.35">
      <c r="H51" s="3">
        <f>b*COS(C49)</f>
        <v>-5.4543560573178578</v>
      </c>
      <c r="I51" s="3">
        <f>-SIN(B7)</f>
        <v>0</v>
      </c>
      <c r="J51" s="4"/>
      <c r="K51" s="3">
        <v>-1</v>
      </c>
      <c r="L51" s="3">
        <v>0.45834924851410552</v>
      </c>
      <c r="M51" s="3">
        <f>-F50</f>
        <v>0</v>
      </c>
      <c r="O51" s="1">
        <v>-1.531435568635775E-16</v>
      </c>
    </row>
    <row r="53" spans="1:15" x14ac:dyDescent="0.35">
      <c r="A53" s="9" t="s">
        <v>6</v>
      </c>
      <c r="C53" s="2" t="s">
        <v>4</v>
      </c>
    </row>
    <row r="54" spans="1:15" x14ac:dyDescent="0.35">
      <c r="A54" s="2" t="s">
        <v>5</v>
      </c>
      <c r="B54" s="6">
        <v>0</v>
      </c>
      <c r="C54" s="3">
        <f>B54*PI()/180</f>
        <v>0</v>
      </c>
    </row>
    <row r="55" spans="1:15" x14ac:dyDescent="0.35">
      <c r="A55" s="4"/>
      <c r="B55" s="4"/>
      <c r="C55" s="1"/>
      <c r="H55" s="18" t="s">
        <v>12</v>
      </c>
      <c r="I55" s="18"/>
      <c r="J55" s="4"/>
      <c r="K55" s="18" t="s">
        <v>13</v>
      </c>
      <c r="L55" s="18"/>
      <c r="M55" s="19" t="s">
        <v>14</v>
      </c>
      <c r="O55" s="21" t="s">
        <v>15</v>
      </c>
    </row>
    <row r="56" spans="1:15" x14ac:dyDescent="0.35">
      <c r="A56" s="2" t="s">
        <v>7</v>
      </c>
      <c r="B56" s="6">
        <v>110</v>
      </c>
      <c r="C56" s="3">
        <f>B56*PI()/180</f>
        <v>1.9198621771937625</v>
      </c>
      <c r="E56" s="11" t="s">
        <v>10</v>
      </c>
      <c r="F56" s="1">
        <f>-B57*COS(t.1)+a*COS(C54)+b*COS(C56)-c.*COS(t.4)</f>
        <v>-5.0521208599540124</v>
      </c>
      <c r="H56" s="8" t="s">
        <v>7</v>
      </c>
      <c r="I56" s="8" t="s">
        <v>9</v>
      </c>
      <c r="J56" s="4"/>
      <c r="K56" s="8" t="s">
        <v>7</v>
      </c>
      <c r="L56" s="8" t="s">
        <v>9</v>
      </c>
      <c r="M56" s="20"/>
      <c r="O56" s="22"/>
    </row>
    <row r="57" spans="1:15" x14ac:dyDescent="0.35">
      <c r="A57" s="2" t="s">
        <v>9</v>
      </c>
      <c r="B57" s="6">
        <v>6</v>
      </c>
      <c r="C57" s="3"/>
      <c r="E57" s="11" t="s">
        <v>11</v>
      </c>
      <c r="F57" s="1">
        <f>-B57*SIN(t.1)+a*SIN(C54)+b*SIN(C56)-c.*SIN(t.4)</f>
        <v>3.1381557247154506</v>
      </c>
      <c r="H57" s="3">
        <f>-b*SIN(C56)</f>
        <v>-5.6381557247154506</v>
      </c>
      <c r="I57" s="3">
        <f>-COS(t.1)</f>
        <v>-1</v>
      </c>
      <c r="J57" s="4"/>
      <c r="K57" s="3" cm="1">
        <f t="array" ref="K57:L58">MINVERSE(H57:I58)</f>
        <v>0</v>
      </c>
      <c r="L57" s="3">
        <v>-0.48730073336051455</v>
      </c>
      <c r="M57" s="3">
        <f>-F56</f>
        <v>5.0521208599540124</v>
      </c>
      <c r="O57" s="1" cm="1">
        <f t="array" ref="O57:O58">MMULT(K57:L58,M57:M58)</f>
        <v>1.5292255860533361</v>
      </c>
    </row>
    <row r="58" spans="1:15" x14ac:dyDescent="0.35">
      <c r="H58" s="3">
        <f>b*COS(C56)</f>
        <v>-2.0521208599540124</v>
      </c>
      <c r="I58" s="3">
        <f>-SIN(t.1)</f>
        <v>0</v>
      </c>
      <c r="J58" s="4"/>
      <c r="K58" s="3">
        <v>-1</v>
      </c>
      <c r="L58" s="3">
        <v>2.7474774194546225</v>
      </c>
      <c r="M58" s="3">
        <f>-F57</f>
        <v>-3.1381557247154506</v>
      </c>
      <c r="O58" s="1">
        <v>-13.67413285234197</v>
      </c>
    </row>
    <row r="60" spans="1:15" x14ac:dyDescent="0.35">
      <c r="A60" s="9" t="s">
        <v>16</v>
      </c>
      <c r="C60" s="2" t="s">
        <v>4</v>
      </c>
    </row>
    <row r="61" spans="1:15" x14ac:dyDescent="0.35">
      <c r="A61" s="2" t="s">
        <v>5</v>
      </c>
      <c r="B61" s="6">
        <v>12</v>
      </c>
      <c r="C61" s="3">
        <f>B61*PI()/180</f>
        <v>0.20943951023931953</v>
      </c>
    </row>
    <row r="62" spans="1:15" x14ac:dyDescent="0.35">
      <c r="A62" s="4"/>
      <c r="B62" s="4"/>
      <c r="C62" s="1"/>
      <c r="H62" s="18" t="s">
        <v>12</v>
      </c>
      <c r="I62" s="18"/>
      <c r="J62" s="4"/>
      <c r="K62" s="18" t="s">
        <v>13</v>
      </c>
      <c r="L62" s="18"/>
      <c r="M62" s="19" t="s">
        <v>14</v>
      </c>
      <c r="O62" s="21" t="s">
        <v>15</v>
      </c>
    </row>
    <row r="63" spans="1:15" x14ac:dyDescent="0.35">
      <c r="A63" s="2" t="s">
        <v>7</v>
      </c>
      <c r="B63" s="6">
        <f>C63*180/PI()</f>
        <v>197.61817200427606</v>
      </c>
      <c r="C63" s="3">
        <f>O57+C56</f>
        <v>3.4490877632470989</v>
      </c>
      <c r="E63" s="11" t="s">
        <v>10</v>
      </c>
      <c r="F63" s="1">
        <f>-B64*COS(t.1)+a*COS(C61)+b*COS(C63)-c.*COS(t.4)</f>
        <v>4.8900073356013278</v>
      </c>
      <c r="H63" s="8" t="s">
        <v>7</v>
      </c>
      <c r="I63" s="8" t="s">
        <v>9</v>
      </c>
      <c r="J63" s="4"/>
      <c r="K63" s="8" t="s">
        <v>7</v>
      </c>
      <c r="L63" s="8" t="s">
        <v>9</v>
      </c>
      <c r="M63" s="20"/>
      <c r="O63" s="22"/>
    </row>
    <row r="64" spans="1:15" x14ac:dyDescent="0.35">
      <c r="A64" s="2" t="s">
        <v>9</v>
      </c>
      <c r="B64" s="6">
        <f>O58+B57</f>
        <v>-7.6741328523419696</v>
      </c>
      <c r="C64" s="3"/>
      <c r="E64" s="11" t="s">
        <v>11</v>
      </c>
      <c r="F64" s="1">
        <f>-B64*SIN(t.1)+a*SIN(C61)+b*SIN(C63)-c.*SIN(t.4)</f>
        <v>-3.6922980719557654</v>
      </c>
      <c r="H64" s="3">
        <f>-b*SIN(C63)</f>
        <v>1.8160331444090434</v>
      </c>
      <c r="I64" s="3">
        <f>-COS(t.1)</f>
        <v>-1</v>
      </c>
      <c r="J64" s="4"/>
      <c r="K64" s="3" cm="1">
        <f t="array" ref="K64:L65">MINVERSE(H64:I65)</f>
        <v>0</v>
      </c>
      <c r="L64" s="3">
        <v>-0.1748689434534903</v>
      </c>
      <c r="M64" s="3">
        <f>-F63</f>
        <v>-4.8900073356013278</v>
      </c>
      <c r="O64" s="1" cm="1">
        <f t="array" ref="O64:O65">MMULT(K64:L65,M64:M65)</f>
        <v>-0.64566826275826406</v>
      </c>
    </row>
    <row r="65" spans="1:15" x14ac:dyDescent="0.35">
      <c r="H65" s="3">
        <f>b*COS(C63)</f>
        <v>-5.7185683189420589</v>
      </c>
      <c r="I65" s="3">
        <f>-SIN(t.1)</f>
        <v>0</v>
      </c>
      <c r="J65" s="4"/>
      <c r="K65" s="3">
        <v>-1</v>
      </c>
      <c r="L65" s="3">
        <v>-0.31756779723932921</v>
      </c>
      <c r="M65" s="3">
        <f>-F64</f>
        <v>3.6922980719557654</v>
      </c>
      <c r="O65" s="1">
        <v>3.7174523701393132</v>
      </c>
    </row>
    <row r="67" spans="1:15" x14ac:dyDescent="0.35">
      <c r="A67" s="9" t="s">
        <v>17</v>
      </c>
      <c r="C67" s="2" t="s">
        <v>4</v>
      </c>
    </row>
    <row r="68" spans="1:15" x14ac:dyDescent="0.35">
      <c r="A68" s="2" t="s">
        <v>5</v>
      </c>
      <c r="B68" s="6">
        <v>12</v>
      </c>
      <c r="C68" s="3">
        <f>B68*PI()/180</f>
        <v>0.20943951023931953</v>
      </c>
    </row>
    <row r="69" spans="1:15" x14ac:dyDescent="0.35">
      <c r="A69" s="4"/>
      <c r="B69" s="4"/>
      <c r="C69" s="1"/>
      <c r="H69" s="18" t="s">
        <v>12</v>
      </c>
      <c r="I69" s="18"/>
      <c r="J69" s="4"/>
      <c r="K69" s="18" t="s">
        <v>13</v>
      </c>
      <c r="L69" s="18"/>
      <c r="M69" s="19" t="s">
        <v>14</v>
      </c>
      <c r="O69" s="21" t="s">
        <v>15</v>
      </c>
    </row>
    <row r="70" spans="1:15" x14ac:dyDescent="0.35">
      <c r="A70" s="2" t="s">
        <v>7</v>
      </c>
      <c r="B70" s="6">
        <f>C70*180/PI()</f>
        <v>160.62410558268365</v>
      </c>
      <c r="C70" s="3">
        <f>O64+C63</f>
        <v>2.8034195004888347</v>
      </c>
      <c r="E70" s="11" t="s">
        <v>10</v>
      </c>
      <c r="F70" s="1">
        <f>-B71*COS(t.1)+a*COS(C68)+b*COS(C70)-c.*COS(t.4)</f>
        <v>1.2309493530659716</v>
      </c>
      <c r="H70" s="8" t="s">
        <v>7</v>
      </c>
      <c r="I70" s="8" t="s">
        <v>9</v>
      </c>
      <c r="J70" s="4"/>
      <c r="K70" s="8" t="s">
        <v>7</v>
      </c>
      <c r="L70" s="8" t="s">
        <v>9</v>
      </c>
      <c r="M70" s="20"/>
      <c r="O70" s="22"/>
    </row>
    <row r="71" spans="1:15" x14ac:dyDescent="0.35">
      <c r="A71" s="2" t="s">
        <v>9</v>
      </c>
      <c r="B71" s="6">
        <f>O65+B64</f>
        <v>-3.9566804822026564</v>
      </c>
      <c r="C71" s="3"/>
      <c r="E71" s="11" t="s">
        <v>11</v>
      </c>
      <c r="F71" s="1">
        <f>-B71*SIN(t.1)+a*SIN(C68)+b*SIN(C70)-c.*SIN(t.4)</f>
        <v>0.11432068151423191</v>
      </c>
      <c r="H71" s="3">
        <f>-b*SIN(C70)</f>
        <v>-1.9905856090609539</v>
      </c>
      <c r="I71" s="3">
        <f>-COS(t.1)</f>
        <v>-1</v>
      </c>
      <c r="J71" s="4"/>
      <c r="K71" s="3" cm="1">
        <f t="array" ref="K71:L72">MINVERSE(H71:I72)</f>
        <v>0</v>
      </c>
      <c r="L71" s="3">
        <v>-0.17667301608231559</v>
      </c>
      <c r="M71" s="3">
        <f>-F70</f>
        <v>-1.2309493530659716</v>
      </c>
      <c r="O71" s="1" cm="1">
        <f t="array" ref="O71:O72">MMULT(K71:L72,M71:M72)</f>
        <v>2.0197379603705174E-2</v>
      </c>
    </row>
    <row r="72" spans="1:15" x14ac:dyDescent="0.35">
      <c r="H72" s="3">
        <f>b*COS(C70)</f>
        <v>-5.6601739313381021</v>
      </c>
      <c r="I72" s="3">
        <f>-SIN(t.1)</f>
        <v>0</v>
      </c>
      <c r="J72" s="4"/>
      <c r="K72" s="3">
        <v>-1</v>
      </c>
      <c r="L72" s="3">
        <v>0.35168276332285192</v>
      </c>
      <c r="M72" s="3">
        <f>-F71</f>
        <v>-0.11432068151423191</v>
      </c>
      <c r="O72" s="1">
        <v>1.1907447398860949</v>
      </c>
    </row>
    <row r="74" spans="1:15" x14ac:dyDescent="0.35">
      <c r="A74" s="9" t="s">
        <v>18</v>
      </c>
      <c r="C74" s="2" t="s">
        <v>4</v>
      </c>
    </row>
    <row r="75" spans="1:15" x14ac:dyDescent="0.35">
      <c r="A75" s="2" t="s">
        <v>5</v>
      </c>
      <c r="B75" s="6">
        <v>12</v>
      </c>
      <c r="C75" s="3">
        <f>B75*PI()/180</f>
        <v>0.20943951023931953</v>
      </c>
    </row>
    <row r="76" spans="1:15" x14ac:dyDescent="0.35">
      <c r="A76" s="4"/>
      <c r="B76" s="4"/>
      <c r="C76" s="1"/>
      <c r="H76" s="18" t="s">
        <v>12</v>
      </c>
      <c r="I76" s="18"/>
      <c r="J76" s="4"/>
      <c r="K76" s="18" t="s">
        <v>13</v>
      </c>
      <c r="L76" s="18"/>
      <c r="M76" s="19" t="s">
        <v>14</v>
      </c>
      <c r="O76" s="21" t="s">
        <v>15</v>
      </c>
    </row>
    <row r="77" spans="1:15" x14ac:dyDescent="0.35">
      <c r="A77" s="2" t="s">
        <v>7</v>
      </c>
      <c r="B77" s="6">
        <f>C77*180/PI()</f>
        <v>161.78133019119957</v>
      </c>
      <c r="C77" s="3">
        <f>O71+C70</f>
        <v>2.8236168800925401</v>
      </c>
      <c r="E77" s="11" t="s">
        <v>10</v>
      </c>
      <c r="F77" s="1">
        <f>-B78*COS(t.1)+a*COS(C75)+b*COS(C77)-c.*COS(t.4)</f>
        <v>1.157183271437059E-3</v>
      </c>
      <c r="H77" s="8" t="s">
        <v>7</v>
      </c>
      <c r="I77" s="8" t="s">
        <v>9</v>
      </c>
      <c r="J77" s="4"/>
      <c r="K77" s="8" t="s">
        <v>7</v>
      </c>
      <c r="L77" s="8" t="s">
        <v>9</v>
      </c>
      <c r="M77" s="20"/>
      <c r="O77" s="22"/>
    </row>
    <row r="78" spans="1:15" x14ac:dyDescent="0.35">
      <c r="A78" s="2" t="s">
        <v>9</v>
      </c>
      <c r="B78" s="6">
        <f>O72+B71</f>
        <v>-2.7659357423165618</v>
      </c>
      <c r="C78" s="3"/>
      <c r="E78" s="11" t="s">
        <v>11</v>
      </c>
      <c r="F78" s="1">
        <f>-B78*SIN(t.1)+a*SIN(C75)+b*SIN(C77)-c.*SIN(t.4)</f>
        <v>-3.9822772204667345E-4</v>
      </c>
      <c r="H78" s="3">
        <f>-b*SIN(C77)</f>
        <v>-1.8758666998246754</v>
      </c>
      <c r="I78" s="3">
        <f>-COS(t.1)</f>
        <v>-1</v>
      </c>
      <c r="J78" s="4"/>
      <c r="K78" s="3" cm="1">
        <f t="array" ref="K78:L79">MINVERSE(H78:I79)</f>
        <v>0</v>
      </c>
      <c r="L78" s="3">
        <v>-0.17546256525492784</v>
      </c>
      <c r="M78" s="3">
        <f>-F77</f>
        <v>-1.157183271437059E-3</v>
      </c>
      <c r="O78" s="1" cm="1">
        <f t="array" ref="O78:O79">MMULT(K78:L79,M78:M79)</f>
        <v>-6.9874057665935709E-5</v>
      </c>
    </row>
    <row r="79" spans="1:15" x14ac:dyDescent="0.35">
      <c r="H79" s="3">
        <f>b*COS(C77)</f>
        <v>-5.6992213612465417</v>
      </c>
      <c r="I79" s="3">
        <f>-SIN(t.1)</f>
        <v>0</v>
      </c>
      <c r="J79" s="4"/>
      <c r="K79" s="3">
        <v>-1</v>
      </c>
      <c r="L79" s="3">
        <v>0.32914438322753325</v>
      </c>
      <c r="M79" s="3">
        <f>-F78</f>
        <v>3.9822772204667345E-4</v>
      </c>
      <c r="O79" s="1">
        <v>1.288257689394217E-3</v>
      </c>
    </row>
    <row r="81" spans="1:15" x14ac:dyDescent="0.35">
      <c r="A81" s="9" t="s">
        <v>19</v>
      </c>
      <c r="C81" s="2" t="s">
        <v>4</v>
      </c>
    </row>
    <row r="82" spans="1:15" x14ac:dyDescent="0.35">
      <c r="A82" s="2" t="s">
        <v>5</v>
      </c>
      <c r="B82" s="6">
        <v>12</v>
      </c>
      <c r="C82" s="3">
        <f>B82*PI()/180</f>
        <v>0.20943951023931953</v>
      </c>
    </row>
    <row r="83" spans="1:15" x14ac:dyDescent="0.35">
      <c r="A83" s="4"/>
      <c r="B83" s="4"/>
      <c r="C83" s="1"/>
      <c r="H83" s="18" t="s">
        <v>12</v>
      </c>
      <c r="I83" s="18"/>
      <c r="J83" s="4"/>
      <c r="K83" s="18" t="s">
        <v>13</v>
      </c>
      <c r="L83" s="18"/>
      <c r="M83" s="19" t="s">
        <v>14</v>
      </c>
      <c r="O83" s="21" t="s">
        <v>15</v>
      </c>
    </row>
    <row r="84" spans="1:15" x14ac:dyDescent="0.35">
      <c r="A84" s="2" t="s">
        <v>7</v>
      </c>
      <c r="B84" s="6">
        <f>C84*180/PI()</f>
        <v>161.77732670259786</v>
      </c>
      <c r="C84" s="3">
        <f>O78+C77</f>
        <v>2.823547006034874</v>
      </c>
      <c r="E84" s="11" t="s">
        <v>10</v>
      </c>
      <c r="F84" s="1">
        <f>-B85*COS(t.1)+a*COS(C82)+b*COS(C84)-c.*COS(t.4)</f>
        <v>1.3912788101656023E-8</v>
      </c>
      <c r="H84" s="8" t="s">
        <v>7</v>
      </c>
      <c r="I84" s="8" t="s">
        <v>9</v>
      </c>
      <c r="J84" s="4"/>
      <c r="K84" s="8" t="s">
        <v>7</v>
      </c>
      <c r="L84" s="8" t="s">
        <v>9</v>
      </c>
      <c r="M84" s="20"/>
      <c r="O84" s="22"/>
    </row>
    <row r="85" spans="1:15" x14ac:dyDescent="0.35">
      <c r="A85" s="2" t="s">
        <v>9</v>
      </c>
      <c r="B85" s="6">
        <f>O79+B78</f>
        <v>-2.7646474846271678</v>
      </c>
      <c r="C85" s="3"/>
      <c r="E85" s="11" t="s">
        <v>11</v>
      </c>
      <c r="F85" s="1">
        <f>-B85*SIN(t.1)+a*SIN(C82)+b*SIN(C84)-c.*SIN(t.4)</f>
        <v>-4.5796735292924495E-9</v>
      </c>
      <c r="H85" s="3">
        <f>-b*SIN(C84)</f>
        <v>-1.8762649229670483</v>
      </c>
      <c r="I85" s="3">
        <f>-COS(t.1)</f>
        <v>-1</v>
      </c>
      <c r="J85" s="4"/>
      <c r="K85" s="3" cm="1">
        <f t="array" ref="K85:L86">MINVERSE(H85:I86)</f>
        <v>0</v>
      </c>
      <c r="L85" s="3">
        <v>-0.1754666011788536</v>
      </c>
      <c r="M85" s="3">
        <f>-F84</f>
        <v>-1.3912788101656023E-8</v>
      </c>
      <c r="O85" s="1" cm="1">
        <f t="array" ref="O85:O86">MMULT(K85:L86,M85:M86)</f>
        <v>-8.0357974869371116E-10</v>
      </c>
    </row>
    <row r="86" spans="1:15" x14ac:dyDescent="0.35">
      <c r="H86" s="3">
        <f>b*COS(C84)</f>
        <v>-5.6990902729157966</v>
      </c>
      <c r="I86" s="3">
        <f>-SIN(t.1)</f>
        <v>0</v>
      </c>
      <c r="J86" s="4"/>
      <c r="K86" s="3">
        <v>-1</v>
      </c>
      <c r="L86" s="3">
        <v>0.32922182894413154</v>
      </c>
      <c r="M86" s="3">
        <f>-F85</f>
        <v>4.5796735292924495E-9</v>
      </c>
      <c r="O86" s="1">
        <v>1.542051659693671E-8</v>
      </c>
    </row>
    <row r="88" spans="1:15" x14ac:dyDescent="0.35">
      <c r="A88" s="9" t="s">
        <v>20</v>
      </c>
      <c r="C88" s="2" t="s">
        <v>4</v>
      </c>
    </row>
    <row r="89" spans="1:15" x14ac:dyDescent="0.35">
      <c r="A89" s="2" t="s">
        <v>5</v>
      </c>
      <c r="B89" s="6">
        <v>12</v>
      </c>
      <c r="C89" s="3">
        <f>B89*PI()/180</f>
        <v>0.20943951023931953</v>
      </c>
    </row>
    <row r="90" spans="1:15" x14ac:dyDescent="0.35">
      <c r="A90" s="4"/>
      <c r="B90" s="4"/>
      <c r="C90" s="1"/>
      <c r="H90" s="18" t="s">
        <v>12</v>
      </c>
      <c r="I90" s="18"/>
      <c r="J90" s="4"/>
      <c r="K90" s="18" t="s">
        <v>13</v>
      </c>
      <c r="L90" s="18"/>
      <c r="M90" s="19" t="s">
        <v>14</v>
      </c>
      <c r="O90" s="21" t="s">
        <v>15</v>
      </c>
    </row>
    <row r="91" spans="1:15" x14ac:dyDescent="0.35">
      <c r="A91" s="2" t="s">
        <v>7</v>
      </c>
      <c r="B91" s="6">
        <f>C91*180/PI()</f>
        <v>161.77732665655611</v>
      </c>
      <c r="C91" s="3">
        <f>O85+C84</f>
        <v>2.8235470052312941</v>
      </c>
      <c r="E91" s="11" t="s">
        <v>10</v>
      </c>
      <c r="F91" s="1">
        <f>-B92*COS(t.1)+a*COS(C89)+b*COS(C91)-c.*COS(t.4)</f>
        <v>-1.531435568635775E-16</v>
      </c>
      <c r="H91" s="8" t="s">
        <v>7</v>
      </c>
      <c r="I91" s="8" t="s">
        <v>9</v>
      </c>
      <c r="J91" s="4"/>
      <c r="K91" s="8" t="s">
        <v>7</v>
      </c>
      <c r="L91" s="8" t="s">
        <v>9</v>
      </c>
      <c r="M91" s="20"/>
      <c r="O91" s="22"/>
    </row>
    <row r="92" spans="1:15" x14ac:dyDescent="0.35">
      <c r="A92" s="2" t="s">
        <v>9</v>
      </c>
      <c r="B92" s="6">
        <f>O86+B85</f>
        <v>-2.7646474692066514</v>
      </c>
      <c r="C92" s="3"/>
      <c r="E92" s="11" t="s">
        <v>11</v>
      </c>
      <c r="F92" s="1">
        <f>-B92*SIN(t.1)+a*SIN(C89)+b*SIN(C91)-c.*SIN(t.4)</f>
        <v>0</v>
      </c>
      <c r="H92" s="3">
        <f>-b*SIN(C91)</f>
        <v>-1.8762649275467225</v>
      </c>
      <c r="I92" s="3">
        <f>-COS(B49)</f>
        <v>0.13276157748559003</v>
      </c>
      <c r="J92" s="4"/>
      <c r="K92" s="3" cm="1">
        <f t="array" ref="K92:L93">MINVERSE(H92:I93)</f>
        <v>-0.89856358623135579</v>
      </c>
      <c r="L92" s="3">
        <v>0.12036014685674078</v>
      </c>
      <c r="M92" s="3">
        <f>-F91</f>
        <v>1.531435568635775E-16</v>
      </c>
      <c r="O92" s="1" cm="1">
        <f t="array" ref="O92:O93">MMULT(K92:L93,M92:M93)</f>
        <v>-1.3760922366356177E-16</v>
      </c>
    </row>
    <row r="93" spans="1:15" x14ac:dyDescent="0.35">
      <c r="H93" s="3">
        <f>b*COS(C91)</f>
        <v>-5.6990902714080685</v>
      </c>
      <c r="I93" s="3">
        <f>-SIN(B49)</f>
        <v>0.9911480028449523</v>
      </c>
      <c r="J93" s="4"/>
      <c r="K93" s="3">
        <v>-5.1667308795796005</v>
      </c>
      <c r="L93" s="3">
        <v>1.7010005944392081</v>
      </c>
      <c r="M93" s="3">
        <f>-F92</f>
        <v>0</v>
      </c>
      <c r="O93" s="1">
        <v>-7.9125154425570037E-16</v>
      </c>
    </row>
    <row r="95" spans="1:15" x14ac:dyDescent="0.35">
      <c r="A95" s="12"/>
      <c r="B95" s="13"/>
      <c r="C95" s="14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spans="1:15" x14ac:dyDescent="0.35">
      <c r="A96" s="9" t="s">
        <v>6</v>
      </c>
      <c r="C96" s="2" t="s">
        <v>4</v>
      </c>
    </row>
    <row r="97" spans="1:18" x14ac:dyDescent="0.35">
      <c r="A97" s="2" t="s">
        <v>5</v>
      </c>
      <c r="B97" s="6">
        <v>0</v>
      </c>
      <c r="C97" s="3">
        <f>B97*PI()/180</f>
        <v>0</v>
      </c>
    </row>
    <row r="98" spans="1:18" x14ac:dyDescent="0.35">
      <c r="A98" s="4"/>
      <c r="B98" s="4"/>
      <c r="C98" s="1"/>
      <c r="H98" s="18" t="s">
        <v>12</v>
      </c>
      <c r="I98" s="18"/>
      <c r="J98" s="4"/>
      <c r="K98" s="18" t="s">
        <v>13</v>
      </c>
      <c r="L98" s="18"/>
      <c r="M98" s="19" t="s">
        <v>14</v>
      </c>
      <c r="O98" s="21" t="s">
        <v>15</v>
      </c>
    </row>
    <row r="99" spans="1:18" x14ac:dyDescent="0.35">
      <c r="A99" s="2" t="s">
        <v>7</v>
      </c>
      <c r="B99" s="6">
        <v>110</v>
      </c>
      <c r="C99" s="3">
        <f>B99*PI()/180</f>
        <v>1.9198621771937625</v>
      </c>
      <c r="E99" s="11" t="s">
        <v>10</v>
      </c>
      <c r="F99" s="1">
        <f>-B100*COS(t.1)+a*COS(C97)+b*COS(C99)-c.*COS(t.4)</f>
        <v>-5.0521208599540124</v>
      </c>
      <c r="H99" s="8" t="s">
        <v>7</v>
      </c>
      <c r="I99" s="8" t="s">
        <v>9</v>
      </c>
      <c r="J99" s="4"/>
      <c r="K99" s="8" t="s">
        <v>7</v>
      </c>
      <c r="L99" s="8" t="s">
        <v>9</v>
      </c>
      <c r="M99" s="20"/>
      <c r="O99" s="22"/>
    </row>
    <row r="100" spans="1:18" x14ac:dyDescent="0.35">
      <c r="A100" s="2" t="s">
        <v>9</v>
      </c>
      <c r="B100" s="6">
        <v>6</v>
      </c>
      <c r="C100" s="3"/>
      <c r="E100" s="11" t="s">
        <v>11</v>
      </c>
      <c r="F100" s="1">
        <f>-B100*SIN(t.1)+a*SIN(C97)+b*SIN(C99)-c.*SIN(t.4)</f>
        <v>3.1381557247154506</v>
      </c>
      <c r="H100" s="3">
        <f>-b*SIN(C99)</f>
        <v>-5.6381557247154506</v>
      </c>
      <c r="I100" s="3">
        <f>-COS(t.1)</f>
        <v>-1</v>
      </c>
      <c r="J100" s="4"/>
      <c r="K100" s="3" cm="1">
        <f t="array" ref="K100:L101">MINVERSE(H100:I101)</f>
        <v>0</v>
      </c>
      <c r="L100" s="3">
        <v>-0.48730073336051455</v>
      </c>
      <c r="M100" s="3">
        <f>-F99</f>
        <v>5.0521208599540124</v>
      </c>
      <c r="O100" s="1" cm="1">
        <f t="array" ref="O100:O101">MMULT(K100:L101,M100:M101)</f>
        <v>1.5292255860533361</v>
      </c>
    </row>
    <row r="101" spans="1:18" x14ac:dyDescent="0.35">
      <c r="H101" s="3">
        <f>b*COS(C99)</f>
        <v>-2.0521208599540124</v>
      </c>
      <c r="I101" s="3">
        <f>-SIN(t.1)</f>
        <v>0</v>
      </c>
      <c r="J101" s="4"/>
      <c r="K101" s="3">
        <v>-1</v>
      </c>
      <c r="L101" s="3">
        <v>2.7474774194546225</v>
      </c>
      <c r="M101" s="3">
        <f>-F100</f>
        <v>-3.1381557247154506</v>
      </c>
      <c r="O101" s="1">
        <v>-13.67413285234197</v>
      </c>
    </row>
    <row r="103" spans="1:18" x14ac:dyDescent="0.35">
      <c r="A103" s="9" t="s">
        <v>16</v>
      </c>
      <c r="C103" s="2" t="s">
        <v>4</v>
      </c>
    </row>
    <row r="104" spans="1:18" x14ac:dyDescent="0.35">
      <c r="A104" s="2" t="s">
        <v>5</v>
      </c>
      <c r="B104" s="6">
        <v>24</v>
      </c>
      <c r="C104" s="3">
        <f>B104*PI()/180</f>
        <v>0.41887902047863906</v>
      </c>
    </row>
    <row r="105" spans="1:18" x14ac:dyDescent="0.35">
      <c r="A105" s="4"/>
      <c r="B105" s="4"/>
      <c r="C105" s="1"/>
      <c r="H105" s="18" t="s">
        <v>12</v>
      </c>
      <c r="I105" s="18"/>
      <c r="J105" s="4"/>
      <c r="K105" s="18" t="s">
        <v>13</v>
      </c>
      <c r="L105" s="18"/>
      <c r="M105" s="19" t="s">
        <v>14</v>
      </c>
      <c r="O105" s="21" t="s">
        <v>15</v>
      </c>
    </row>
    <row r="106" spans="1:18" x14ac:dyDescent="0.35">
      <c r="A106" s="2" t="s">
        <v>7</v>
      </c>
      <c r="B106" s="6">
        <f>C106*180/PI()</f>
        <v>197.61817200427606</v>
      </c>
      <c r="C106" s="3">
        <f>O100+C99</f>
        <v>3.4490877632470989</v>
      </c>
      <c r="E106" s="11" t="s">
        <v>10</v>
      </c>
      <c r="F106" s="1">
        <f>-B107*COS(t.1)+a*COS(C104)+b*COS(C106)-c.*COS(t.4)</f>
        <v>4.6962009063277135</v>
      </c>
      <c r="H106" s="8" t="s">
        <v>7</v>
      </c>
      <c r="I106" s="8" t="s">
        <v>9</v>
      </c>
      <c r="J106" s="4"/>
      <c r="K106" s="8" t="s">
        <v>7</v>
      </c>
      <c r="L106" s="8" t="s">
        <v>9</v>
      </c>
      <c r="M106" s="20"/>
      <c r="O106" s="22"/>
      <c r="Q106" s="17"/>
      <c r="R106" s="17"/>
    </row>
    <row r="107" spans="1:18" x14ac:dyDescent="0.35">
      <c r="A107" s="2" t="s">
        <v>9</v>
      </c>
      <c r="B107" s="6">
        <f>O101+B100</f>
        <v>-7.6741328523419696</v>
      </c>
      <c r="C107" s="3"/>
      <c r="E107" s="11" t="s">
        <v>11</v>
      </c>
      <c r="F107" s="1">
        <f>-B107*SIN(t.1)+a*SIN(C104)+b*SIN(C106)-c.*SIN(t.4)</f>
        <v>-3.0958232151816429</v>
      </c>
      <c r="H107" s="3">
        <f>-b*SIN(C106)</f>
        <v>1.8160331444090434</v>
      </c>
      <c r="I107" s="3">
        <f>-COS(t.1)</f>
        <v>-1</v>
      </c>
      <c r="J107" s="4"/>
      <c r="K107" s="3" cm="1">
        <f t="array" ref="K107:L108">MINVERSE(H107:I108)</f>
        <v>0</v>
      </c>
      <c r="L107" s="3">
        <v>-0.1748689434534903</v>
      </c>
      <c r="M107" s="3">
        <f>-F106</f>
        <v>-4.6962009063277135</v>
      </c>
      <c r="O107" s="1" cm="1">
        <f t="array" ref="O107:O108">MMULT(K107:L108,M107:M108)</f>
        <v>-0.54136333475760123</v>
      </c>
    </row>
    <row r="108" spans="1:18" x14ac:dyDescent="0.35">
      <c r="H108" s="3">
        <f>b*COS(C106)</f>
        <v>-5.7185683189420589</v>
      </c>
      <c r="I108" s="3">
        <f>-SIN(t.1)</f>
        <v>0</v>
      </c>
      <c r="J108" s="4"/>
      <c r="K108" s="3">
        <v>-1</v>
      </c>
      <c r="L108" s="3">
        <v>-0.31756779723932921</v>
      </c>
      <c r="M108" s="3">
        <f>-F107</f>
        <v>3.0958232151816429</v>
      </c>
      <c r="O108" s="1">
        <v>3.7130671472401011</v>
      </c>
    </row>
    <row r="110" spans="1:18" x14ac:dyDescent="0.35">
      <c r="A110" s="9" t="s">
        <v>17</v>
      </c>
      <c r="C110" s="2" t="s">
        <v>4</v>
      </c>
    </row>
    <row r="111" spans="1:18" x14ac:dyDescent="0.35">
      <c r="A111" s="2" t="s">
        <v>5</v>
      </c>
      <c r="B111" s="6">
        <v>24</v>
      </c>
      <c r="C111" s="3">
        <f>B111*PI()/180</f>
        <v>0.41887902047863906</v>
      </c>
    </row>
    <row r="112" spans="1:18" x14ac:dyDescent="0.35">
      <c r="A112" s="4"/>
      <c r="B112" s="4"/>
      <c r="C112" s="1"/>
      <c r="H112" s="18" t="s">
        <v>12</v>
      </c>
      <c r="I112" s="18"/>
      <c r="J112" s="4"/>
      <c r="K112" s="18" t="s">
        <v>13</v>
      </c>
      <c r="L112" s="18"/>
      <c r="M112" s="19" t="s">
        <v>14</v>
      </c>
      <c r="O112" s="21" t="s">
        <v>15</v>
      </c>
    </row>
    <row r="113" spans="1:15" x14ac:dyDescent="0.35">
      <c r="A113" s="2" t="s">
        <v>7</v>
      </c>
      <c r="B113" s="6">
        <f>C113*180/PI()</f>
        <v>166.60033773953757</v>
      </c>
      <c r="C113" s="3">
        <f>O107+C106</f>
        <v>2.9077244284894976</v>
      </c>
      <c r="E113" s="11" t="s">
        <v>10</v>
      </c>
      <c r="F113" s="1">
        <f>-B114*COS(t.1)+a*COS(C111)+b*COS(C113)-c.*COS(t.4)</f>
        <v>0.86503861241445701</v>
      </c>
      <c r="H113" s="8" t="s">
        <v>7</v>
      </c>
      <c r="I113" s="8" t="s">
        <v>9</v>
      </c>
      <c r="J113" s="4"/>
      <c r="K113" s="8" t="s">
        <v>7</v>
      </c>
      <c r="L113" s="8" t="s">
        <v>9</v>
      </c>
      <c r="M113" s="20"/>
      <c r="O113" s="22"/>
    </row>
    <row r="114" spans="1:15" x14ac:dyDescent="0.35">
      <c r="A114" s="2" t="s">
        <v>9</v>
      </c>
      <c r="B114" s="6">
        <f>O108+B107</f>
        <v>-3.9610657051018685</v>
      </c>
      <c r="C114" s="3"/>
      <c r="E114" s="11" t="s">
        <v>11</v>
      </c>
      <c r="F114" s="1">
        <f>-B114*SIN(t.1)+a*SIN(C111)+b*SIN(C113)-c.*SIN(t.4)</f>
        <v>0.11066294502930418</v>
      </c>
      <c r="H114" s="3">
        <f>-b*SIN(C113)</f>
        <v>-1.3904530158019039</v>
      </c>
      <c r="I114" s="3">
        <f>-COS(t.1)</f>
        <v>-1</v>
      </c>
      <c r="J114" s="4"/>
      <c r="K114" s="3" cm="1">
        <f t="array" ref="K114:L115">MINVERSE(H114:I115)</f>
        <v>0</v>
      </c>
      <c r="L114" s="3">
        <v>-0.17133076215395518</v>
      </c>
      <c r="M114" s="3">
        <f>-F113</f>
        <v>-0.86503861241445701</v>
      </c>
      <c r="O114" s="1" cm="1">
        <f t="array" ref="O114:O115">MMULT(K114:L115,M114:M115)</f>
        <v>1.8959966714071932E-2</v>
      </c>
    </row>
    <row r="115" spans="1:15" x14ac:dyDescent="0.35">
      <c r="H115" s="3">
        <f>b*COS(C113)</f>
        <v>-5.8366634656152137</v>
      </c>
      <c r="I115" s="3">
        <f>-SIN(t.1)</f>
        <v>0</v>
      </c>
      <c r="J115" s="4"/>
      <c r="K115" s="3">
        <v>-1</v>
      </c>
      <c r="L115" s="3">
        <v>0.2382273749366057</v>
      </c>
      <c r="M115" s="3">
        <f>-F114</f>
        <v>-0.11066294502930418</v>
      </c>
      <c r="O115" s="1">
        <v>0.83867566951737194</v>
      </c>
    </row>
    <row r="117" spans="1:15" x14ac:dyDescent="0.35">
      <c r="A117" s="9" t="s">
        <v>18</v>
      </c>
      <c r="C117" s="2" t="s">
        <v>4</v>
      </c>
    </row>
    <row r="118" spans="1:15" x14ac:dyDescent="0.35">
      <c r="A118" s="2" t="s">
        <v>5</v>
      </c>
      <c r="B118" s="6">
        <v>24</v>
      </c>
      <c r="C118" s="3">
        <f>B118*PI()/180</f>
        <v>0.41887902047863906</v>
      </c>
    </row>
    <row r="119" spans="1:15" x14ac:dyDescent="0.35">
      <c r="A119" s="4"/>
      <c r="B119" s="4"/>
      <c r="C119" s="1"/>
      <c r="H119" s="18" t="s">
        <v>12</v>
      </c>
      <c r="I119" s="18"/>
      <c r="J119" s="4"/>
      <c r="K119" s="18" t="s">
        <v>13</v>
      </c>
      <c r="L119" s="18"/>
      <c r="M119" s="19" t="s">
        <v>14</v>
      </c>
      <c r="O119" s="21" t="s">
        <v>15</v>
      </c>
    </row>
    <row r="120" spans="1:15" x14ac:dyDescent="0.35">
      <c r="A120" s="2" t="s">
        <v>7</v>
      </c>
      <c r="B120" s="6">
        <f>C120*180/PI()</f>
        <v>167.68666381196243</v>
      </c>
      <c r="C120" s="3">
        <f>O114+C113</f>
        <v>2.9266843952035697</v>
      </c>
      <c r="E120" s="11" t="s">
        <v>10</v>
      </c>
      <c r="F120" s="1">
        <f>-B121*COS(t.1)+a*COS(C118)+b*COS(C120)-c.*COS(t.4)</f>
        <v>1.0506309153200523E-3</v>
      </c>
      <c r="H120" s="8" t="s">
        <v>7</v>
      </c>
      <c r="I120" s="8" t="s">
        <v>9</v>
      </c>
      <c r="J120" s="4"/>
      <c r="K120" s="8" t="s">
        <v>7</v>
      </c>
      <c r="L120" s="8" t="s">
        <v>9</v>
      </c>
      <c r="M120" s="20"/>
      <c r="O120" s="22"/>
    </row>
    <row r="121" spans="1:15" x14ac:dyDescent="0.35">
      <c r="A121" s="2" t="s">
        <v>9</v>
      </c>
      <c r="B121" s="6">
        <f>O115+B114</f>
        <v>-3.1223900355844965</v>
      </c>
      <c r="C121" s="3"/>
      <c r="E121" s="11" t="s">
        <v>11</v>
      </c>
      <c r="F121" s="1">
        <f>-B121*SIN(t.1)+a*SIN(C118)+b*SIN(C120)-c.*SIN(t.4)</f>
        <v>-2.4328270023854515E-4</v>
      </c>
      <c r="H121" s="3">
        <f>-b*SIN(C120)</f>
        <v>-1.2795467880723608</v>
      </c>
      <c r="I121" s="3">
        <f>-COS(t.1)</f>
        <v>-1</v>
      </c>
      <c r="J121" s="4"/>
      <c r="K121" s="3" cm="1">
        <f t="array" ref="K121:L122">MINVERSE(H121:I122)</f>
        <v>0</v>
      </c>
      <c r="L121" s="3">
        <v>-0.17059094713795178</v>
      </c>
      <c r="M121" s="3">
        <f>-F120</f>
        <v>-1.0506309153200523E-3</v>
      </c>
      <c r="O121" s="1" cm="1">
        <f t="array" ref="O121:O122">MMULT(K121:L122,M121:M122)</f>
        <v>-4.1501826255971826E-5</v>
      </c>
    </row>
    <row r="122" spans="1:15" x14ac:dyDescent="0.35">
      <c r="H122" s="3">
        <f>b*COS(C120)</f>
        <v>-5.861975777596979</v>
      </c>
      <c r="I122" s="3">
        <f>-SIN(t.1)</f>
        <v>0</v>
      </c>
      <c r="J122" s="4"/>
      <c r="K122" s="3">
        <v>-1</v>
      </c>
      <c r="L122" s="3">
        <v>0.21827909848458807</v>
      </c>
      <c r="M122" s="3">
        <f>-F121</f>
        <v>2.4328270023854515E-4</v>
      </c>
      <c r="O122" s="1">
        <v>1.1037344438050182E-3</v>
      </c>
    </row>
    <row r="124" spans="1:15" x14ac:dyDescent="0.35">
      <c r="A124" s="9" t="s">
        <v>19</v>
      </c>
      <c r="C124" s="2" t="s">
        <v>4</v>
      </c>
    </row>
    <row r="125" spans="1:15" x14ac:dyDescent="0.35">
      <c r="A125" s="2" t="s">
        <v>5</v>
      </c>
      <c r="B125" s="6">
        <v>24</v>
      </c>
      <c r="C125" s="3">
        <f>B125*PI()/180</f>
        <v>0.41887902047863906</v>
      </c>
    </row>
    <row r="126" spans="1:15" x14ac:dyDescent="0.35">
      <c r="A126" s="4"/>
      <c r="B126" s="4"/>
      <c r="C126" s="1"/>
      <c r="H126" s="18" t="s">
        <v>12</v>
      </c>
      <c r="I126" s="18"/>
      <c r="J126" s="4"/>
      <c r="K126" s="18" t="s">
        <v>13</v>
      </c>
      <c r="L126" s="18"/>
      <c r="M126" s="19" t="s">
        <v>14</v>
      </c>
      <c r="O126" s="21" t="s">
        <v>15</v>
      </c>
    </row>
    <row r="127" spans="1:15" x14ac:dyDescent="0.35">
      <c r="A127" s="2" t="s">
        <v>7</v>
      </c>
      <c r="B127" s="6">
        <f>C127*180/PI()</f>
        <v>167.68428593247589</v>
      </c>
      <c r="C127" s="3">
        <f>O121+C120</f>
        <v>2.9266428933773136</v>
      </c>
      <c r="E127" s="11" t="s">
        <v>10</v>
      </c>
      <c r="F127" s="1">
        <f>-B128*COS(t.1)+a*COS(C125)+b*COS(C127)-c.*COS(t.4)</f>
        <v>5.0483233838389228E-9</v>
      </c>
      <c r="H127" s="8" t="s">
        <v>7</v>
      </c>
      <c r="I127" s="8" t="s">
        <v>9</v>
      </c>
      <c r="J127" s="4"/>
      <c r="K127" s="8" t="s">
        <v>7</v>
      </c>
      <c r="L127" s="8" t="s">
        <v>9</v>
      </c>
      <c r="M127" s="20"/>
      <c r="O127" s="22"/>
    </row>
    <row r="128" spans="1:15" x14ac:dyDescent="0.35">
      <c r="A128" s="2" t="s">
        <v>9</v>
      </c>
      <c r="B128" s="6">
        <f>O122+B121</f>
        <v>-3.1212863011406915</v>
      </c>
      <c r="C128" s="3"/>
      <c r="E128" s="11" t="s">
        <v>11</v>
      </c>
      <c r="F128" s="1">
        <f>-B128*SIN(t.1)+a*SIN(C125)+b*SIN(C127)-c.*SIN(t.4)</f>
        <v>-1.1020162560271274E-9</v>
      </c>
      <c r="H128" s="3">
        <f>-b*SIN(C127)</f>
        <v>-1.2797900696705833</v>
      </c>
      <c r="I128" s="3">
        <f>-COS(t.1)</f>
        <v>-1</v>
      </c>
      <c r="J128" s="4"/>
      <c r="K128" s="3" cm="1">
        <f t="array" ref="K128:L129">MINVERSE(H128:I129)</f>
        <v>0</v>
      </c>
      <c r="L128" s="3">
        <v>-0.1705924926790533</v>
      </c>
      <c r="M128" s="3">
        <f>-F127</f>
        <v>-5.0483233838389228E-9</v>
      </c>
      <c r="O128" s="1" cm="1">
        <f t="array" ref="O128:O129">MMULT(K128:L129,M128:M129)</f>
        <v>-1.8799570008850545E-10</v>
      </c>
    </row>
    <row r="129" spans="1:15" x14ac:dyDescent="0.35">
      <c r="H129" s="3">
        <f>b*COS(C127)</f>
        <v>-5.8619226690201707</v>
      </c>
      <c r="I129" s="3">
        <f>-SIN(t.1)</f>
        <v>0</v>
      </c>
      <c r="J129" s="4"/>
      <c r="K129" s="3">
        <v>-1</v>
      </c>
      <c r="L129" s="3">
        <v>0.21832257809100408</v>
      </c>
      <c r="M129" s="3">
        <f>-F128</f>
        <v>1.1020162560271274E-9</v>
      </c>
      <c r="O129" s="1">
        <v>5.288918413952961E-9</v>
      </c>
    </row>
    <row r="131" spans="1:15" x14ac:dyDescent="0.35">
      <c r="A131" s="9" t="s">
        <v>20</v>
      </c>
      <c r="C131" s="2" t="s">
        <v>4</v>
      </c>
    </row>
    <row r="132" spans="1:15" x14ac:dyDescent="0.35">
      <c r="A132" s="2" t="s">
        <v>5</v>
      </c>
      <c r="B132" s="6">
        <v>24</v>
      </c>
      <c r="C132" s="3">
        <f>B132*PI()/180</f>
        <v>0.41887902047863906</v>
      </c>
    </row>
    <row r="133" spans="1:15" x14ac:dyDescent="0.35">
      <c r="A133" s="4"/>
      <c r="B133" s="4"/>
      <c r="C133" s="1"/>
      <c r="H133" s="18" t="s">
        <v>12</v>
      </c>
      <c r="I133" s="18"/>
      <c r="J133" s="4"/>
      <c r="K133" s="18" t="s">
        <v>13</v>
      </c>
      <c r="L133" s="18"/>
      <c r="M133" s="19" t="s">
        <v>14</v>
      </c>
      <c r="O133" s="21" t="s">
        <v>15</v>
      </c>
    </row>
    <row r="134" spans="1:15" x14ac:dyDescent="0.35">
      <c r="A134" s="2" t="s">
        <v>7</v>
      </c>
      <c r="B134" s="6">
        <f>C134*180/PI()</f>
        <v>167.68428592170449</v>
      </c>
      <c r="C134" s="3">
        <f>O128+C127</f>
        <v>2.9266428931893178</v>
      </c>
      <c r="E134" s="11" t="s">
        <v>10</v>
      </c>
      <c r="F134" s="1">
        <f>-B135*COS(t.1)+a*COS(C132)+b*COS(C134)-c.*COS(t.4)</f>
        <v>-1.531435568635775E-16</v>
      </c>
      <c r="H134" s="8" t="s">
        <v>7</v>
      </c>
      <c r="I134" s="8" t="s">
        <v>9</v>
      </c>
      <c r="J134" s="4"/>
      <c r="K134" s="8" t="s">
        <v>7</v>
      </c>
      <c r="L134" s="8" t="s">
        <v>9</v>
      </c>
      <c r="M134" s="20"/>
      <c r="O134" s="22"/>
    </row>
    <row r="135" spans="1:15" x14ac:dyDescent="0.35">
      <c r="A135" s="2" t="s">
        <v>9</v>
      </c>
      <c r="B135" s="6">
        <f>O129+B128</f>
        <v>-3.1212862958517733</v>
      </c>
      <c r="C135" s="3"/>
      <c r="E135" s="11" t="s">
        <v>11</v>
      </c>
      <c r="F135" s="1">
        <f>-B135*SIN(t.1)+a*SIN(C132)+b*SIN(C134)-c.*SIN(t.4)</f>
        <v>0</v>
      </c>
      <c r="H135" s="3">
        <f>-b*SIN(C134)</f>
        <v>-1.2797900707726004</v>
      </c>
      <c r="I135" s="3">
        <f>-COS(B92)</f>
        <v>0.92979339435809871</v>
      </c>
      <c r="J135" s="4"/>
      <c r="K135" s="3" cm="1">
        <f t="array" ref="K135:L136">MINVERSE(H135:I136)</f>
        <v>7.3922266709538553E-2</v>
      </c>
      <c r="L135" s="3">
        <v>-0.18673139254697177</v>
      </c>
      <c r="M135" s="3">
        <f>-F134</f>
        <v>1.531435568635775E-16</v>
      </c>
      <c r="O135" s="1" cm="1">
        <f t="array" ref="O135:O136">MMULT(K135:L136,M135:M136)</f>
        <v>1.1320718855316759E-17</v>
      </c>
    </row>
    <row r="136" spans="1:15" x14ac:dyDescent="0.35">
      <c r="H136" s="3">
        <f>b*COS(C134)</f>
        <v>-5.8619226687795756</v>
      </c>
      <c r="I136" s="3">
        <f>-SIN(B92)</f>
        <v>0.36808184389894205</v>
      </c>
      <c r="J136" s="4"/>
      <c r="K136" s="3">
        <v>1.1772561405424411</v>
      </c>
      <c r="L136" s="3">
        <v>-0.25702159590855961</v>
      </c>
      <c r="M136" s="3">
        <f>-F135</f>
        <v>0</v>
      </c>
      <c r="O136" s="1">
        <v>1.8028919270215711E-16</v>
      </c>
    </row>
    <row r="138" spans="1:15" x14ac:dyDescent="0.35">
      <c r="A138" s="9" t="s">
        <v>6</v>
      </c>
      <c r="C138" s="2" t="s">
        <v>4</v>
      </c>
    </row>
    <row r="139" spans="1:15" x14ac:dyDescent="0.35">
      <c r="A139" s="2" t="s">
        <v>5</v>
      </c>
      <c r="B139" s="6">
        <v>0</v>
      </c>
      <c r="C139" s="3">
        <f>B139*PI()/180</f>
        <v>0</v>
      </c>
    </row>
    <row r="140" spans="1:15" x14ac:dyDescent="0.35">
      <c r="A140" s="4"/>
      <c r="B140" s="4"/>
      <c r="C140" s="1"/>
      <c r="H140" s="18" t="s">
        <v>12</v>
      </c>
      <c r="I140" s="18"/>
      <c r="J140" s="4"/>
      <c r="K140" s="18" t="s">
        <v>13</v>
      </c>
      <c r="L140" s="18"/>
      <c r="M140" s="19" t="s">
        <v>14</v>
      </c>
      <c r="O140" s="21" t="s">
        <v>15</v>
      </c>
    </row>
    <row r="141" spans="1:15" x14ac:dyDescent="0.35">
      <c r="A141" s="2" t="s">
        <v>7</v>
      </c>
      <c r="B141" s="6">
        <v>110</v>
      </c>
      <c r="C141" s="3">
        <f>B141*PI()/180</f>
        <v>1.9198621771937625</v>
      </c>
      <c r="E141" s="11" t="s">
        <v>10</v>
      </c>
      <c r="F141" s="1">
        <f>-B142*COS(t.1)+a*COS(C139)+b*COS(C141)-c.*COS(t.4)</f>
        <v>-5.0521208599540124</v>
      </c>
      <c r="H141" s="8" t="s">
        <v>7</v>
      </c>
      <c r="I141" s="8" t="s">
        <v>9</v>
      </c>
      <c r="J141" s="4"/>
      <c r="K141" s="8" t="s">
        <v>7</v>
      </c>
      <c r="L141" s="8" t="s">
        <v>9</v>
      </c>
      <c r="M141" s="20"/>
      <c r="O141" s="22"/>
    </row>
    <row r="142" spans="1:15" x14ac:dyDescent="0.35">
      <c r="A142" s="2" t="s">
        <v>9</v>
      </c>
      <c r="B142" s="6">
        <v>6</v>
      </c>
      <c r="C142" s="3"/>
      <c r="E142" s="11" t="s">
        <v>11</v>
      </c>
      <c r="F142" s="1">
        <f>-B142*SIN(t.1)+a*SIN(C139)+b*SIN(C141)-c.*SIN(t.4)</f>
        <v>3.1381557247154506</v>
      </c>
      <c r="H142" s="3">
        <f>-b*SIN(C141)</f>
        <v>-5.6381557247154506</v>
      </c>
      <c r="I142" s="3">
        <f>-COS(t.1)</f>
        <v>-1</v>
      </c>
      <c r="J142" s="4"/>
      <c r="K142" s="3" cm="1">
        <f t="array" ref="K142:L143">MINVERSE(H142:I143)</f>
        <v>0</v>
      </c>
      <c r="L142" s="3">
        <v>-0.48730073336051455</v>
      </c>
      <c r="M142" s="3">
        <f>-F141</f>
        <v>5.0521208599540124</v>
      </c>
      <c r="O142" s="1" cm="1">
        <f t="array" ref="O142:O143">MMULT(K142:L143,M142:M143)</f>
        <v>1.5292255860533361</v>
      </c>
    </row>
    <row r="143" spans="1:15" x14ac:dyDescent="0.35">
      <c r="H143" s="3">
        <f>b*COS(C141)</f>
        <v>-2.0521208599540124</v>
      </c>
      <c r="I143" s="3">
        <f>-SIN(t.1)</f>
        <v>0</v>
      </c>
      <c r="J143" s="4"/>
      <c r="K143" s="3">
        <v>-1</v>
      </c>
      <c r="L143" s="3">
        <v>2.7474774194546225</v>
      </c>
      <c r="M143" s="3">
        <f>-F142</f>
        <v>-3.1381557247154506</v>
      </c>
      <c r="O143" s="1">
        <v>-13.67413285234197</v>
      </c>
    </row>
    <row r="145" spans="1:15" x14ac:dyDescent="0.35">
      <c r="A145" s="9" t="s">
        <v>16</v>
      </c>
      <c r="C145" s="2" t="s">
        <v>4</v>
      </c>
    </row>
    <row r="146" spans="1:15" x14ac:dyDescent="0.35">
      <c r="A146" s="2" t="s">
        <v>5</v>
      </c>
      <c r="B146" s="6">
        <v>36</v>
      </c>
      <c r="C146" s="3">
        <f>B146*PI()/180</f>
        <v>0.62831853071795862</v>
      </c>
    </row>
    <row r="147" spans="1:15" x14ac:dyDescent="0.35">
      <c r="A147" s="4"/>
      <c r="B147" s="4"/>
      <c r="C147" s="1"/>
      <c r="H147" s="18" t="s">
        <v>12</v>
      </c>
      <c r="I147" s="18"/>
      <c r="J147" s="4"/>
      <c r="K147" s="18" t="s">
        <v>13</v>
      </c>
      <c r="L147" s="18"/>
      <c r="M147" s="19" t="s">
        <v>14</v>
      </c>
      <c r="O147" s="21" t="s">
        <v>15</v>
      </c>
    </row>
    <row r="148" spans="1:15" x14ac:dyDescent="0.35">
      <c r="A148" s="2" t="s">
        <v>7</v>
      </c>
      <c r="B148" s="6">
        <f>C148*180/PI()</f>
        <v>197.61817200427606</v>
      </c>
      <c r="C148" s="3">
        <f>O142+C141</f>
        <v>3.4490877632470989</v>
      </c>
      <c r="E148" s="11" t="s">
        <v>10</v>
      </c>
      <c r="F148" s="1">
        <f>-B149*COS(t.1)+a*COS(C146)+b*COS(C148)-c.*COS(t.4)</f>
        <v>4.382615516524754</v>
      </c>
      <c r="H148" s="8" t="s">
        <v>7</v>
      </c>
      <c r="I148" s="8" t="s">
        <v>9</v>
      </c>
      <c r="J148" s="4"/>
      <c r="K148" s="8" t="s">
        <v>7</v>
      </c>
      <c r="L148" s="8" t="s">
        <v>9</v>
      </c>
      <c r="M148" s="20"/>
      <c r="O148" s="22"/>
    </row>
    <row r="149" spans="1:15" x14ac:dyDescent="0.35">
      <c r="A149" s="2" t="s">
        <v>9</v>
      </c>
      <c r="B149" s="6">
        <f>O143+B142</f>
        <v>-7.6741328523419696</v>
      </c>
      <c r="C149" s="3"/>
      <c r="E149" s="11" t="s">
        <v>11</v>
      </c>
      <c r="F149" s="1">
        <f>-B149*SIN(t.1)+a*SIN(C146)+b*SIN(C148)-c.*SIN(t.4)</f>
        <v>-2.5526773875316238</v>
      </c>
      <c r="H149" s="3">
        <f>-b*SIN(C148)</f>
        <v>1.8160331444090434</v>
      </c>
      <c r="I149" s="3">
        <f>-COS(t.1)</f>
        <v>-1</v>
      </c>
      <c r="J149" s="4"/>
      <c r="K149" s="3" cm="1">
        <f t="array" ref="K149:L150">MINVERSE(H149:I150)</f>
        <v>0</v>
      </c>
      <c r="L149" s="3">
        <v>-0.1748689434534903</v>
      </c>
      <c r="M149" s="3">
        <f>-F148</f>
        <v>-4.382615516524754</v>
      </c>
      <c r="O149" s="1" cm="1">
        <f t="array" ref="O149:O150">MMULT(K149:L150,M149:M150)</f>
        <v>-0.44638399773527088</v>
      </c>
    </row>
    <row r="150" spans="1:15" x14ac:dyDescent="0.35">
      <c r="H150" s="3">
        <f>b*COS(C148)</f>
        <v>-5.7185683189420589</v>
      </c>
      <c r="I150" s="3">
        <f>-SIN(t.1)</f>
        <v>0</v>
      </c>
      <c r="J150" s="4"/>
      <c r="K150" s="3">
        <v>-1</v>
      </c>
      <c r="L150" s="3">
        <v>-0.31756779723932921</v>
      </c>
      <c r="M150" s="3">
        <f>-F149</f>
        <v>2.5526773875316238</v>
      </c>
      <c r="O150" s="1">
        <v>3.5719673815036908</v>
      </c>
    </row>
    <row r="152" spans="1:15" x14ac:dyDescent="0.35">
      <c r="A152" s="9" t="s">
        <v>17</v>
      </c>
      <c r="C152" s="2" t="s">
        <v>4</v>
      </c>
    </row>
    <row r="153" spans="1:15" x14ac:dyDescent="0.35">
      <c r="A153" s="2" t="s">
        <v>5</v>
      </c>
      <c r="B153" s="6">
        <v>36</v>
      </c>
      <c r="C153" s="3">
        <f>B153*PI()/180</f>
        <v>0.62831853071795862</v>
      </c>
    </row>
    <row r="154" spans="1:15" x14ac:dyDescent="0.35">
      <c r="A154" s="4"/>
      <c r="B154" s="4"/>
      <c r="C154" s="1"/>
      <c r="H154" s="18" t="s">
        <v>12</v>
      </c>
      <c r="I154" s="18"/>
      <c r="J154" s="4"/>
      <c r="K154" s="18" t="s">
        <v>13</v>
      </c>
      <c r="L154" s="18"/>
      <c r="M154" s="19" t="s">
        <v>14</v>
      </c>
      <c r="O154" s="21" t="s">
        <v>15</v>
      </c>
    </row>
    <row r="155" spans="1:15" x14ac:dyDescent="0.35">
      <c r="A155" s="2" t="s">
        <v>7</v>
      </c>
      <c r="B155" s="6">
        <f>C155*180/PI()</f>
        <v>172.04225289186775</v>
      </c>
      <c r="C155" s="3">
        <f>O149+C148</f>
        <v>3.002703765511828</v>
      </c>
      <c r="E155" s="11" t="s">
        <v>10</v>
      </c>
      <c r="F155" s="1">
        <f>-B156*COS(t.1)+a*COS(C153)+b*COS(C155)-c.*COS(t.4)</f>
        <v>0.58699385624042921</v>
      </c>
      <c r="H155" s="8" t="s">
        <v>7</v>
      </c>
      <c r="I155" s="8" t="s">
        <v>9</v>
      </c>
      <c r="J155" s="4"/>
      <c r="K155" s="8" t="s">
        <v>7</v>
      </c>
      <c r="L155" s="8" t="s">
        <v>9</v>
      </c>
      <c r="M155" s="20"/>
      <c r="O155" s="22"/>
    </row>
    <row r="156" spans="1:15" x14ac:dyDescent="0.35">
      <c r="A156" s="2" t="s">
        <v>9</v>
      </c>
      <c r="B156" s="6">
        <f>O150+B149</f>
        <v>-4.1021654708382789</v>
      </c>
      <c r="C156" s="3"/>
      <c r="E156" s="11" t="s">
        <v>11</v>
      </c>
      <c r="F156" s="1">
        <f>-B156*SIN(t.1)+a*SIN(C153)+b*SIN(C155)-c.*SIN(t.4)</f>
        <v>9.4012484481421854E-2</v>
      </c>
      <c r="H156" s="3">
        <f>-b*SIN(C155)</f>
        <v>-0.83065672760400233</v>
      </c>
      <c r="I156" s="3">
        <f>-COS(t.1)</f>
        <v>-1</v>
      </c>
      <c r="J156" s="4"/>
      <c r="K156" s="3" cm="1">
        <f t="array" ref="K156:L157">MINVERSE(H156:I157)</f>
        <v>0</v>
      </c>
      <c r="L156" s="3">
        <v>-0.1682871995376346</v>
      </c>
      <c r="M156" s="3">
        <f>-F155</f>
        <v>-0.58699385624042921</v>
      </c>
      <c r="O156" s="1" cm="1">
        <f t="array" ref="O156:O157">MMULT(K156:L157,M156:M157)</f>
        <v>1.5821097734953816E-2</v>
      </c>
    </row>
    <row r="157" spans="1:15" x14ac:dyDescent="0.35">
      <c r="H157" s="3">
        <f>b*COS(C155)</f>
        <v>-5.9422225977226919</v>
      </c>
      <c r="I157" s="3">
        <f>-SIN(t.1)</f>
        <v>0</v>
      </c>
      <c r="J157" s="4"/>
      <c r="K157" s="3">
        <v>-1</v>
      </c>
      <c r="L157" s="3">
        <v>0.13978889446557333</v>
      </c>
      <c r="M157" s="3">
        <f>-F156</f>
        <v>-9.4012484481421854E-2</v>
      </c>
      <c r="O157" s="1">
        <v>0.57385195496880936</v>
      </c>
    </row>
    <row r="159" spans="1:15" x14ac:dyDescent="0.35">
      <c r="A159" s="9" t="s">
        <v>18</v>
      </c>
      <c r="C159" s="2" t="s">
        <v>4</v>
      </c>
    </row>
    <row r="160" spans="1:15" x14ac:dyDescent="0.35">
      <c r="A160" s="2" t="s">
        <v>5</v>
      </c>
      <c r="B160" s="6">
        <v>36</v>
      </c>
      <c r="C160" s="3">
        <f>B160*PI()/180</f>
        <v>0.62831853071795862</v>
      </c>
    </row>
    <row r="161" spans="1:15" x14ac:dyDescent="0.35">
      <c r="A161" s="4"/>
      <c r="B161" s="4"/>
      <c r="C161" s="1"/>
      <c r="H161" s="18" t="s">
        <v>12</v>
      </c>
      <c r="I161" s="18"/>
      <c r="J161" s="4"/>
      <c r="K161" s="18" t="s">
        <v>13</v>
      </c>
      <c r="L161" s="18"/>
      <c r="M161" s="19" t="s">
        <v>14</v>
      </c>
      <c r="O161" s="21" t="s">
        <v>15</v>
      </c>
    </row>
    <row r="162" spans="1:15" x14ac:dyDescent="0.35">
      <c r="A162" s="2" t="s">
        <v>7</v>
      </c>
      <c r="B162" s="6">
        <f>C162*180/PI()</f>
        <v>172.94873501934461</v>
      </c>
      <c r="C162" s="3">
        <f>O156+C155</f>
        <v>3.0185248632467818</v>
      </c>
      <c r="E162" s="11" t="s">
        <v>10</v>
      </c>
      <c r="F162" s="1">
        <f>-B163*COS(t.1)+a*COS(C160)+b*COS(C162)-c.*COS(t.4)</f>
        <v>7.4422308526751703E-4</v>
      </c>
      <c r="H162" s="8" t="s">
        <v>7</v>
      </c>
      <c r="I162" s="8" t="s">
        <v>9</v>
      </c>
      <c r="J162" s="4"/>
      <c r="K162" s="8" t="s">
        <v>7</v>
      </c>
      <c r="L162" s="8" t="s">
        <v>9</v>
      </c>
      <c r="M162" s="20"/>
      <c r="O162" s="22"/>
    </row>
    <row r="163" spans="1:15" x14ac:dyDescent="0.35">
      <c r="A163" s="2" t="s">
        <v>9</v>
      </c>
      <c r="B163" s="6">
        <f>O157+B156</f>
        <v>-3.5283135158694696</v>
      </c>
      <c r="C163" s="3"/>
      <c r="E163" s="11" t="s">
        <v>11</v>
      </c>
      <c r="F163" s="1">
        <f>-B163*SIN(t.1)+a*SIN(C160)+b*SIN(C162)-c.*SIN(t.4)</f>
        <v>-1.0003553358561845E-4</v>
      </c>
      <c r="H163" s="3">
        <f>-b*SIN(C162)</f>
        <v>-0.73654420758899519</v>
      </c>
      <c r="I163" s="3">
        <f>-COS(t.1)</f>
        <v>-1</v>
      </c>
      <c r="J163" s="4"/>
      <c r="K163" s="3" cm="1">
        <f t="array" ref="K163:L164">MINVERSE(H163:I164)</f>
        <v>0</v>
      </c>
      <c r="L163" s="3">
        <v>-0.16793682110104627</v>
      </c>
      <c r="M163" s="3">
        <f>-F162</f>
        <v>-7.4422308526751703E-4</v>
      </c>
      <c r="O163" s="1" cm="1">
        <f t="array" ref="O163:O164">MMULT(K163:L164,M163:M164)</f>
        <v>-1.6799649507515713E-5</v>
      </c>
    </row>
    <row r="164" spans="1:15" x14ac:dyDescent="0.35">
      <c r="H164" s="3">
        <f>b*COS(C162)</f>
        <v>-5.9546202759090443</v>
      </c>
      <c r="I164" s="3">
        <f>-SIN(t.1)</f>
        <v>0</v>
      </c>
      <c r="J164" s="4"/>
      <c r="K164" s="3">
        <v>-1</v>
      </c>
      <c r="L164" s="3">
        <v>0.12369289282288498</v>
      </c>
      <c r="M164" s="3">
        <f>-F163</f>
        <v>1.0003553358561845E-4</v>
      </c>
      <c r="O164" s="1">
        <v>7.5659676980180304E-4</v>
      </c>
    </row>
    <row r="166" spans="1:15" x14ac:dyDescent="0.35">
      <c r="A166" s="9" t="s">
        <v>19</v>
      </c>
      <c r="C166" s="2" t="s">
        <v>4</v>
      </c>
    </row>
    <row r="167" spans="1:15" x14ac:dyDescent="0.35">
      <c r="A167" s="2" t="s">
        <v>5</v>
      </c>
      <c r="B167" s="6">
        <v>36</v>
      </c>
      <c r="C167" s="3">
        <f>B167*PI()/180</f>
        <v>0.62831853071795862</v>
      </c>
    </row>
    <row r="168" spans="1:15" x14ac:dyDescent="0.35">
      <c r="A168" s="4"/>
      <c r="B168" s="4"/>
      <c r="C168" s="1"/>
      <c r="H168" s="18" t="s">
        <v>12</v>
      </c>
      <c r="I168" s="18"/>
      <c r="J168" s="4"/>
      <c r="K168" s="18" t="s">
        <v>13</v>
      </c>
      <c r="L168" s="18"/>
      <c r="M168" s="19" t="s">
        <v>14</v>
      </c>
      <c r="O168" s="21" t="s">
        <v>15</v>
      </c>
    </row>
    <row r="169" spans="1:15" x14ac:dyDescent="0.35">
      <c r="A169" s="2" t="s">
        <v>7</v>
      </c>
      <c r="B169" s="6">
        <f>C169*180/PI()</f>
        <v>172.94777247033051</v>
      </c>
      <c r="C169" s="3">
        <f>O163+C162</f>
        <v>3.0185080635972743</v>
      </c>
      <c r="E169" s="11" t="s">
        <v>10</v>
      </c>
      <c r="F169" s="1">
        <f>-B170*COS(t.1)+a*COS(C167)+b*COS(C169)-c.*COS(t.4)</f>
        <v>8.4028058073898002E-10</v>
      </c>
      <c r="H169" s="8" t="s">
        <v>7</v>
      </c>
      <c r="I169" s="8" t="s">
        <v>9</v>
      </c>
      <c r="J169" s="4"/>
      <c r="K169" s="8" t="s">
        <v>7</v>
      </c>
      <c r="L169" s="8" t="s">
        <v>9</v>
      </c>
      <c r="M169" s="20"/>
      <c r="O169" s="22"/>
    </row>
    <row r="170" spans="1:15" x14ac:dyDescent="0.35">
      <c r="A170" s="2" t="s">
        <v>9</v>
      </c>
      <c r="B170" s="6">
        <f>O164+B163</f>
        <v>-3.5275569190996676</v>
      </c>
      <c r="C170" s="3"/>
      <c r="E170" s="11" t="s">
        <v>11</v>
      </c>
      <c r="F170" s="1">
        <f>-B170*SIN(t.1)+a*SIN(C167)+b*SIN(C169)-c.*SIN(t.4)</f>
        <v>-1.0394130001145641E-10</v>
      </c>
      <c r="H170" s="3">
        <f>-b*SIN(C169)</f>
        <v>-0.73664424301863929</v>
      </c>
      <c r="I170" s="3">
        <f>-COS(t.1)</f>
        <v>-1</v>
      </c>
      <c r="J170" s="4"/>
      <c r="K170" s="3" cm="1">
        <f t="array" ref="K170:L171">MINVERSE(H170:I171)</f>
        <v>0</v>
      </c>
      <c r="L170" s="3">
        <v>-0.16793717009772155</v>
      </c>
      <c r="M170" s="3">
        <f>-F169</f>
        <v>-8.4028058073898002E-10</v>
      </c>
      <c r="O170" s="1" cm="1">
        <f t="array" ref="O170:O171">MMULT(K170:L171,M170:M171)</f>
        <v>-1.7455607780202261E-11</v>
      </c>
    </row>
    <row r="171" spans="1:15" x14ac:dyDescent="0.35">
      <c r="H171" s="3">
        <f>b*COS(C169)</f>
        <v>-5.9546079013842288</v>
      </c>
      <c r="I171" s="3">
        <f>-SIN(t.1)</f>
        <v>0</v>
      </c>
      <c r="J171" s="4"/>
      <c r="K171" s="3">
        <v>-1</v>
      </c>
      <c r="L171" s="3">
        <v>0.12370994954132856</v>
      </c>
      <c r="M171" s="3">
        <f>-F170</f>
        <v>1.0394130001145641E-10</v>
      </c>
      <c r="O171" s="1">
        <v>8.5313915371865739E-10</v>
      </c>
    </row>
    <row r="173" spans="1:15" x14ac:dyDescent="0.35">
      <c r="A173" s="9" t="s">
        <v>20</v>
      </c>
      <c r="C173" s="2" t="s">
        <v>4</v>
      </c>
    </row>
    <row r="174" spans="1:15" x14ac:dyDescent="0.35">
      <c r="A174" s="2" t="s">
        <v>5</v>
      </c>
      <c r="B174" s="6">
        <v>36</v>
      </c>
      <c r="C174" s="3">
        <f>B174*PI()/180</f>
        <v>0.62831853071795862</v>
      </c>
    </row>
    <row r="175" spans="1:15" x14ac:dyDescent="0.35">
      <c r="A175" s="4"/>
      <c r="B175" s="4"/>
      <c r="C175" s="1"/>
      <c r="H175" s="18" t="s">
        <v>12</v>
      </c>
      <c r="I175" s="18"/>
      <c r="J175" s="4"/>
      <c r="K175" s="18" t="s">
        <v>13</v>
      </c>
      <c r="L175" s="18"/>
      <c r="M175" s="19" t="s">
        <v>14</v>
      </c>
      <c r="O175" s="21" t="s">
        <v>15</v>
      </c>
    </row>
    <row r="176" spans="1:15" x14ac:dyDescent="0.35">
      <c r="A176" s="2" t="s">
        <v>7</v>
      </c>
      <c r="B176" s="6">
        <f>C176*180/PI()</f>
        <v>172.94777246933035</v>
      </c>
      <c r="C176" s="3">
        <f>O170+C169</f>
        <v>3.0185080635798185</v>
      </c>
      <c r="E176" s="11" t="s">
        <v>10</v>
      </c>
      <c r="F176" s="1">
        <f>-B177*COS(t.1)+a*COS(C174)+b*COS(C176)-c.*COS(t.4)</f>
        <v>-1.531435568635775E-16</v>
      </c>
      <c r="H176" s="8" t="s">
        <v>7</v>
      </c>
      <c r="I176" s="8" t="s">
        <v>9</v>
      </c>
      <c r="J176" s="4"/>
      <c r="K176" s="8" t="s">
        <v>7</v>
      </c>
      <c r="L176" s="8" t="s">
        <v>9</v>
      </c>
      <c r="M176" s="20"/>
      <c r="O176" s="22"/>
    </row>
    <row r="177" spans="1:15" x14ac:dyDescent="0.35">
      <c r="A177" s="2" t="s">
        <v>9</v>
      </c>
      <c r="B177" s="6">
        <f>O171+B170</f>
        <v>-3.5275569182465283</v>
      </c>
      <c r="C177" s="3"/>
      <c r="E177" s="11" t="s">
        <v>11</v>
      </c>
      <c r="F177" s="1">
        <f>-B177*SIN(t.1)+a*SIN(C174)+b*SIN(C176)-c.*SIN(t.4)</f>
        <v>0</v>
      </c>
      <c r="H177" s="3">
        <f>-b*SIN(C176)</f>
        <v>-0.73664424312258192</v>
      </c>
      <c r="I177" s="3">
        <f>-COS(B134)</f>
        <v>0.38104013692939465</v>
      </c>
      <c r="J177" s="4"/>
      <c r="K177" s="3" cm="1">
        <f t="array" ref="K177:L178">MINVERSE(H177:I178)</f>
        <v>0.58226190852855475</v>
      </c>
      <c r="L177" s="3">
        <v>-0.23996876143230877</v>
      </c>
      <c r="M177" s="3">
        <f>-F176</f>
        <v>1.531435568635775E-16</v>
      </c>
      <c r="O177" s="1" cm="1">
        <f t="array" ref="O177:O178">MMULT(K177:L178,M177:M178)</f>
        <v>8.916965969823789E-17</v>
      </c>
    </row>
    <row r="178" spans="1:15" x14ac:dyDescent="0.35">
      <c r="H178" s="3">
        <f>b*COS(C176)</f>
        <v>-5.9546079013713706</v>
      </c>
      <c r="I178" s="3">
        <f>-SIN(B134)</f>
        <v>0.92455849682366131</v>
      </c>
      <c r="J178" s="4"/>
      <c r="K178" s="3">
        <v>3.7500508330226134</v>
      </c>
      <c r="L178" s="3">
        <v>-0.46391859939710667</v>
      </c>
      <c r="M178" s="3">
        <f>-F177</f>
        <v>0</v>
      </c>
      <c r="O178" s="1">
        <v>5.7429612298830479E-16</v>
      </c>
    </row>
    <row r="180" spans="1:15" x14ac:dyDescent="0.35">
      <c r="A180" s="9" t="s">
        <v>6</v>
      </c>
      <c r="C180" s="2" t="s">
        <v>4</v>
      </c>
    </row>
    <row r="181" spans="1:15" x14ac:dyDescent="0.35">
      <c r="A181" s="2" t="s">
        <v>5</v>
      </c>
      <c r="B181" s="6">
        <v>0</v>
      </c>
      <c r="C181" s="3">
        <f>B181*PI()/180</f>
        <v>0</v>
      </c>
    </row>
    <row r="182" spans="1:15" x14ac:dyDescent="0.35">
      <c r="A182" s="4"/>
      <c r="B182" s="4"/>
      <c r="C182" s="1"/>
      <c r="H182" s="18" t="s">
        <v>12</v>
      </c>
      <c r="I182" s="18"/>
      <c r="J182" s="4"/>
      <c r="K182" s="18" t="s">
        <v>13</v>
      </c>
      <c r="L182" s="18"/>
      <c r="M182" s="19" t="s">
        <v>14</v>
      </c>
      <c r="O182" s="21" t="s">
        <v>15</v>
      </c>
    </row>
    <row r="183" spans="1:15" x14ac:dyDescent="0.35">
      <c r="A183" s="2" t="s">
        <v>7</v>
      </c>
      <c r="B183" s="6">
        <v>110</v>
      </c>
      <c r="C183" s="3">
        <f>B183*PI()/180</f>
        <v>1.9198621771937625</v>
      </c>
      <c r="E183" s="11" t="s">
        <v>10</v>
      </c>
      <c r="F183" s="1">
        <f>-B184*COS(t.1)+a*COS(C181)+b*COS(C183)-c.*COS(t.4)</f>
        <v>-5.0521208599540124</v>
      </c>
      <c r="H183" s="8" t="s">
        <v>7</v>
      </c>
      <c r="I183" s="8" t="s">
        <v>9</v>
      </c>
      <c r="J183" s="4"/>
      <c r="K183" s="8" t="s">
        <v>7</v>
      </c>
      <c r="L183" s="8" t="s">
        <v>9</v>
      </c>
      <c r="M183" s="20"/>
      <c r="O183" s="22"/>
    </row>
    <row r="184" spans="1:15" x14ac:dyDescent="0.35">
      <c r="A184" s="2" t="s">
        <v>9</v>
      </c>
      <c r="B184" s="6">
        <v>6</v>
      </c>
      <c r="C184" s="3"/>
      <c r="E184" s="11" t="s">
        <v>11</v>
      </c>
      <c r="F184" s="1">
        <f>-B184*SIN(t.1)+a*SIN(C181)+b*SIN(C183)-c.*SIN(t.4)</f>
        <v>3.1381557247154506</v>
      </c>
      <c r="H184" s="3">
        <f>-b*SIN(C183)</f>
        <v>-5.6381557247154506</v>
      </c>
      <c r="I184" s="3">
        <f>-COS(t.1)</f>
        <v>-1</v>
      </c>
      <c r="J184" s="4"/>
      <c r="K184" s="3" cm="1">
        <f t="array" ref="K184:L185">MINVERSE(H184:I185)</f>
        <v>0</v>
      </c>
      <c r="L184" s="3">
        <v>-0.48730073336051455</v>
      </c>
      <c r="M184" s="3">
        <f>-F183</f>
        <v>5.0521208599540124</v>
      </c>
      <c r="O184" s="1" cm="1">
        <f t="array" ref="O184:O185">MMULT(K184:L185,M184:M185)</f>
        <v>1.5292255860533361</v>
      </c>
    </row>
    <row r="185" spans="1:15" x14ac:dyDescent="0.35">
      <c r="H185" s="3">
        <f>b*COS(C183)</f>
        <v>-2.0521208599540124</v>
      </c>
      <c r="I185" s="3">
        <f>-SIN(t.1)</f>
        <v>0</v>
      </c>
      <c r="J185" s="4"/>
      <c r="K185" s="3">
        <v>-1</v>
      </c>
      <c r="L185" s="3">
        <v>2.7474774194546225</v>
      </c>
      <c r="M185" s="3">
        <f>-F184</f>
        <v>-3.1381557247154506</v>
      </c>
      <c r="O185" s="1">
        <v>-13.67413285234197</v>
      </c>
    </row>
    <row r="187" spans="1:15" x14ac:dyDescent="0.35">
      <c r="A187" s="9" t="s">
        <v>16</v>
      </c>
      <c r="C187" s="2" t="s">
        <v>4</v>
      </c>
    </row>
    <row r="188" spans="1:15" x14ac:dyDescent="0.35">
      <c r="A188" s="2" t="s">
        <v>5</v>
      </c>
      <c r="B188" s="6">
        <v>48</v>
      </c>
      <c r="C188" s="3">
        <f>B188*PI()/180</f>
        <v>0.83775804095727813</v>
      </c>
    </row>
    <row r="189" spans="1:15" x14ac:dyDescent="0.35">
      <c r="A189" s="4"/>
      <c r="B189" s="4"/>
      <c r="C189" s="1"/>
      <c r="H189" s="18" t="s">
        <v>12</v>
      </c>
      <c r="I189" s="18"/>
      <c r="J189" s="4"/>
      <c r="K189" s="18" t="s">
        <v>13</v>
      </c>
      <c r="L189" s="18"/>
      <c r="M189" s="19" t="s">
        <v>14</v>
      </c>
      <c r="O189" s="21" t="s">
        <v>15</v>
      </c>
    </row>
    <row r="190" spans="1:15" x14ac:dyDescent="0.35">
      <c r="A190" s="2" t="s">
        <v>7</v>
      </c>
      <c r="B190" s="6">
        <f>C190*180/PI()</f>
        <v>197.61817200427606</v>
      </c>
      <c r="C190" s="3">
        <f>O184+C183</f>
        <v>3.4490877632470989</v>
      </c>
      <c r="E190" s="11" t="s">
        <v>10</v>
      </c>
      <c r="F190" s="1">
        <f>-B191*COS(t.1)+a*COS(C188)+b*COS(C190)-c.*COS(t.4)</f>
        <v>3.9629563524764846</v>
      </c>
      <c r="H190" s="8" t="s">
        <v>7</v>
      </c>
      <c r="I190" s="8" t="s">
        <v>9</v>
      </c>
      <c r="J190" s="4"/>
      <c r="K190" s="8" t="s">
        <v>7</v>
      </c>
      <c r="L190" s="8" t="s">
        <v>9</v>
      </c>
      <c r="M190" s="20"/>
      <c r="O190" s="22"/>
    </row>
    <row r="191" spans="1:15" x14ac:dyDescent="0.35">
      <c r="A191" s="2" t="s">
        <v>9</v>
      </c>
      <c r="B191" s="6">
        <f>O185+B184</f>
        <v>-7.6741328523419696</v>
      </c>
      <c r="C191" s="3"/>
      <c r="E191" s="11" t="s">
        <v>11</v>
      </c>
      <c r="F191" s="1">
        <f>-B191*SIN(t.1)+a*SIN(C188)+b*SIN(C190)-c.*SIN(t.4)</f>
        <v>-2.0865986679768609</v>
      </c>
      <c r="H191" s="3">
        <f>-b*SIN(C190)</f>
        <v>1.8160331444090434</v>
      </c>
      <c r="I191" s="3">
        <f>-COS(t.1)</f>
        <v>-1</v>
      </c>
      <c r="J191" s="4"/>
      <c r="K191" s="3" cm="1">
        <f t="array" ref="K191:L192">MINVERSE(H191:I192)</f>
        <v>0</v>
      </c>
      <c r="L191" s="3">
        <v>-0.1748689434534903</v>
      </c>
      <c r="M191" s="3">
        <f>-F190</f>
        <v>-3.9629563524764846</v>
      </c>
      <c r="O191" s="1" cm="1">
        <f t="array" ref="O191:O192">MMULT(K191:L192,M191:M192)</f>
        <v>-0.36488130448057388</v>
      </c>
    </row>
    <row r="192" spans="1:15" x14ac:dyDescent="0.35">
      <c r="H192" s="3">
        <f>b*COS(C190)</f>
        <v>-5.7185683189420589</v>
      </c>
      <c r="I192" s="3">
        <f>-SIN(t.1)</f>
        <v>0</v>
      </c>
      <c r="J192" s="4"/>
      <c r="K192" s="3">
        <v>-1</v>
      </c>
      <c r="L192" s="3">
        <v>-0.31756779723932921</v>
      </c>
      <c r="M192" s="3">
        <f>-F191</f>
        <v>2.0865986679768609</v>
      </c>
      <c r="O192" s="1">
        <v>3.3003198097645545</v>
      </c>
    </row>
    <row r="194" spans="1:15" x14ac:dyDescent="0.35">
      <c r="A194" s="9" t="s">
        <v>17</v>
      </c>
      <c r="C194" s="2" t="s">
        <v>4</v>
      </c>
    </row>
    <row r="195" spans="1:15" x14ac:dyDescent="0.35">
      <c r="A195" s="2" t="s">
        <v>5</v>
      </c>
      <c r="B195" s="6">
        <v>48</v>
      </c>
      <c r="C195" s="3">
        <f>B195*PI()/180</f>
        <v>0.83775804095727813</v>
      </c>
    </row>
    <row r="196" spans="1:15" x14ac:dyDescent="0.35">
      <c r="A196" s="4"/>
      <c r="B196" s="4"/>
      <c r="C196" s="1"/>
      <c r="H196" s="18" t="s">
        <v>12</v>
      </c>
      <c r="I196" s="18"/>
      <c r="J196" s="4"/>
      <c r="K196" s="18" t="s">
        <v>13</v>
      </c>
      <c r="L196" s="18"/>
      <c r="M196" s="19" t="s">
        <v>14</v>
      </c>
      <c r="O196" s="21" t="s">
        <v>15</v>
      </c>
    </row>
    <row r="197" spans="1:15" x14ac:dyDescent="0.35">
      <c r="A197" s="2" t="s">
        <v>7</v>
      </c>
      <c r="B197" s="6">
        <f>C197*180/PI()</f>
        <v>176.71201323431126</v>
      </c>
      <c r="C197" s="3">
        <f>O191+C190</f>
        <v>3.0842064587665252</v>
      </c>
      <c r="E197" s="11" t="s">
        <v>10</v>
      </c>
      <c r="F197" s="1">
        <f>-B198*COS(t.1)+a*COS(C195)+b*COS(C197)-c.*COS(t.4)</f>
        <v>0.39108167676949429</v>
      </c>
      <c r="H197" s="8" t="s">
        <v>7</v>
      </c>
      <c r="I197" s="8" t="s">
        <v>9</v>
      </c>
      <c r="J197" s="4"/>
      <c r="K197" s="8" t="s">
        <v>7</v>
      </c>
      <c r="L197" s="8" t="s">
        <v>9</v>
      </c>
      <c r="M197" s="20"/>
      <c r="O197" s="22"/>
    </row>
    <row r="198" spans="1:15" x14ac:dyDescent="0.35">
      <c r="A198" s="2" t="s">
        <v>9</v>
      </c>
      <c r="B198" s="6">
        <f>O192+B191</f>
        <v>-4.3738130425774155</v>
      </c>
      <c r="C198" s="3"/>
      <c r="E198" s="11" t="s">
        <v>11</v>
      </c>
      <c r="F198" s="1">
        <f>-B198*SIN(t.1)+a*SIN(C195)+b*SIN(C197)-c.*SIN(t.4)</f>
        <v>7.3562693684442682E-2</v>
      </c>
      <c r="H198" s="3">
        <f>-b*SIN(C197)</f>
        <v>-0.34412821725226028</v>
      </c>
      <c r="I198" s="3">
        <f>-COS(t.1)</f>
        <v>-1</v>
      </c>
      <c r="J198" s="4"/>
      <c r="K198" s="3" cm="1">
        <f t="array" ref="K198:L199">MINVERSE(H198:I199)</f>
        <v>0</v>
      </c>
      <c r="L198" s="3">
        <v>-0.16694147501397041</v>
      </c>
      <c r="M198" s="3">
        <f>-F197</f>
        <v>-0.39108167676949429</v>
      </c>
      <c r="O198" s="1" cm="1">
        <f t="array" ref="O198:O199">MMULT(K198:L199,M198:M199)</f>
        <v>1.2280664589681746E-2</v>
      </c>
    </row>
    <row r="199" spans="1:15" x14ac:dyDescent="0.35">
      <c r="H199" s="3">
        <f>b*COS(C197)</f>
        <v>-5.9901231848844958</v>
      </c>
      <c r="I199" s="3">
        <f>-SIN(t.1)</f>
        <v>0</v>
      </c>
      <c r="J199" s="4"/>
      <c r="K199" s="3">
        <v>-1</v>
      </c>
      <c r="L199" s="3">
        <v>5.7449272182020394E-2</v>
      </c>
      <c r="M199" s="3">
        <f>-F198</f>
        <v>-7.3562693684442682E-2</v>
      </c>
      <c r="O199" s="1">
        <v>0.38685555355757417</v>
      </c>
    </row>
    <row r="201" spans="1:15" x14ac:dyDescent="0.35">
      <c r="A201" s="9" t="s">
        <v>18</v>
      </c>
      <c r="C201" s="2" t="s">
        <v>4</v>
      </c>
    </row>
    <row r="202" spans="1:15" x14ac:dyDescent="0.35">
      <c r="A202" s="2" t="s">
        <v>5</v>
      </c>
      <c r="B202" s="6">
        <v>48</v>
      </c>
      <c r="C202" s="3">
        <f>B202*PI()/180</f>
        <v>0.83775804095727813</v>
      </c>
    </row>
    <row r="203" spans="1:15" x14ac:dyDescent="0.35">
      <c r="A203" s="4"/>
      <c r="B203" s="4"/>
      <c r="C203" s="1"/>
      <c r="H203" s="18" t="s">
        <v>12</v>
      </c>
      <c r="I203" s="18"/>
      <c r="J203" s="4"/>
      <c r="K203" s="18" t="s">
        <v>13</v>
      </c>
      <c r="L203" s="18"/>
      <c r="M203" s="19" t="s">
        <v>14</v>
      </c>
      <c r="O203" s="21" t="s">
        <v>15</v>
      </c>
    </row>
    <row r="204" spans="1:15" x14ac:dyDescent="0.35">
      <c r="A204" s="2" t="s">
        <v>7</v>
      </c>
      <c r="B204" s="6">
        <f>C204*180/PI()</f>
        <v>177.41564348491579</v>
      </c>
      <c r="C204" s="3">
        <f>O198+C197</f>
        <v>3.0964871233562068</v>
      </c>
      <c r="E204" s="11" t="s">
        <v>10</v>
      </c>
      <c r="F204" s="1">
        <f>-B205*COS(t.1)+a*COS(C202)+b*COS(C204)-c.*COS(t.4)</f>
        <v>4.5179993297657324E-4</v>
      </c>
      <c r="H204" s="8" t="s">
        <v>7</v>
      </c>
      <c r="I204" s="8" t="s">
        <v>9</v>
      </c>
      <c r="J204" s="4"/>
      <c r="K204" s="8" t="s">
        <v>7</v>
      </c>
      <c r="L204" s="8" t="s">
        <v>9</v>
      </c>
      <c r="M204" s="20"/>
      <c r="O204" s="22"/>
    </row>
    <row r="205" spans="1:15" x14ac:dyDescent="0.35">
      <c r="A205" s="2" t="s">
        <v>9</v>
      </c>
      <c r="B205" s="6">
        <f>O199+B198</f>
        <v>-3.9869574890198414</v>
      </c>
      <c r="C205" s="3"/>
      <c r="E205" s="11" t="s">
        <v>11</v>
      </c>
      <c r="F205" s="1">
        <f>-B205*SIN(t.1)+a*SIN(C202)+b*SIN(C204)-c.*SIN(t.4)</f>
        <v>-2.4100432440388175E-5</v>
      </c>
      <c r="H205" s="3">
        <f>-b*SIN(C204)</f>
        <v>-0.27054142313537693</v>
      </c>
      <c r="I205" s="3">
        <f>-COS(t.1)</f>
        <v>-1</v>
      </c>
      <c r="J205" s="4"/>
      <c r="K205" s="3" cm="1">
        <f t="array" ref="K205:L206">MINVERSE(H205:I206)</f>
        <v>0</v>
      </c>
      <c r="L205" s="3">
        <v>-0.16683635291361615</v>
      </c>
      <c r="M205" s="3">
        <f>-F204</f>
        <v>-4.5179993297657324E-4</v>
      </c>
      <c r="O205" s="1" cm="1">
        <f t="array" ref="O205:O206">MMULT(K205:L206,M205:M206)</f>
        <v>-4.0208282519953651E-6</v>
      </c>
    </row>
    <row r="206" spans="1:15" x14ac:dyDescent="0.35">
      <c r="H206" s="3">
        <f>b*COS(C204)</f>
        <v>-5.9938975081634389</v>
      </c>
      <c r="I206" s="3">
        <f>-SIN(t.1)</f>
        <v>0</v>
      </c>
      <c r="J206" s="4"/>
      <c r="K206" s="3">
        <v>-1</v>
      </c>
      <c r="L206" s="3">
        <v>4.5136144347965708E-2</v>
      </c>
      <c r="M206" s="3">
        <f>-F205</f>
        <v>2.4100432440388175E-5</v>
      </c>
      <c r="O206" s="1">
        <v>4.5288773357405102E-4</v>
      </c>
    </row>
    <row r="208" spans="1:15" x14ac:dyDescent="0.35">
      <c r="A208" s="9" t="s">
        <v>19</v>
      </c>
      <c r="C208" s="2" t="s">
        <v>4</v>
      </c>
    </row>
    <row r="209" spans="1:15" x14ac:dyDescent="0.35">
      <c r="A209" s="2" t="s">
        <v>5</v>
      </c>
      <c r="B209" s="6">
        <v>48</v>
      </c>
      <c r="C209" s="3">
        <f>B209*PI()/180</f>
        <v>0.83775804095727813</v>
      </c>
    </row>
    <row r="210" spans="1:15" x14ac:dyDescent="0.35">
      <c r="A210" s="4"/>
      <c r="B210" s="4"/>
      <c r="C210" s="1"/>
      <c r="H210" s="18" t="s">
        <v>12</v>
      </c>
      <c r="I210" s="18"/>
      <c r="J210" s="4"/>
      <c r="K210" s="18" t="s">
        <v>13</v>
      </c>
      <c r="L210" s="18"/>
      <c r="M210" s="19" t="s">
        <v>14</v>
      </c>
      <c r="O210" s="21" t="s">
        <v>15</v>
      </c>
    </row>
    <row r="211" spans="1:15" x14ac:dyDescent="0.35">
      <c r="A211" s="2" t="s">
        <v>7</v>
      </c>
      <c r="B211" s="6">
        <f>C211*180/PI()</f>
        <v>177.41541310842678</v>
      </c>
      <c r="C211" s="3">
        <f>O205+C204</f>
        <v>3.0964831025279547</v>
      </c>
      <c r="E211" s="11" t="s">
        <v>10</v>
      </c>
      <c r="F211" s="1">
        <f>-B212*COS(t.1)+a*COS(C209)+b*COS(C211)-c.*COS(t.4)</f>
        <v>4.8452644186344068E-11</v>
      </c>
      <c r="H211" s="8" t="s">
        <v>7</v>
      </c>
      <c r="I211" s="8" t="s">
        <v>9</v>
      </c>
      <c r="J211" s="4"/>
      <c r="K211" s="8" t="s">
        <v>7</v>
      </c>
      <c r="L211" s="8" t="s">
        <v>9</v>
      </c>
      <c r="M211" s="20"/>
      <c r="O211" s="22"/>
    </row>
    <row r="212" spans="1:15" x14ac:dyDescent="0.35">
      <c r="A212" s="2" t="s">
        <v>9</v>
      </c>
      <c r="B212" s="6">
        <f>O206+B205</f>
        <v>-3.9865046012862675</v>
      </c>
      <c r="C212" s="3"/>
      <c r="E212" s="11" t="s">
        <v>11</v>
      </c>
      <c r="F212" s="1">
        <f>-B212*SIN(t.1)+a*SIN(C209)+b*SIN(C211)-c.*SIN(t.4)</f>
        <v>-2.1862511800918583E-12</v>
      </c>
      <c r="H212" s="3">
        <f>-b*SIN(C211)</f>
        <v>-0.27056552356563113</v>
      </c>
      <c r="I212" s="3">
        <f>-COS(t.1)</f>
        <v>-1</v>
      </c>
      <c r="J212" s="4"/>
      <c r="K212" s="3" cm="1">
        <f t="array" ref="K212:L213">MINVERSE(H212:I213)</f>
        <v>0</v>
      </c>
      <c r="L212" s="3">
        <v>-0.16683638319321312</v>
      </c>
      <c r="M212" s="3">
        <f>-F211</f>
        <v>-4.8452644186344068E-11</v>
      </c>
      <c r="O212" s="1" cm="1">
        <f t="array" ref="O212:O213">MMULT(K212:L213,M212:M213)</f>
        <v>-3.6474623963841964E-13</v>
      </c>
    </row>
    <row r="213" spans="1:15" x14ac:dyDescent="0.35">
      <c r="H213" s="3">
        <f>b*COS(C211)</f>
        <v>-5.9938964203143899</v>
      </c>
      <c r="I213" s="3">
        <f>-SIN(t.1)</f>
        <v>0</v>
      </c>
      <c r="J213" s="4"/>
      <c r="K213" s="3">
        <v>-1</v>
      </c>
      <c r="L213" s="3">
        <v>4.514017336846797E-2</v>
      </c>
      <c r="M213" s="3">
        <f>-F212</f>
        <v>2.1862511800918583E-12</v>
      </c>
      <c r="O213" s="1">
        <v>4.8551331943640433E-11</v>
      </c>
    </row>
    <row r="215" spans="1:15" x14ac:dyDescent="0.35">
      <c r="A215" s="9" t="s">
        <v>20</v>
      </c>
      <c r="C215" s="2" t="s">
        <v>4</v>
      </c>
    </row>
    <row r="216" spans="1:15" x14ac:dyDescent="0.35">
      <c r="A216" s="2" t="s">
        <v>5</v>
      </c>
      <c r="B216" s="6">
        <v>48</v>
      </c>
      <c r="C216" s="3">
        <f>B216*PI()/180</f>
        <v>0.83775804095727813</v>
      </c>
    </row>
    <row r="217" spans="1:15" x14ac:dyDescent="0.35">
      <c r="A217" s="4"/>
      <c r="B217" s="4"/>
      <c r="C217" s="1"/>
      <c r="H217" s="18" t="s">
        <v>12</v>
      </c>
      <c r="I217" s="18"/>
      <c r="J217" s="4"/>
      <c r="K217" s="18" t="s">
        <v>13</v>
      </c>
      <c r="L217" s="18"/>
      <c r="M217" s="19" t="s">
        <v>14</v>
      </c>
      <c r="O217" s="21" t="s">
        <v>15</v>
      </c>
    </row>
    <row r="218" spans="1:15" x14ac:dyDescent="0.35">
      <c r="A218" s="2" t="s">
        <v>7</v>
      </c>
      <c r="B218" s="6">
        <f>C218*180/PI()</f>
        <v>177.41541310840591</v>
      </c>
      <c r="C218" s="3">
        <f>O212+C211</f>
        <v>3.0964831025275901</v>
      </c>
      <c r="E218" s="11" t="s">
        <v>10</v>
      </c>
      <c r="F218" s="1">
        <f>-B219*COS(t.1)+a*COS(C216)+b*COS(C218)-c.*COS(t.4)</f>
        <v>-1.531435568635775E-16</v>
      </c>
      <c r="H218" s="8" t="s">
        <v>7</v>
      </c>
      <c r="I218" s="8" t="s">
        <v>9</v>
      </c>
      <c r="J218" s="4"/>
      <c r="K218" s="8" t="s">
        <v>7</v>
      </c>
      <c r="L218" s="8" t="s">
        <v>9</v>
      </c>
      <c r="M218" s="20"/>
      <c r="O218" s="22"/>
    </row>
    <row r="219" spans="1:15" x14ac:dyDescent="0.35">
      <c r="A219" s="2" t="s">
        <v>9</v>
      </c>
      <c r="B219" s="6">
        <f>O213+B212</f>
        <v>-3.9865046012377161</v>
      </c>
      <c r="C219" s="3"/>
      <c r="E219" s="11" t="s">
        <v>11</v>
      </c>
      <c r="F219" s="1">
        <f>-B219*SIN(t.1)+a*SIN(C216)+b*SIN(C218)-c.*SIN(t.4)</f>
        <v>0</v>
      </c>
      <c r="H219" s="3">
        <f>-b*SIN(C218)</f>
        <v>-0.27056552356781649</v>
      </c>
      <c r="I219" s="3">
        <f>-COS(B176)</f>
        <v>0.98719914484356608</v>
      </c>
      <c r="J219" s="4"/>
      <c r="K219" s="3" cm="1">
        <f t="array" ref="K219:L220">MINVERSE(H219:I220)</f>
        <v>2.715220121924122E-2</v>
      </c>
      <c r="L219" s="3">
        <v>-0.16806203826359786</v>
      </c>
      <c r="M219" s="3">
        <f>-F218</f>
        <v>1.531435568635775E-16</v>
      </c>
      <c r="O219" s="1" cm="1">
        <f t="array" ref="O219:O220">MMULT(K219:L220,M219:M220)</f>
        <v>4.1581846713901657E-18</v>
      </c>
    </row>
    <row r="220" spans="1:15" x14ac:dyDescent="0.35">
      <c r="H220" s="3">
        <f>b*COS(C218)</f>
        <v>-5.9938964203142913</v>
      </c>
      <c r="I220" s="3">
        <f>-SIN(B176)</f>
        <v>0.15949247135878175</v>
      </c>
      <c r="J220" s="4"/>
      <c r="K220" s="3">
        <v>1.0204085516084287</v>
      </c>
      <c r="L220" s="3">
        <v>-4.6061418926644566E-2</v>
      </c>
      <c r="M220" s="3">
        <f>-F219</f>
        <v>0</v>
      </c>
      <c r="O220" s="1">
        <v>1.5626899504732616E-16</v>
      </c>
    </row>
    <row r="222" spans="1:15" x14ac:dyDescent="0.35">
      <c r="A222" s="9" t="s">
        <v>6</v>
      </c>
      <c r="C222" s="2" t="s">
        <v>4</v>
      </c>
    </row>
    <row r="223" spans="1:15" x14ac:dyDescent="0.35">
      <c r="A223" s="2" t="s">
        <v>5</v>
      </c>
      <c r="B223" s="6">
        <v>0</v>
      </c>
      <c r="C223" s="3">
        <f>B223*PI()/180</f>
        <v>0</v>
      </c>
    </row>
    <row r="224" spans="1:15" x14ac:dyDescent="0.35">
      <c r="A224" s="4"/>
      <c r="B224" s="4"/>
      <c r="C224" s="1"/>
      <c r="H224" s="18" t="s">
        <v>12</v>
      </c>
      <c r="I224" s="18"/>
      <c r="J224" s="4"/>
      <c r="K224" s="18" t="s">
        <v>13</v>
      </c>
      <c r="L224" s="18"/>
      <c r="M224" s="19" t="s">
        <v>14</v>
      </c>
      <c r="O224" s="21" t="s">
        <v>15</v>
      </c>
    </row>
    <row r="225" spans="1:15" x14ac:dyDescent="0.35">
      <c r="A225" s="2" t="s">
        <v>7</v>
      </c>
      <c r="B225" s="6">
        <v>110</v>
      </c>
      <c r="C225" s="3">
        <f>B225*PI()/180</f>
        <v>1.9198621771937625</v>
      </c>
      <c r="E225" s="11" t="s">
        <v>10</v>
      </c>
      <c r="F225" s="1">
        <f>-B226*COS(t.1)+a*COS(C223)+b*COS(C225)-c.*COS(t.4)</f>
        <v>-5.0521208599540124</v>
      </c>
      <c r="H225" s="8" t="s">
        <v>7</v>
      </c>
      <c r="I225" s="8" t="s">
        <v>9</v>
      </c>
      <c r="J225" s="4"/>
      <c r="K225" s="8" t="s">
        <v>7</v>
      </c>
      <c r="L225" s="8" t="s">
        <v>9</v>
      </c>
      <c r="M225" s="20"/>
      <c r="O225" s="22"/>
    </row>
    <row r="226" spans="1:15" x14ac:dyDescent="0.35">
      <c r="A226" s="2" t="s">
        <v>9</v>
      </c>
      <c r="B226" s="6">
        <v>6</v>
      </c>
      <c r="C226" s="3"/>
      <c r="E226" s="11" t="s">
        <v>11</v>
      </c>
      <c r="F226" s="1">
        <f>-B226*SIN(t.1)+a*SIN(C223)+b*SIN(C225)-c.*SIN(t.4)</f>
        <v>3.1381557247154506</v>
      </c>
      <c r="H226" s="3">
        <f>-b*SIN(C225)</f>
        <v>-5.6381557247154506</v>
      </c>
      <c r="I226" s="3">
        <f>-COS(t.1)</f>
        <v>-1</v>
      </c>
      <c r="J226" s="4"/>
      <c r="K226" s="3" cm="1">
        <f t="array" ref="K226:L227">MINVERSE(H226:I227)</f>
        <v>0</v>
      </c>
      <c r="L226" s="3">
        <v>-0.48730073336051455</v>
      </c>
      <c r="M226" s="3">
        <f>-F225</f>
        <v>5.0521208599540124</v>
      </c>
      <c r="O226" s="1" cm="1">
        <f t="array" ref="O226:O227">MMULT(K226:L227,M226:M227)</f>
        <v>1.5292255860533361</v>
      </c>
    </row>
    <row r="227" spans="1:15" x14ac:dyDescent="0.35">
      <c r="H227" s="3">
        <f>b*COS(C225)</f>
        <v>-2.0521208599540124</v>
      </c>
      <c r="I227" s="3">
        <f>-SIN(t.1)</f>
        <v>0</v>
      </c>
      <c r="J227" s="4"/>
      <c r="K227" s="3">
        <v>-1</v>
      </c>
      <c r="L227" s="3">
        <v>2.7474774194546225</v>
      </c>
      <c r="M227" s="3">
        <f>-F226</f>
        <v>-3.1381557247154506</v>
      </c>
      <c r="O227" s="1">
        <v>-13.67413285234197</v>
      </c>
    </row>
    <row r="229" spans="1:15" x14ac:dyDescent="0.35">
      <c r="A229" s="9" t="s">
        <v>16</v>
      </c>
      <c r="C229" s="2" t="s">
        <v>4</v>
      </c>
    </row>
    <row r="230" spans="1:15" x14ac:dyDescent="0.35">
      <c r="A230" s="2" t="s">
        <v>5</v>
      </c>
      <c r="B230" s="6">
        <v>60</v>
      </c>
      <c r="C230" s="3">
        <f>B230*PI()/180</f>
        <v>1.0471975511965976</v>
      </c>
    </row>
    <row r="231" spans="1:15" x14ac:dyDescent="0.35">
      <c r="A231" s="4"/>
      <c r="B231" s="4"/>
      <c r="C231" s="1"/>
      <c r="H231" s="18" t="s">
        <v>12</v>
      </c>
      <c r="I231" s="18"/>
      <c r="J231" s="4"/>
      <c r="K231" s="18" t="s">
        <v>13</v>
      </c>
      <c r="L231" s="18"/>
      <c r="M231" s="19" t="s">
        <v>14</v>
      </c>
      <c r="O231" s="21" t="s">
        <v>15</v>
      </c>
    </row>
    <row r="232" spans="1:15" x14ac:dyDescent="0.35">
      <c r="A232" s="2" t="s">
        <v>7</v>
      </c>
      <c r="B232" s="6">
        <f>C232*180/PI()</f>
        <v>197.61817200427606</v>
      </c>
      <c r="C232" s="3">
        <f>O226+C225</f>
        <v>3.4490877632470989</v>
      </c>
      <c r="E232" s="11" t="s">
        <v>10</v>
      </c>
      <c r="F232" s="1">
        <f>-B233*COS(t.1)+a*COS(C230)+b*COS(C232)-c.*COS(t.4)</f>
        <v>3.4555645333999108</v>
      </c>
      <c r="H232" s="8" t="s">
        <v>7</v>
      </c>
      <c r="I232" s="8" t="s">
        <v>9</v>
      </c>
      <c r="J232" s="4"/>
      <c r="K232" s="8" t="s">
        <v>7</v>
      </c>
      <c r="L232" s="8" t="s">
        <v>9</v>
      </c>
      <c r="M232" s="20"/>
      <c r="O232" s="22"/>
    </row>
    <row r="233" spans="1:15" x14ac:dyDescent="0.35">
      <c r="A233" s="2" t="s">
        <v>9</v>
      </c>
      <c r="B233" s="6">
        <f>O227+B226</f>
        <v>-7.6741328523419696</v>
      </c>
      <c r="C233" s="3"/>
      <c r="E233" s="11" t="s">
        <v>11</v>
      </c>
      <c r="F233" s="1">
        <f>-B233*SIN(t.1)+a*SIN(C230)+b*SIN(C232)-c.*SIN(t.4)</f>
        <v>-1.7179569330557274</v>
      </c>
      <c r="H233" s="3">
        <f>-b*SIN(C232)</f>
        <v>1.8160331444090434</v>
      </c>
      <c r="I233" s="3">
        <f>-COS(t.1)</f>
        <v>-1</v>
      </c>
      <c r="J233" s="4"/>
      <c r="K233" s="3" cm="1">
        <f t="array" ref="K233:L234">MINVERSE(H233:I234)</f>
        <v>0</v>
      </c>
      <c r="L233" s="3">
        <v>-0.1748689434534903</v>
      </c>
      <c r="M233" s="3">
        <f>-F232</f>
        <v>-3.4555645333999108</v>
      </c>
      <c r="O233" s="1" cm="1">
        <f t="array" ref="O233:O234">MMULT(K233:L234,M233:M234)</f>
        <v>-0.30041731378205361</v>
      </c>
    </row>
    <row r="234" spans="1:15" x14ac:dyDescent="0.35">
      <c r="H234" s="3">
        <f>b*COS(C232)</f>
        <v>-5.7185683189420589</v>
      </c>
      <c r="I234" s="3">
        <f>-SIN(t.1)</f>
        <v>0</v>
      </c>
      <c r="J234" s="4"/>
      <c r="K234" s="3">
        <v>-1</v>
      </c>
      <c r="L234" s="3">
        <v>-0.31756779723932921</v>
      </c>
      <c r="M234" s="3">
        <f>-F233</f>
        <v>1.7179569330557274</v>
      </c>
      <c r="O234" s="1">
        <v>2.9099967344173696</v>
      </c>
    </row>
    <row r="236" spans="1:15" x14ac:dyDescent="0.35">
      <c r="A236" s="9" t="s">
        <v>17</v>
      </c>
      <c r="C236" s="2" t="s">
        <v>4</v>
      </c>
    </row>
    <row r="237" spans="1:15" x14ac:dyDescent="0.35">
      <c r="A237" s="2" t="s">
        <v>5</v>
      </c>
      <c r="B237" s="6">
        <v>60</v>
      </c>
      <c r="C237" s="3">
        <f>B237*PI()/180</f>
        <v>1.0471975511965976</v>
      </c>
    </row>
    <row r="238" spans="1:15" x14ac:dyDescent="0.35">
      <c r="A238" s="4"/>
      <c r="B238" s="4"/>
      <c r="C238" s="1"/>
      <c r="H238" s="18" t="s">
        <v>12</v>
      </c>
      <c r="I238" s="18"/>
      <c r="J238" s="4"/>
      <c r="K238" s="18" t="s">
        <v>13</v>
      </c>
      <c r="L238" s="18"/>
      <c r="M238" s="19" t="s">
        <v>14</v>
      </c>
      <c r="O238" s="21" t="s">
        <v>15</v>
      </c>
    </row>
    <row r="239" spans="1:15" x14ac:dyDescent="0.35">
      <c r="A239" s="2" t="s">
        <v>7</v>
      </c>
      <c r="B239" s="6">
        <f>C239*180/PI()</f>
        <v>180.40552783190705</v>
      </c>
      <c r="C239" s="3">
        <f>O233+C232</f>
        <v>3.1486704494650453</v>
      </c>
      <c r="E239" s="11" t="s">
        <v>10</v>
      </c>
      <c r="F239" s="1">
        <f>-B240*COS(t.1)+a*COS(C237)+b*COS(C239)-c.*COS(t.4)</f>
        <v>0.26428640288057431</v>
      </c>
      <c r="H239" s="8" t="s">
        <v>7</v>
      </c>
      <c r="I239" s="8" t="s">
        <v>9</v>
      </c>
      <c r="J239" s="4"/>
      <c r="K239" s="8" t="s">
        <v>7</v>
      </c>
      <c r="L239" s="8" t="s">
        <v>9</v>
      </c>
      <c r="M239" s="20"/>
      <c r="O239" s="22"/>
    </row>
    <row r="240" spans="1:15" x14ac:dyDescent="0.35">
      <c r="A240" s="2" t="s">
        <v>9</v>
      </c>
      <c r="B240" s="6">
        <f>O234+B233</f>
        <v>-4.7641361179246005</v>
      </c>
      <c r="C240" s="3"/>
      <c r="E240" s="11" t="s">
        <v>11</v>
      </c>
      <c r="F240" s="1">
        <f>-B240*SIN(t.1)+a*SIN(C237)+b*SIN(C239)-c.*SIN(t.4)</f>
        <v>5.5609790664476577E-2</v>
      </c>
      <c r="H240" s="3">
        <f>-b*SIN(C239)</f>
        <v>4.246642068883958E-2</v>
      </c>
      <c r="I240" s="3">
        <f>-COS(t.1)</f>
        <v>-1</v>
      </c>
      <c r="J240" s="4"/>
      <c r="K240" s="3" cm="1">
        <f t="array" ref="K240:L241">MINVERSE(H240:I241)</f>
        <v>0</v>
      </c>
      <c r="L240" s="3">
        <v>-0.16667084135334248</v>
      </c>
      <c r="M240" s="3">
        <f>-F239</f>
        <v>-0.26428640288057431</v>
      </c>
      <c r="O240" s="1" cm="1">
        <f t="array" ref="O240:O241">MMULT(K240:L241,M240:M241)</f>
        <v>9.2685305975315612E-3</v>
      </c>
    </row>
    <row r="241" spans="1:15" x14ac:dyDescent="0.35">
      <c r="H241" s="3">
        <f>b*COS(C239)</f>
        <v>-5.999849715044026</v>
      </c>
      <c r="I241" s="3">
        <f>-SIN(t.1)</f>
        <v>0</v>
      </c>
      <c r="J241" s="4"/>
      <c r="K241" s="3">
        <v>-1</v>
      </c>
      <c r="L241" s="3">
        <v>-7.0779140654738826E-3</v>
      </c>
      <c r="M241" s="3">
        <f>-F240</f>
        <v>-5.5609790664476577E-2</v>
      </c>
      <c r="O241" s="1">
        <v>0.26468000420009646</v>
      </c>
    </row>
    <row r="243" spans="1:15" x14ac:dyDescent="0.35">
      <c r="A243" s="9" t="s">
        <v>18</v>
      </c>
      <c r="C243" s="2" t="s">
        <v>4</v>
      </c>
    </row>
    <row r="244" spans="1:15" x14ac:dyDescent="0.35">
      <c r="A244" s="2" t="s">
        <v>5</v>
      </c>
      <c r="B244" s="6">
        <v>60</v>
      </c>
      <c r="C244" s="3">
        <f>B244*PI()/180</f>
        <v>1.0471975511965976</v>
      </c>
    </row>
    <row r="245" spans="1:15" x14ac:dyDescent="0.35">
      <c r="A245" s="4"/>
      <c r="B245" s="4"/>
      <c r="C245" s="1"/>
      <c r="H245" s="18" t="s">
        <v>12</v>
      </c>
      <c r="I245" s="18"/>
      <c r="J245" s="4"/>
      <c r="K245" s="18" t="s">
        <v>13</v>
      </c>
      <c r="L245" s="18"/>
      <c r="M245" s="19" t="s">
        <v>14</v>
      </c>
      <c r="O245" s="21" t="s">
        <v>15</v>
      </c>
    </row>
    <row r="246" spans="1:15" x14ac:dyDescent="0.35">
      <c r="A246" s="2" t="s">
        <v>7</v>
      </c>
      <c r="B246" s="6">
        <f>C246*180/PI()</f>
        <v>180.93657551743348</v>
      </c>
      <c r="C246" s="3">
        <f>O240+C239</f>
        <v>3.157938980062577</v>
      </c>
      <c r="E246" s="11" t="s">
        <v>10</v>
      </c>
      <c r="F246" s="1">
        <f>-B247*COS(t.1)+a*COS(C244)+b*COS(C246)-c.*COS(t.4)</f>
        <v>2.5770304284818086E-4</v>
      </c>
      <c r="H246" s="8" t="s">
        <v>7</v>
      </c>
      <c r="I246" s="8" t="s">
        <v>9</v>
      </c>
      <c r="J246" s="4"/>
      <c r="K246" s="8" t="s">
        <v>7</v>
      </c>
      <c r="L246" s="8" t="s">
        <v>9</v>
      </c>
      <c r="M246" s="20"/>
      <c r="O246" s="22"/>
    </row>
    <row r="247" spans="1:15" x14ac:dyDescent="0.35">
      <c r="A247" s="2" t="s">
        <v>9</v>
      </c>
      <c r="B247" s="6">
        <f>O241+B240</f>
        <v>-4.4994561137245039</v>
      </c>
      <c r="C247" s="3"/>
      <c r="E247" s="11" t="s">
        <v>11</v>
      </c>
      <c r="F247" s="1">
        <f>-B247*SIN(t.1)+a*SIN(C244)+b*SIN(C246)-c.*SIN(t.4)</f>
        <v>2.6202357470417326E-6</v>
      </c>
      <c r="H247" s="3">
        <f>-b*SIN(C246)</f>
        <v>9.8073591117568831E-2</v>
      </c>
      <c r="I247" s="3">
        <f>-COS(t.1)</f>
        <v>-1</v>
      </c>
      <c r="J247" s="4"/>
      <c r="K247" s="3" cm="1">
        <f t="array" ref="K247:L248">MINVERSE(H247:I248)</f>
        <v>0</v>
      </c>
      <c r="L247" s="3">
        <v>-0.16668893601176554</v>
      </c>
      <c r="M247" s="3">
        <f>-F246</f>
        <v>-2.5770304284818086E-4</v>
      </c>
      <c r="O247" s="1" cm="1">
        <f t="array" ref="O247:O248">MMULT(K247:L248,M247:M248)</f>
        <v>4.3676430877438003E-7</v>
      </c>
    </row>
    <row r="248" spans="1:15" x14ac:dyDescent="0.35">
      <c r="H248" s="3">
        <f>b*COS(C246)</f>
        <v>-5.9991984106816556</v>
      </c>
      <c r="I248" s="3">
        <f>-SIN(t.1)</f>
        <v>0</v>
      </c>
      <c r="J248" s="4"/>
      <c r="K248" s="3">
        <v>-1</v>
      </c>
      <c r="L248" s="3">
        <v>-1.6347782554240489E-2</v>
      </c>
      <c r="M248" s="3">
        <f>-F247</f>
        <v>-2.6202357470417326E-6</v>
      </c>
      <c r="O248" s="1">
        <v>2.5774587789241434E-4</v>
      </c>
    </row>
    <row r="250" spans="1:15" x14ac:dyDescent="0.35">
      <c r="A250" s="9" t="s">
        <v>19</v>
      </c>
      <c r="C250" s="2" t="s">
        <v>4</v>
      </c>
    </row>
    <row r="251" spans="1:15" x14ac:dyDescent="0.35">
      <c r="A251" s="2" t="s">
        <v>5</v>
      </c>
      <c r="B251" s="6">
        <v>60</v>
      </c>
      <c r="C251" s="3">
        <f>B251*PI()/180</f>
        <v>1.0471975511965976</v>
      </c>
    </row>
    <row r="252" spans="1:15" x14ac:dyDescent="0.35">
      <c r="A252" s="4"/>
      <c r="B252" s="4"/>
      <c r="C252" s="1"/>
      <c r="H252" s="18" t="s">
        <v>12</v>
      </c>
      <c r="I252" s="18"/>
      <c r="J252" s="4"/>
      <c r="K252" s="18" t="s">
        <v>13</v>
      </c>
      <c r="L252" s="18"/>
      <c r="M252" s="19" t="s">
        <v>14</v>
      </c>
      <c r="O252" s="21" t="s">
        <v>15</v>
      </c>
    </row>
    <row r="253" spans="1:15" x14ac:dyDescent="0.35">
      <c r="A253" s="2" t="s">
        <v>7</v>
      </c>
      <c r="B253" s="6">
        <f>C253*180/PI()</f>
        <v>180.93660054218503</v>
      </c>
      <c r="C253" s="3">
        <f>O247+C246</f>
        <v>3.1579394168268857</v>
      </c>
      <c r="E253" s="11" t="s">
        <v>10</v>
      </c>
      <c r="F253" s="1">
        <f>-B254*COS(t.1)+a*COS(C251)+b*COS(C253)-c.*COS(t.4)</f>
        <v>5.7183375873001707E-13</v>
      </c>
      <c r="H253" s="8" t="s">
        <v>7</v>
      </c>
      <c r="I253" s="8" t="s">
        <v>9</v>
      </c>
      <c r="J253" s="4"/>
      <c r="K253" s="8" t="s">
        <v>7</v>
      </c>
      <c r="L253" s="8" t="s">
        <v>9</v>
      </c>
      <c r="M253" s="20"/>
      <c r="O253" s="22"/>
    </row>
    <row r="254" spans="1:15" x14ac:dyDescent="0.35">
      <c r="A254" s="2" t="s">
        <v>9</v>
      </c>
      <c r="B254" s="6">
        <f>O248+B247</f>
        <v>-4.4991983678466116</v>
      </c>
      <c r="C254" s="3"/>
      <c r="E254" s="11" t="s">
        <v>11</v>
      </c>
      <c r="F254" s="1">
        <f>-B254*SIN(t.1)+a*SIN(C251)+b*SIN(C253)-c.*SIN(t.4)</f>
        <v>9.7699626167013776E-15</v>
      </c>
      <c r="H254" s="3">
        <f>-b*SIN(C253)</f>
        <v>9.8076211353306186E-2</v>
      </c>
      <c r="I254" s="3">
        <f>-COS(t.1)</f>
        <v>-1</v>
      </c>
      <c r="J254" s="4"/>
      <c r="K254" s="3" cm="1">
        <f t="array" ref="K254:L255">MINVERSE(H254:I255)</f>
        <v>0</v>
      </c>
      <c r="L254" s="3">
        <v>-0.16668893720196176</v>
      </c>
      <c r="M254" s="3">
        <f>-F253</f>
        <v>-5.7183375873001707E-13</v>
      </c>
      <c r="O254" s="1" cm="1">
        <f t="array" ref="O254:O255">MMULT(K254:L255,M254:M255)</f>
        <v>1.6285446850808499E-15</v>
      </c>
    </row>
    <row r="255" spans="1:15" x14ac:dyDescent="0.35">
      <c r="H255" s="3">
        <f>b*COS(C253)</f>
        <v>-5.9991983678460397</v>
      </c>
      <c r="I255" s="3">
        <f>-SIN(t.1)</f>
        <v>0</v>
      </c>
      <c r="J255" s="4"/>
      <c r="K255" s="3">
        <v>-1</v>
      </c>
      <c r="L255" s="3">
        <v>-1.6348219435277585E-2</v>
      </c>
      <c r="M255" s="3">
        <f>-F254</f>
        <v>-9.7699626167013776E-15</v>
      </c>
      <c r="O255" s="1">
        <v>5.7199348022274938E-13</v>
      </c>
    </row>
    <row r="257" spans="1:15" x14ac:dyDescent="0.35">
      <c r="A257" s="9" t="s">
        <v>20</v>
      </c>
      <c r="C257" s="2" t="s">
        <v>4</v>
      </c>
    </row>
    <row r="258" spans="1:15" x14ac:dyDescent="0.35">
      <c r="A258" s="2" t="s">
        <v>5</v>
      </c>
      <c r="B258" s="6">
        <v>60</v>
      </c>
      <c r="C258" s="3">
        <f>B258*PI()/180</f>
        <v>1.0471975511965976</v>
      </c>
    </row>
    <row r="259" spans="1:15" x14ac:dyDescent="0.35">
      <c r="A259" s="4"/>
      <c r="B259" s="4"/>
      <c r="C259" s="1"/>
      <c r="H259" s="18" t="s">
        <v>12</v>
      </c>
      <c r="I259" s="18"/>
      <c r="J259" s="4"/>
      <c r="K259" s="18" t="s">
        <v>13</v>
      </c>
      <c r="L259" s="18"/>
      <c r="M259" s="19" t="s">
        <v>14</v>
      </c>
      <c r="O259" s="21" t="s">
        <v>15</v>
      </c>
    </row>
    <row r="260" spans="1:15" x14ac:dyDescent="0.35">
      <c r="A260" s="2" t="s">
        <v>7</v>
      </c>
      <c r="B260" s="6">
        <f>C260*180/PI()</f>
        <v>180.93660054218509</v>
      </c>
      <c r="C260" s="3">
        <f>O254+C253</f>
        <v>3.1579394168268875</v>
      </c>
      <c r="E260" s="11" t="s">
        <v>10</v>
      </c>
      <c r="F260" s="1">
        <f>-B261*COS(t.1)+a*COS(C258)+b*COS(C260)-c.*COS(t.4)</f>
        <v>-1.531435568635775E-16</v>
      </c>
      <c r="H260" s="8" t="s">
        <v>7</v>
      </c>
      <c r="I260" s="8" t="s">
        <v>9</v>
      </c>
      <c r="J260" s="4"/>
      <c r="K260" s="8" t="s">
        <v>7</v>
      </c>
      <c r="L260" s="8" t="s">
        <v>9</v>
      </c>
      <c r="M260" s="20"/>
      <c r="O260" s="22"/>
    </row>
    <row r="261" spans="1:15" x14ac:dyDescent="0.35">
      <c r="A261" s="2" t="s">
        <v>9</v>
      </c>
      <c r="B261" s="6">
        <f>O255+B254</f>
        <v>-4.4991983678460397</v>
      </c>
      <c r="C261" s="3"/>
      <c r="E261" s="11" t="s">
        <v>11</v>
      </c>
      <c r="F261" s="1">
        <f>-B261*SIN(t.1)+a*SIN(C258)+b*SIN(C260)-c.*SIN(t.4)</f>
        <v>0</v>
      </c>
      <c r="H261" s="3">
        <f>-b*SIN(C260)</f>
        <v>9.8076211353316844E-2</v>
      </c>
      <c r="I261" s="3">
        <f>-COS(B218)</f>
        <v>-8.4471040321619395E-2</v>
      </c>
      <c r="J261" s="4"/>
      <c r="K261" s="3" cm="1">
        <f t="array" ref="K261:L262">MINVERSE(H261:I262)</f>
        <v>1.6483903497375325</v>
      </c>
      <c r="L261" s="3">
        <v>-0.13974069004945569</v>
      </c>
      <c r="M261" s="3">
        <f>-F260</f>
        <v>1.531435568635775E-16</v>
      </c>
      <c r="O261" s="1" cm="1">
        <f t="array" ref="O261:O262">MMULT(K261:L262,M261:M262)</f>
        <v>2.5244036125840221E-16</v>
      </c>
    </row>
    <row r="262" spans="1:15" x14ac:dyDescent="0.35">
      <c r="H262" s="3">
        <f>b*COS(C260)</f>
        <v>-5.9991983678460397</v>
      </c>
      <c r="I262" s="3">
        <f>-SIN(B218)</f>
        <v>-0.99642593470211493</v>
      </c>
      <c r="J262" s="4"/>
      <c r="K262" s="3">
        <v>-9.9244914763031797</v>
      </c>
      <c r="L262" s="3">
        <v>-0.16224776443816399</v>
      </c>
      <c r="M262" s="3">
        <f>-F261</f>
        <v>0</v>
      </c>
      <c r="O262" s="1">
        <v>-1.5198719247433262E-15</v>
      </c>
    </row>
    <row r="264" spans="1:15" x14ac:dyDescent="0.35">
      <c r="A264" s="9" t="s">
        <v>6</v>
      </c>
      <c r="C264" s="2" t="s">
        <v>4</v>
      </c>
    </row>
    <row r="265" spans="1:15" x14ac:dyDescent="0.35">
      <c r="A265" s="2" t="s">
        <v>5</v>
      </c>
      <c r="B265" s="6">
        <v>0</v>
      </c>
      <c r="C265" s="3">
        <f>B265*PI()/180</f>
        <v>0</v>
      </c>
    </row>
    <row r="266" spans="1:15" x14ac:dyDescent="0.35">
      <c r="A266" s="4"/>
      <c r="B266" s="4"/>
      <c r="C266" s="1"/>
      <c r="H266" s="18" t="s">
        <v>12</v>
      </c>
      <c r="I266" s="18"/>
      <c r="J266" s="4"/>
      <c r="K266" s="18" t="s">
        <v>13</v>
      </c>
      <c r="L266" s="18"/>
      <c r="M266" s="19" t="s">
        <v>14</v>
      </c>
      <c r="O266" s="21" t="s">
        <v>15</v>
      </c>
    </row>
    <row r="267" spans="1:15" x14ac:dyDescent="0.35">
      <c r="A267" s="2" t="s">
        <v>7</v>
      </c>
      <c r="B267" s="6">
        <v>110</v>
      </c>
      <c r="C267" s="3">
        <f>B267*PI()/180</f>
        <v>1.9198621771937625</v>
      </c>
      <c r="E267" s="11" t="s">
        <v>10</v>
      </c>
      <c r="F267" s="1">
        <f>-B268*COS(t.1)+a*COS(C265)+b*COS(C267)-c.*COS(t.4)</f>
        <v>-5.0521208599540124</v>
      </c>
      <c r="H267" s="8" t="s">
        <v>7</v>
      </c>
      <c r="I267" s="8" t="s">
        <v>9</v>
      </c>
      <c r="J267" s="4"/>
      <c r="K267" s="8" t="s">
        <v>7</v>
      </c>
      <c r="L267" s="8" t="s">
        <v>9</v>
      </c>
      <c r="M267" s="20"/>
      <c r="O267" s="22"/>
    </row>
    <row r="268" spans="1:15" x14ac:dyDescent="0.35">
      <c r="A268" s="2" t="s">
        <v>9</v>
      </c>
      <c r="B268" s="6">
        <v>6</v>
      </c>
      <c r="C268" s="3"/>
      <c r="E268" s="11" t="s">
        <v>11</v>
      </c>
      <c r="F268" s="1">
        <f>-B268*SIN(t.1)+a*SIN(C265)+b*SIN(C267)-c.*SIN(t.4)</f>
        <v>3.1381557247154506</v>
      </c>
      <c r="H268" s="3">
        <f>-b*SIN(C267)</f>
        <v>-5.6381557247154506</v>
      </c>
      <c r="I268" s="3">
        <f>-COS(t.1)</f>
        <v>-1</v>
      </c>
      <c r="J268" s="4"/>
      <c r="K268" s="3" cm="1">
        <f t="array" ref="K268:L269">MINVERSE(H268:I269)</f>
        <v>0</v>
      </c>
      <c r="L268" s="3">
        <v>-0.48730073336051455</v>
      </c>
      <c r="M268" s="3">
        <f>-F267</f>
        <v>5.0521208599540124</v>
      </c>
      <c r="O268" s="1" cm="1">
        <f t="array" ref="O268:O269">MMULT(K268:L269,M268:M269)</f>
        <v>1.5292255860533361</v>
      </c>
    </row>
    <row r="269" spans="1:15" x14ac:dyDescent="0.35">
      <c r="H269" s="3">
        <f>b*COS(C267)</f>
        <v>-2.0521208599540124</v>
      </c>
      <c r="I269" s="3">
        <f>-SIN(t.1)</f>
        <v>0</v>
      </c>
      <c r="J269" s="4"/>
      <c r="K269" s="3">
        <v>-1</v>
      </c>
      <c r="L269" s="3">
        <v>2.7474774194546225</v>
      </c>
      <c r="M269" s="3">
        <f>-F268</f>
        <v>-3.1381557247154506</v>
      </c>
      <c r="O269" s="1">
        <v>-13.67413285234197</v>
      </c>
    </row>
    <row r="271" spans="1:15" x14ac:dyDescent="0.35">
      <c r="A271" s="9" t="s">
        <v>16</v>
      </c>
      <c r="C271" s="2" t="s">
        <v>4</v>
      </c>
    </row>
    <row r="272" spans="1:15" x14ac:dyDescent="0.35">
      <c r="A272" s="2" t="s">
        <v>5</v>
      </c>
      <c r="B272" s="6">
        <v>72</v>
      </c>
      <c r="C272" s="3">
        <f>B272*PI()/180</f>
        <v>1.2566370614359172</v>
      </c>
    </row>
    <row r="273" spans="1:15" x14ac:dyDescent="0.35">
      <c r="A273" s="4"/>
      <c r="B273" s="4"/>
      <c r="C273" s="1"/>
      <c r="H273" s="18" t="s">
        <v>12</v>
      </c>
      <c r="I273" s="18"/>
      <c r="J273" s="4"/>
      <c r="K273" s="18" t="s">
        <v>13</v>
      </c>
      <c r="L273" s="18"/>
      <c r="M273" s="19" t="s">
        <v>14</v>
      </c>
      <c r="O273" s="21" t="s">
        <v>15</v>
      </c>
    </row>
    <row r="274" spans="1:15" x14ac:dyDescent="0.35">
      <c r="A274" s="2" t="s">
        <v>7</v>
      </c>
      <c r="B274" s="6">
        <f>C274*180/PI()</f>
        <v>197.61817200427606</v>
      </c>
      <c r="C274" s="3">
        <f>O268+C267</f>
        <v>3.4490877632470989</v>
      </c>
      <c r="E274" s="11" t="s">
        <v>10</v>
      </c>
      <c r="F274" s="1">
        <f>-B275*COS(t.1)+a*COS(C272)+b*COS(C274)-c.*COS(t.4)</f>
        <v>2.882615516524754</v>
      </c>
      <c r="H274" s="8" t="s">
        <v>7</v>
      </c>
      <c r="I274" s="8" t="s">
        <v>9</v>
      </c>
      <c r="J274" s="4"/>
      <c r="K274" s="8" t="s">
        <v>7</v>
      </c>
      <c r="L274" s="8" t="s">
        <v>9</v>
      </c>
      <c r="M274" s="20"/>
      <c r="O274" s="22"/>
    </row>
    <row r="275" spans="1:15" x14ac:dyDescent="0.35">
      <c r="A275" s="2" t="s">
        <v>9</v>
      </c>
      <c r="B275" s="6">
        <f>O269+B268</f>
        <v>-7.6741328523419696</v>
      </c>
      <c r="C275" s="3"/>
      <c r="E275" s="11" t="s">
        <v>11</v>
      </c>
      <c r="F275" s="1">
        <f>-B275*SIN(t.1)+a*SIN(C272)+b*SIN(C274)-c.*SIN(t.4)</f>
        <v>-1.4628635955235829</v>
      </c>
      <c r="H275" s="3">
        <f>-b*SIN(C274)</f>
        <v>1.8160331444090434</v>
      </c>
      <c r="I275" s="3">
        <f>-COS(t.1)</f>
        <v>-1</v>
      </c>
      <c r="J275" s="4"/>
      <c r="K275" s="3" cm="1">
        <f t="array" ref="K275:L276">MINVERSE(H275:I276)</f>
        <v>0</v>
      </c>
      <c r="L275" s="3">
        <v>-0.1748689434534903</v>
      </c>
      <c r="M275" s="3">
        <f>-F274</f>
        <v>-2.882615516524754</v>
      </c>
      <c r="O275" s="1" cm="1">
        <f t="array" ref="O275:O276">MMULT(K275:L276,M275:M276)</f>
        <v>-0.25580941136578295</v>
      </c>
    </row>
    <row r="276" spans="1:15" x14ac:dyDescent="0.35">
      <c r="H276" s="3">
        <f>b*COS(C274)</f>
        <v>-5.7185683189420589</v>
      </c>
      <c r="I276" s="3">
        <f>-SIN(t.1)</f>
        <v>0</v>
      </c>
      <c r="J276" s="4"/>
      <c r="K276" s="3">
        <v>-1</v>
      </c>
      <c r="L276" s="3">
        <v>-0.31756779723932921</v>
      </c>
      <c r="M276" s="3">
        <f>-F275</f>
        <v>1.4628635955235829</v>
      </c>
      <c r="O276" s="1">
        <v>2.4180571468327248</v>
      </c>
    </row>
    <row r="278" spans="1:15" x14ac:dyDescent="0.35">
      <c r="A278" s="9" t="s">
        <v>17</v>
      </c>
      <c r="C278" s="2" t="s">
        <v>4</v>
      </c>
    </row>
    <row r="279" spans="1:15" x14ac:dyDescent="0.35">
      <c r="A279" s="2" t="s">
        <v>5</v>
      </c>
      <c r="B279" s="6">
        <v>72</v>
      </c>
      <c r="C279" s="3">
        <f>B279*PI()/180</f>
        <v>1.2566370614359172</v>
      </c>
    </row>
    <row r="280" spans="1:15" x14ac:dyDescent="0.35">
      <c r="A280" s="4"/>
      <c r="B280" s="4"/>
      <c r="C280" s="1"/>
      <c r="H280" s="18" t="s">
        <v>12</v>
      </c>
      <c r="I280" s="18"/>
      <c r="J280" s="4"/>
      <c r="K280" s="18" t="s">
        <v>13</v>
      </c>
      <c r="L280" s="18"/>
      <c r="M280" s="19" t="s">
        <v>14</v>
      </c>
      <c r="O280" s="21" t="s">
        <v>15</v>
      </c>
    </row>
    <row r="281" spans="1:15" x14ac:dyDescent="0.35">
      <c r="A281" s="2" t="s">
        <v>7</v>
      </c>
      <c r="B281" s="6">
        <f>C281*180/PI()</f>
        <v>182.9613723732908</v>
      </c>
      <c r="C281" s="3">
        <f>O275+C274</f>
        <v>3.1932783518813159</v>
      </c>
      <c r="E281" s="11" t="s">
        <v>10</v>
      </c>
      <c r="F281" s="1">
        <f>-B282*COS(t.1)+a*COS(C279)+b*COS(C281)-c.*COS(t.4)</f>
        <v>0.19113913890686868</v>
      </c>
      <c r="H281" s="8" t="s">
        <v>7</v>
      </c>
      <c r="I281" s="8" t="s">
        <v>9</v>
      </c>
      <c r="J281" s="4"/>
      <c r="K281" s="8" t="s">
        <v>7</v>
      </c>
      <c r="L281" s="8" t="s">
        <v>9</v>
      </c>
      <c r="M281" s="20"/>
      <c r="O281" s="22"/>
    </row>
    <row r="282" spans="1:15" x14ac:dyDescent="0.35">
      <c r="A282" s="2" t="s">
        <v>9</v>
      </c>
      <c r="B282" s="6">
        <f>O276+B275</f>
        <v>-5.2560757055092449</v>
      </c>
      <c r="C282" s="3"/>
      <c r="E282" s="11" t="s">
        <v>11</v>
      </c>
      <c r="F282" s="1">
        <f>-B282*SIN(t.1)+a*SIN(C279)+b*SIN(C281)-c.*SIN(t.4)</f>
        <v>4.3193414458946311E-2</v>
      </c>
      <c r="H282" s="3">
        <f>-b*SIN(C281)</f>
        <v>0.30997613442651417</v>
      </c>
      <c r="I282" s="3">
        <f>-COS(t.1)</f>
        <v>-1</v>
      </c>
      <c r="J282" s="4"/>
      <c r="K282" s="3" cm="1">
        <f t="array" ref="K282:L283">MINVERSE(H282:I283)</f>
        <v>0</v>
      </c>
      <c r="L282" s="3">
        <v>-0.16688953234649567</v>
      </c>
      <c r="M282" s="3">
        <f>-F281</f>
        <v>-0.19113913890686868</v>
      </c>
      <c r="O282" s="1" cm="1">
        <f t="array" ref="O282:O283">MMULT(K282:L283,M282:M283)</f>
        <v>7.2085287395019142E-3</v>
      </c>
    </row>
    <row r="283" spans="1:15" x14ac:dyDescent="0.35">
      <c r="H283" s="3">
        <f>b*COS(C281)</f>
        <v>-5.9919875497272184</v>
      </c>
      <c r="I283" s="3">
        <f>-SIN(t.1)</f>
        <v>0</v>
      </c>
      <c r="J283" s="4"/>
      <c r="K283" s="3">
        <v>-1</v>
      </c>
      <c r="L283" s="3">
        <v>-5.1731772113015433E-2</v>
      </c>
      <c r="M283" s="3">
        <f>-F282</f>
        <v>-4.3193414458946311E-2</v>
      </c>
      <c r="O283" s="1">
        <v>0.19337361078044191</v>
      </c>
    </row>
    <row r="285" spans="1:15" x14ac:dyDescent="0.35">
      <c r="A285" s="9" t="s">
        <v>18</v>
      </c>
      <c r="C285" s="2" t="s">
        <v>4</v>
      </c>
    </row>
    <row r="286" spans="1:15" x14ac:dyDescent="0.35">
      <c r="A286" s="2" t="s">
        <v>5</v>
      </c>
      <c r="B286" s="6">
        <v>72</v>
      </c>
      <c r="C286" s="3">
        <f>B286*PI()/180</f>
        <v>1.2566370614359172</v>
      </c>
    </row>
    <row r="287" spans="1:15" x14ac:dyDescent="0.35">
      <c r="A287" s="4"/>
      <c r="B287" s="4"/>
      <c r="C287" s="1"/>
      <c r="H287" s="18" t="s">
        <v>12</v>
      </c>
      <c r="I287" s="18"/>
      <c r="J287" s="4"/>
      <c r="K287" s="18" t="s">
        <v>13</v>
      </c>
      <c r="L287" s="18"/>
      <c r="M287" s="19" t="s">
        <v>14</v>
      </c>
      <c r="O287" s="21" t="s">
        <v>15</v>
      </c>
    </row>
    <row r="288" spans="1:15" x14ac:dyDescent="0.35">
      <c r="A288" s="2" t="s">
        <v>7</v>
      </c>
      <c r="B288" s="6">
        <f>C288*180/PI()</f>
        <v>183.374390646563</v>
      </c>
      <c r="C288" s="3">
        <f>O282+C281</f>
        <v>3.2004868806208178</v>
      </c>
      <c r="E288" s="11" t="s">
        <v>10</v>
      </c>
      <c r="F288" s="1">
        <f>-B289*COS(t.1)+a*COS(C286)+b*COS(C288)-c.*COS(t.4)</f>
        <v>1.5566045905830668E-4</v>
      </c>
      <c r="H288" s="8" t="s">
        <v>7</v>
      </c>
      <c r="I288" s="8" t="s">
        <v>9</v>
      </c>
      <c r="J288" s="4"/>
      <c r="K288" s="8" t="s">
        <v>7</v>
      </c>
      <c r="L288" s="8" t="s">
        <v>9</v>
      </c>
      <c r="M288" s="20"/>
      <c r="O288" s="22"/>
    </row>
    <row r="289" spans="1:15" x14ac:dyDescent="0.35">
      <c r="A289" s="2" t="s">
        <v>9</v>
      </c>
      <c r="B289" s="6">
        <f>O283+B282</f>
        <v>-5.0627020947288033</v>
      </c>
      <c r="C289" s="3"/>
      <c r="E289" s="11" t="s">
        <v>11</v>
      </c>
      <c r="F289" s="1">
        <f>-B289*SIN(t.1)+a*SIN(C286)+b*SIN(C288)-c.*SIN(t.4)</f>
        <v>8.4276672631666827E-6</v>
      </c>
      <c r="H289" s="3">
        <f>-b*SIN(C288)</f>
        <v>0.35316112121819743</v>
      </c>
      <c r="I289" s="3">
        <f>-COS(t.1)</f>
        <v>-1</v>
      </c>
      <c r="J289" s="4"/>
      <c r="K289" s="3" cm="1">
        <f t="array" ref="K289:L290">MINVERSE(H289:I290)</f>
        <v>0</v>
      </c>
      <c r="L289" s="3">
        <v>-0.16695612915416769</v>
      </c>
      <c r="M289" s="3">
        <f>-F288</f>
        <v>-1.5566045905830668E-4</v>
      </c>
      <c r="O289" s="1" cm="1">
        <f t="array" ref="O289:O290">MMULT(K289:L290,M289:M290)</f>
        <v>1.4070507040576075E-6</v>
      </c>
    </row>
    <row r="290" spans="1:15" x14ac:dyDescent="0.35">
      <c r="H290" s="3">
        <f>b*COS(C288)</f>
        <v>-5.9895974173945872</v>
      </c>
      <c r="I290" s="3">
        <f>-SIN(t.1)</f>
        <v>0</v>
      </c>
      <c r="J290" s="4"/>
      <c r="K290" s="3">
        <v>-1</v>
      </c>
      <c r="L290" s="3">
        <v>-5.8962413766336041E-2</v>
      </c>
      <c r="M290" s="3">
        <f>-F289</f>
        <v>-8.4276672631666827E-6</v>
      </c>
      <c r="O290" s="1">
        <v>1.5615737466256251E-4</v>
      </c>
    </row>
    <row r="292" spans="1:15" x14ac:dyDescent="0.35">
      <c r="A292" s="9" t="s">
        <v>19</v>
      </c>
      <c r="C292" s="2" t="s">
        <v>4</v>
      </c>
    </row>
    <row r="293" spans="1:15" x14ac:dyDescent="0.35">
      <c r="A293" s="2" t="s">
        <v>5</v>
      </c>
      <c r="B293" s="6">
        <v>72</v>
      </c>
      <c r="C293" s="3">
        <f>B293*PI()/180</f>
        <v>1.2566370614359172</v>
      </c>
    </row>
    <row r="294" spans="1:15" x14ac:dyDescent="0.35">
      <c r="A294" s="4"/>
      <c r="B294" s="4"/>
      <c r="C294" s="1"/>
      <c r="H294" s="18" t="s">
        <v>12</v>
      </c>
      <c r="I294" s="18"/>
      <c r="J294" s="4"/>
      <c r="K294" s="18" t="s">
        <v>13</v>
      </c>
      <c r="L294" s="18"/>
      <c r="M294" s="19" t="s">
        <v>14</v>
      </c>
      <c r="O294" s="21" t="s">
        <v>15</v>
      </c>
    </row>
    <row r="295" spans="1:15" x14ac:dyDescent="0.35">
      <c r="A295" s="2" t="s">
        <v>7</v>
      </c>
      <c r="B295" s="6">
        <f>C295*180/PI()</f>
        <v>183.37447126462988</v>
      </c>
      <c r="C295" s="3">
        <f>O289+C288</f>
        <v>3.2004882876715217</v>
      </c>
      <c r="E295" s="11" t="s">
        <v>10</v>
      </c>
      <c r="F295" s="1">
        <f>-B296*COS(t.1)+a*COS(C293)+b*COS(C295)-c.*COS(t.4)</f>
        <v>5.9293259863611725E-12</v>
      </c>
      <c r="H295" s="8" t="s">
        <v>7</v>
      </c>
      <c r="I295" s="8" t="s">
        <v>9</v>
      </c>
      <c r="J295" s="4"/>
      <c r="K295" s="8" t="s">
        <v>7</v>
      </c>
      <c r="L295" s="8" t="s">
        <v>9</v>
      </c>
      <c r="M295" s="20"/>
      <c r="O295" s="22"/>
    </row>
    <row r="296" spans="1:15" x14ac:dyDescent="0.35">
      <c r="A296" s="2" t="s">
        <v>9</v>
      </c>
      <c r="B296" s="6">
        <f>O290+B289</f>
        <v>-5.062545937354141</v>
      </c>
      <c r="C296" s="3"/>
      <c r="E296" s="11" t="s">
        <v>11</v>
      </c>
      <c r="F296" s="1">
        <f>-B296*SIN(t.1)+a*SIN(C293)+b*SIN(C295)-c.*SIN(t.4)</f>
        <v>3.4994229736184934E-13</v>
      </c>
      <c r="H296" s="3">
        <f>-b*SIN(C295)</f>
        <v>0.35316954888511032</v>
      </c>
      <c r="I296" s="3">
        <f>-COS(t.1)</f>
        <v>-1</v>
      </c>
      <c r="J296" s="4"/>
      <c r="K296" s="3" cm="1">
        <f t="array" ref="K296:L297">MINVERSE(H296:I297)</f>
        <v>0</v>
      </c>
      <c r="L296" s="3">
        <v>-0.16695614300553313</v>
      </c>
      <c r="M296" s="3">
        <f>-F295</f>
        <v>-5.9293259863611725E-12</v>
      </c>
      <c r="O296" s="1" cm="1">
        <f t="array" ref="O296:O297">MMULT(K296:L297,M296:M297)</f>
        <v>5.8425016242029718E-14</v>
      </c>
    </row>
    <row r="297" spans="1:15" x14ac:dyDescent="0.35">
      <c r="H297" s="3">
        <f>b*COS(C295)</f>
        <v>-5.9895969204730539</v>
      </c>
      <c r="I297" s="3">
        <f>-SIN(t.1)</f>
        <v>0</v>
      </c>
      <c r="J297" s="4"/>
      <c r="K297" s="3">
        <v>-1</v>
      </c>
      <c r="L297" s="3">
        <v>-5.8963825708862098E-2</v>
      </c>
      <c r="M297" s="3">
        <f>-F296</f>
        <v>-3.4994229736184934E-13</v>
      </c>
      <c r="O297" s="1">
        <v>5.9499599229909752E-12</v>
      </c>
    </row>
    <row r="299" spans="1:15" x14ac:dyDescent="0.35">
      <c r="A299" s="9" t="s">
        <v>20</v>
      </c>
      <c r="C299" s="2" t="s">
        <v>4</v>
      </c>
    </row>
    <row r="300" spans="1:15" x14ac:dyDescent="0.35">
      <c r="A300" s="2" t="s">
        <v>5</v>
      </c>
      <c r="B300" s="6">
        <v>72</v>
      </c>
      <c r="C300" s="3">
        <f>B300*PI()/180</f>
        <v>1.2566370614359172</v>
      </c>
    </row>
    <row r="301" spans="1:15" x14ac:dyDescent="0.35">
      <c r="A301" s="4"/>
      <c r="B301" s="4"/>
      <c r="C301" s="1"/>
      <c r="H301" s="18" t="s">
        <v>12</v>
      </c>
      <c r="I301" s="18"/>
      <c r="J301" s="4"/>
      <c r="K301" s="18" t="s">
        <v>13</v>
      </c>
      <c r="L301" s="18"/>
      <c r="M301" s="19" t="s">
        <v>14</v>
      </c>
      <c r="O301" s="21" t="s">
        <v>15</v>
      </c>
    </row>
    <row r="302" spans="1:15" x14ac:dyDescent="0.35">
      <c r="A302" s="2" t="s">
        <v>7</v>
      </c>
      <c r="B302" s="6">
        <f>C302*180/PI()</f>
        <v>183.37447126463326</v>
      </c>
      <c r="C302" s="3">
        <f>O296+C295</f>
        <v>3.2004882876715803</v>
      </c>
      <c r="E302" s="11" t="s">
        <v>10</v>
      </c>
      <c r="F302" s="1">
        <f>-B303*COS(t.1)+a*COS(C300)+b*COS(C302)-c.*COS(t.4)</f>
        <v>-1.531435568635775E-16</v>
      </c>
      <c r="H302" s="8" t="s">
        <v>7</v>
      </c>
      <c r="I302" s="8" t="s">
        <v>9</v>
      </c>
      <c r="J302" s="4"/>
      <c r="K302" s="8" t="s">
        <v>7</v>
      </c>
      <c r="L302" s="8" t="s">
        <v>9</v>
      </c>
      <c r="M302" s="20"/>
      <c r="O302" s="22"/>
    </row>
    <row r="303" spans="1:15" x14ac:dyDescent="0.35">
      <c r="A303" s="2" t="s">
        <v>9</v>
      </c>
      <c r="B303" s="6">
        <f>O297+B296</f>
        <v>-5.0625459373481911</v>
      </c>
      <c r="C303" s="3"/>
      <c r="E303" s="11" t="s">
        <v>11</v>
      </c>
      <c r="F303" s="1">
        <f>-B303*SIN(t.1)+a*SIN(C300)+b*SIN(C302)-c.*SIN(t.4)</f>
        <v>0</v>
      </c>
      <c r="H303" s="3">
        <f>-b*SIN(C302)</f>
        <v>0.35316954888546148</v>
      </c>
      <c r="I303" s="3">
        <f>-COS(B260)</f>
        <v>-0.29076181896282088</v>
      </c>
      <c r="J303" s="4"/>
      <c r="K303" s="3" cm="1">
        <f t="array" ref="K303:L304">MINVERSE(H303:I304)</f>
        <v>-0.6816554284063332</v>
      </c>
      <c r="L303" s="3">
        <v>-0.20714915487962457</v>
      </c>
      <c r="M303" s="3">
        <f>-F302</f>
        <v>1.531435568635775E-16</v>
      </c>
      <c r="O303" s="1" cm="1">
        <f t="array" ref="O303:O304">MMULT(K303:L304,M303:M304)</f>
        <v>-1.0439113686151157E-16</v>
      </c>
    </row>
    <row r="304" spans="1:15" x14ac:dyDescent="0.35">
      <c r="H304" s="3">
        <f>b*COS(C302)</f>
        <v>-5.9895969204730335</v>
      </c>
      <c r="I304" s="3">
        <f>-SIN(B260)</f>
        <v>0.95679546645739899</v>
      </c>
      <c r="J304" s="4"/>
      <c r="K304" s="3">
        <v>-4.2672038047204595</v>
      </c>
      <c r="L304" s="3">
        <v>-0.25161066140598143</v>
      </c>
      <c r="M304" s="3">
        <f>-F303</f>
        <v>0</v>
      </c>
      <c r="O304" s="1">
        <v>-6.5349476851668199E-16</v>
      </c>
    </row>
    <row r="306" spans="1:15" x14ac:dyDescent="0.35">
      <c r="A306" s="9" t="s">
        <v>6</v>
      </c>
      <c r="C306" s="2" t="s">
        <v>4</v>
      </c>
    </row>
    <row r="307" spans="1:15" x14ac:dyDescent="0.35">
      <c r="A307" s="2" t="s">
        <v>5</v>
      </c>
      <c r="B307" s="6">
        <v>0</v>
      </c>
      <c r="C307" s="3">
        <f>B307*PI()/180</f>
        <v>0</v>
      </c>
    </row>
    <row r="308" spans="1:15" x14ac:dyDescent="0.35">
      <c r="A308" s="4"/>
      <c r="B308" s="4"/>
      <c r="C308" s="1"/>
      <c r="H308" s="18" t="s">
        <v>12</v>
      </c>
      <c r="I308" s="18"/>
      <c r="J308" s="4"/>
      <c r="K308" s="18" t="s">
        <v>13</v>
      </c>
      <c r="L308" s="18"/>
      <c r="M308" s="19" t="s">
        <v>14</v>
      </c>
      <c r="O308" s="21" t="s">
        <v>15</v>
      </c>
    </row>
    <row r="309" spans="1:15" x14ac:dyDescent="0.35">
      <c r="A309" s="2" t="s">
        <v>7</v>
      </c>
      <c r="B309" s="6">
        <v>110</v>
      </c>
      <c r="C309" s="3">
        <f>B309*PI()/180</f>
        <v>1.9198621771937625</v>
      </c>
      <c r="E309" s="11" t="s">
        <v>10</v>
      </c>
      <c r="F309" s="1">
        <f>-B310*COS(t.1)+a*COS(C307)+b*COS(C309)-c.*COS(t.4)</f>
        <v>-5.0521208599540124</v>
      </c>
      <c r="H309" s="8" t="s">
        <v>7</v>
      </c>
      <c r="I309" s="8" t="s">
        <v>9</v>
      </c>
      <c r="J309" s="4"/>
      <c r="K309" s="8" t="s">
        <v>7</v>
      </c>
      <c r="L309" s="8" t="s">
        <v>9</v>
      </c>
      <c r="M309" s="20"/>
      <c r="O309" s="22"/>
    </row>
    <row r="310" spans="1:15" x14ac:dyDescent="0.35">
      <c r="A310" s="2" t="s">
        <v>9</v>
      </c>
      <c r="B310" s="6">
        <v>6</v>
      </c>
      <c r="C310" s="3"/>
      <c r="E310" s="11" t="s">
        <v>11</v>
      </c>
      <c r="F310" s="1">
        <f>-B310*SIN(t.1)+a*SIN(C307)+b*SIN(C309)-c.*SIN(t.4)</f>
        <v>3.1381557247154506</v>
      </c>
      <c r="H310" s="3">
        <f>-b*SIN(C309)</f>
        <v>-5.6381557247154506</v>
      </c>
      <c r="I310" s="3">
        <f>-COS(t.1)</f>
        <v>-1</v>
      </c>
      <c r="J310" s="4"/>
      <c r="K310" s="3" cm="1">
        <f t="array" ref="K310:L311">MINVERSE(H310:I311)</f>
        <v>0</v>
      </c>
      <c r="L310" s="3">
        <v>-0.48730073336051455</v>
      </c>
      <c r="M310" s="3">
        <f>-F309</f>
        <v>5.0521208599540124</v>
      </c>
      <c r="O310" s="1" cm="1">
        <f t="array" ref="O310:O311">MMULT(K310:L311,M310:M311)</f>
        <v>1.5292255860533361</v>
      </c>
    </row>
    <row r="311" spans="1:15" x14ac:dyDescent="0.35">
      <c r="H311" s="3">
        <f>b*COS(C309)</f>
        <v>-2.0521208599540124</v>
      </c>
      <c r="I311" s="3">
        <f>-SIN(t.1)</f>
        <v>0</v>
      </c>
      <c r="J311" s="4"/>
      <c r="K311" s="3">
        <v>-1</v>
      </c>
      <c r="L311" s="3">
        <v>2.7474774194546225</v>
      </c>
      <c r="M311" s="3">
        <f>-F310</f>
        <v>-3.1381557247154506</v>
      </c>
      <c r="O311" s="1">
        <v>-13.67413285234197</v>
      </c>
    </row>
    <row r="313" spans="1:15" x14ac:dyDescent="0.35">
      <c r="A313" s="9" t="s">
        <v>16</v>
      </c>
      <c r="C313" s="2" t="s">
        <v>4</v>
      </c>
    </row>
    <row r="314" spans="1:15" x14ac:dyDescent="0.35">
      <c r="A314" s="2" t="s">
        <v>5</v>
      </c>
      <c r="B314" s="6">
        <v>84</v>
      </c>
      <c r="C314" s="3">
        <f>B314*PI()/180</f>
        <v>1.4660765716752369</v>
      </c>
    </row>
    <row r="315" spans="1:15" x14ac:dyDescent="0.35">
      <c r="A315" s="4"/>
      <c r="B315" s="4"/>
      <c r="C315" s="1"/>
      <c r="H315" s="18" t="s">
        <v>12</v>
      </c>
      <c r="I315" s="18"/>
      <c r="J315" s="4"/>
      <c r="K315" s="18" t="s">
        <v>13</v>
      </c>
      <c r="L315" s="18"/>
      <c r="M315" s="19" t="s">
        <v>14</v>
      </c>
      <c r="O315" s="21" t="s">
        <v>15</v>
      </c>
    </row>
    <row r="316" spans="1:15" x14ac:dyDescent="0.35">
      <c r="A316" s="2" t="s">
        <v>7</v>
      </c>
      <c r="B316" s="6">
        <f>C316*180/PI()</f>
        <v>197.61817200427606</v>
      </c>
      <c r="C316" s="3">
        <f>O310+C309</f>
        <v>3.4490877632470989</v>
      </c>
      <c r="E316" s="11" t="s">
        <v>10</v>
      </c>
      <c r="F316" s="1">
        <f>-B317*COS(t.1)+a*COS(C314)+b*COS(C316)-c.*COS(t.4)</f>
        <v>2.2691499232028711</v>
      </c>
      <c r="H316" s="8" t="s">
        <v>7</v>
      </c>
      <c r="I316" s="8" t="s">
        <v>9</v>
      </c>
      <c r="J316" s="4"/>
      <c r="K316" s="8" t="s">
        <v>7</v>
      </c>
      <c r="L316" s="8" t="s">
        <v>9</v>
      </c>
      <c r="M316" s="20"/>
      <c r="O316" s="22"/>
    </row>
    <row r="317" spans="1:15" x14ac:dyDescent="0.35">
      <c r="A317" s="2" t="s">
        <v>9</v>
      </c>
      <c r="B317" s="6">
        <f>O311+B310</f>
        <v>-7.6741328523419696</v>
      </c>
      <c r="C317" s="3"/>
      <c r="E317" s="11" t="s">
        <v>11</v>
      </c>
      <c r="F317" s="1">
        <f>-B317*SIN(t.1)+a*SIN(C314)+b*SIN(C316)-c.*SIN(t.4)</f>
        <v>-1.3324674583042238</v>
      </c>
      <c r="H317" s="3">
        <f>-b*SIN(C316)</f>
        <v>1.8160331444090434</v>
      </c>
      <c r="I317" s="3">
        <f>-COS(t.1)</f>
        <v>-1</v>
      </c>
      <c r="J317" s="4"/>
      <c r="K317" s="3" cm="1">
        <f t="array" ref="K317:L318">MINVERSE(H317:I318)</f>
        <v>0</v>
      </c>
      <c r="L317" s="3">
        <v>-0.1748689434534903</v>
      </c>
      <c r="M317" s="3">
        <f>-F316</f>
        <v>-2.2691499232028711</v>
      </c>
      <c r="O317" s="1" cm="1">
        <f t="array" ref="O317:O318">MMULT(K317:L318,M317:M318)</f>
        <v>-0.23300717661981724</v>
      </c>
    </row>
    <row r="318" spans="1:15" x14ac:dyDescent="0.35">
      <c r="H318" s="3">
        <f>b*COS(C316)</f>
        <v>-5.7185683189420589</v>
      </c>
      <c r="I318" s="3">
        <f>-SIN(t.1)</f>
        <v>0</v>
      </c>
      <c r="J318" s="4"/>
      <c r="K318" s="3">
        <v>-1</v>
      </c>
      <c r="L318" s="3">
        <v>-0.31756779723932921</v>
      </c>
      <c r="M318" s="3">
        <f>-F317</f>
        <v>1.3324674583042238</v>
      </c>
      <c r="O318" s="1">
        <v>1.846001167576111</v>
      </c>
    </row>
    <row r="320" spans="1:15" x14ac:dyDescent="0.35">
      <c r="A320" s="9" t="s">
        <v>17</v>
      </c>
      <c r="C320" s="2" t="s">
        <v>4</v>
      </c>
    </row>
    <row r="321" spans="1:15" x14ac:dyDescent="0.35">
      <c r="A321" s="2" t="s">
        <v>5</v>
      </c>
      <c r="B321" s="6">
        <v>84</v>
      </c>
      <c r="C321" s="3">
        <f>B321*PI()/180</f>
        <v>1.4660765716752369</v>
      </c>
    </row>
    <row r="322" spans="1:15" x14ac:dyDescent="0.35">
      <c r="A322" s="4"/>
      <c r="B322" s="4"/>
      <c r="C322" s="1"/>
      <c r="H322" s="18" t="s">
        <v>12</v>
      </c>
      <c r="I322" s="18"/>
      <c r="J322" s="4"/>
      <c r="K322" s="18" t="s">
        <v>13</v>
      </c>
      <c r="L322" s="18"/>
      <c r="M322" s="19" t="s">
        <v>14</v>
      </c>
      <c r="O322" s="21" t="s">
        <v>15</v>
      </c>
    </row>
    <row r="323" spans="1:15" x14ac:dyDescent="0.35">
      <c r="A323" s="2" t="s">
        <v>7</v>
      </c>
      <c r="B323" s="6">
        <f>C323*180/PI()</f>
        <v>184.2678441877012</v>
      </c>
      <c r="C323" s="3">
        <f>O317+C316</f>
        <v>3.2160805866272817</v>
      </c>
      <c r="E323" s="11" t="s">
        <v>10</v>
      </c>
      <c r="F323" s="1">
        <f>-B324*COS(t.1)+a*COS(C321)+b*COS(C323)-c.*COS(t.4)</f>
        <v>0.15835473616632872</v>
      </c>
      <c r="H323" s="8" t="s">
        <v>7</v>
      </c>
      <c r="I323" s="8" t="s">
        <v>9</v>
      </c>
      <c r="J323" s="4"/>
      <c r="K323" s="8" t="s">
        <v>7</v>
      </c>
      <c r="L323" s="8" t="s">
        <v>9</v>
      </c>
      <c r="M323" s="20"/>
      <c r="O323" s="22"/>
    </row>
    <row r="324" spans="1:15" x14ac:dyDescent="0.35">
      <c r="A324" s="2" t="s">
        <v>9</v>
      </c>
      <c r="B324" s="6">
        <f>O318+B317</f>
        <v>-5.8281316847658591</v>
      </c>
      <c r="C324" s="3"/>
      <c r="E324" s="11" t="s">
        <v>11</v>
      </c>
      <c r="F324" s="1">
        <f>-B324*SIN(t.1)+a*SIN(C321)+b*SIN(C323)-c.*SIN(t.4)</f>
        <v>3.7051265971852931E-2</v>
      </c>
      <c r="H324" s="3">
        <f>-b*SIN(C323)</f>
        <v>0.44651442013296683</v>
      </c>
      <c r="I324" s="3">
        <f>-COS(t.1)</f>
        <v>-1</v>
      </c>
      <c r="J324" s="4"/>
      <c r="K324" s="3" cm="1">
        <f t="array" ref="K324:L325">MINVERSE(H324:I325)</f>
        <v>0</v>
      </c>
      <c r="L324" s="3">
        <v>-0.16713010903280712</v>
      </c>
      <c r="M324" s="3">
        <f>-F323</f>
        <v>-0.15835473616632872</v>
      </c>
      <c r="O324" s="1" cm="1">
        <f t="array" ref="O324:O325">MMULT(K324:L325,M324:M325)</f>
        <v>6.1923821216793165E-3</v>
      </c>
    </row>
    <row r="325" spans="1:15" x14ac:dyDescent="0.35">
      <c r="H325" s="3">
        <f>b*COS(C323)</f>
        <v>-5.9833623384024905</v>
      </c>
      <c r="I325" s="3">
        <f>-SIN(t.1)</f>
        <v>0</v>
      </c>
      <c r="J325" s="4"/>
      <c r="K325" s="3">
        <v>-1</v>
      </c>
      <c r="L325" s="3">
        <v>-7.4626003721543391E-2</v>
      </c>
      <c r="M325" s="3">
        <f>-F324</f>
        <v>-3.7051265971852931E-2</v>
      </c>
      <c r="O325" s="1">
        <v>0.16111972407863212</v>
      </c>
    </row>
    <row r="327" spans="1:15" x14ac:dyDescent="0.35">
      <c r="A327" s="9" t="s">
        <v>18</v>
      </c>
      <c r="C327" s="2" t="s">
        <v>4</v>
      </c>
    </row>
    <row r="328" spans="1:15" x14ac:dyDescent="0.35">
      <c r="A328" s="2" t="s">
        <v>5</v>
      </c>
      <c r="B328" s="6">
        <v>84</v>
      </c>
      <c r="C328" s="3">
        <f>B328*PI()/180</f>
        <v>1.4660765716752369</v>
      </c>
    </row>
    <row r="329" spans="1:15" x14ac:dyDescent="0.35">
      <c r="A329" s="4"/>
      <c r="B329" s="4"/>
      <c r="C329" s="1"/>
      <c r="H329" s="18" t="s">
        <v>12</v>
      </c>
      <c r="I329" s="18"/>
      <c r="J329" s="4"/>
      <c r="K329" s="18" t="s">
        <v>13</v>
      </c>
      <c r="L329" s="18"/>
      <c r="M329" s="19" t="s">
        <v>14</v>
      </c>
      <c r="O329" s="21" t="s">
        <v>15</v>
      </c>
    </row>
    <row r="330" spans="1:15" x14ac:dyDescent="0.35">
      <c r="A330" s="2" t="s">
        <v>7</v>
      </c>
      <c r="B330" s="6">
        <f>C330*180/PI()</f>
        <v>184.62264154840565</v>
      </c>
      <c r="C330" s="3">
        <f>O324+C323</f>
        <v>3.2222729687489609</v>
      </c>
      <c r="E330" s="11" t="s">
        <v>10</v>
      </c>
      <c r="F330" s="1">
        <f>-B331*COS(t.1)+a*COS(C328)+b*COS(C330)-c.*COS(t.4)</f>
        <v>1.146997611004142E-4</v>
      </c>
      <c r="H330" s="8" t="s">
        <v>7</v>
      </c>
      <c r="I330" s="8" t="s">
        <v>9</v>
      </c>
      <c r="J330" s="4"/>
      <c r="K330" s="8" t="s">
        <v>7</v>
      </c>
      <c r="L330" s="8" t="s">
        <v>9</v>
      </c>
      <c r="M330" s="20"/>
      <c r="O330" s="22"/>
    </row>
    <row r="331" spans="1:15" x14ac:dyDescent="0.35">
      <c r="A331" s="2" t="s">
        <v>9</v>
      </c>
      <c r="B331" s="6">
        <f>O325+B324</f>
        <v>-5.6670119606872271</v>
      </c>
      <c r="C331" s="3"/>
      <c r="E331" s="11" t="s">
        <v>11</v>
      </c>
      <c r="F331" s="1">
        <f>-B331*SIN(t.1)+a*SIN(C328)+b*SIN(C330)-c.*SIN(t.4)</f>
        <v>8.797695196349764E-6</v>
      </c>
      <c r="H331" s="3">
        <f>-b*SIN(C330)</f>
        <v>0.48355688840962341</v>
      </c>
      <c r="I331" s="3">
        <f>-COS(t.1)</f>
        <v>-1</v>
      </c>
      <c r="J331" s="4"/>
      <c r="K331" s="3" cm="1">
        <f t="array" ref="K331:L332">MINVERSE(H331:I332)</f>
        <v>0</v>
      </c>
      <c r="L331" s="3">
        <v>-0.16721058456345309</v>
      </c>
      <c r="M331" s="3">
        <f>-F330</f>
        <v>-1.146997611004142E-4</v>
      </c>
      <c r="O331" s="1" cm="1">
        <f t="array" ref="O331:O332">MMULT(K331:L332,M331:M332)</f>
        <v>1.4710677565927273E-6</v>
      </c>
    </row>
    <row r="332" spans="1:15" x14ac:dyDescent="0.35">
      <c r="H332" s="3">
        <f>b*COS(C330)</f>
        <v>-5.9804826507290869</v>
      </c>
      <c r="I332" s="3">
        <f>-SIN(t.1)</f>
        <v>0</v>
      </c>
      <c r="J332" s="4"/>
      <c r="K332" s="3">
        <v>-1</v>
      </c>
      <c r="L332" s="3">
        <v>-8.0855829980657573E-2</v>
      </c>
      <c r="M332" s="3">
        <f>-F331</f>
        <v>-8.797695196349764E-6</v>
      </c>
      <c r="O332" s="1">
        <v>1.154111060474319E-4</v>
      </c>
    </row>
    <row r="334" spans="1:15" x14ac:dyDescent="0.35">
      <c r="A334" s="9" t="s">
        <v>19</v>
      </c>
      <c r="C334" s="2" t="s">
        <v>4</v>
      </c>
    </row>
    <row r="335" spans="1:15" x14ac:dyDescent="0.35">
      <c r="A335" s="2" t="s">
        <v>5</v>
      </c>
      <c r="B335" s="6">
        <v>84</v>
      </c>
      <c r="C335" s="3">
        <f>B335*PI()/180</f>
        <v>1.4660765716752369</v>
      </c>
    </row>
    <row r="336" spans="1:15" x14ac:dyDescent="0.35">
      <c r="A336" s="4"/>
      <c r="B336" s="4"/>
      <c r="C336" s="1"/>
      <c r="H336" s="18" t="s">
        <v>12</v>
      </c>
      <c r="I336" s="18"/>
      <c r="J336" s="4"/>
      <c r="K336" s="18" t="s">
        <v>13</v>
      </c>
      <c r="L336" s="18"/>
      <c r="M336" s="19" t="s">
        <v>14</v>
      </c>
      <c r="O336" s="21" t="s">
        <v>15</v>
      </c>
    </row>
    <row r="337" spans="1:15" x14ac:dyDescent="0.35">
      <c r="A337" s="2" t="s">
        <v>7</v>
      </c>
      <c r="B337" s="6">
        <f>C337*180/PI()</f>
        <v>184.62272583437951</v>
      </c>
      <c r="C337" s="3">
        <f>O331+C330</f>
        <v>3.2222744398167174</v>
      </c>
      <c r="E337" s="11" t="s">
        <v>10</v>
      </c>
      <c r="F337" s="1">
        <f>-B338*COS(t.1)+a*COS(C335)+b*COS(C337)-c.*COS(t.4)</f>
        <v>6.472003000797949E-12</v>
      </c>
      <c r="H337" s="8" t="s">
        <v>7</v>
      </c>
      <c r="I337" s="8" t="s">
        <v>9</v>
      </c>
      <c r="J337" s="4"/>
      <c r="K337" s="8" t="s">
        <v>7</v>
      </c>
      <c r="L337" s="8" t="s">
        <v>9</v>
      </c>
      <c r="M337" s="20"/>
      <c r="O337" s="22"/>
    </row>
    <row r="338" spans="1:15" x14ac:dyDescent="0.35">
      <c r="A338" s="2" t="s">
        <v>9</v>
      </c>
      <c r="B338" s="6">
        <f>O332+B331</f>
        <v>-5.6668965495811801</v>
      </c>
      <c r="C338" s="3"/>
      <c r="E338" s="11" t="s">
        <v>11</v>
      </c>
      <c r="F338" s="1">
        <f>-B338*SIN(t.1)+a*SIN(C335)+b*SIN(C337)-c.*SIN(t.4)</f>
        <v>5.2358117841322382E-13</v>
      </c>
      <c r="H338" s="3">
        <f>-b*SIN(C337)</f>
        <v>0.48356568610429601</v>
      </c>
      <c r="I338" s="3">
        <f>-COS(t.1)</f>
        <v>-1</v>
      </c>
      <c r="J338" s="4"/>
      <c r="K338" s="3" cm="1">
        <f t="array" ref="K338:L339">MINVERSE(H338:I339)</f>
        <v>0</v>
      </c>
      <c r="L338" s="3">
        <v>-0.16721060445239977</v>
      </c>
      <c r="M338" s="3">
        <f>-F337</f>
        <v>-6.472003000797949E-12</v>
      </c>
      <c r="O338" s="1" cm="1">
        <f t="array" ref="O338:O339">MMULT(K338:L339,M338:M339)</f>
        <v>8.7548325322374921E-14</v>
      </c>
    </row>
    <row r="339" spans="1:15" x14ac:dyDescent="0.35">
      <c r="H339" s="3">
        <f>b*COS(C337)</f>
        <v>-5.9804819393776683</v>
      </c>
      <c r="I339" s="3">
        <f>-SIN(t.1)</f>
        <v>0</v>
      </c>
      <c r="J339" s="4"/>
      <c r="K339" s="3">
        <v>-1</v>
      </c>
      <c r="L339" s="3">
        <v>-8.085731066593875E-2</v>
      </c>
      <c r="M339" s="3">
        <f>-F338</f>
        <v>-5.2358117841322382E-13</v>
      </c>
      <c r="O339" s="1">
        <v>6.5143383667997456E-12</v>
      </c>
    </row>
    <row r="341" spans="1:15" x14ac:dyDescent="0.35">
      <c r="A341" s="9" t="s">
        <v>20</v>
      </c>
      <c r="C341" s="2" t="s">
        <v>4</v>
      </c>
    </row>
    <row r="342" spans="1:15" x14ac:dyDescent="0.35">
      <c r="A342" s="2" t="s">
        <v>5</v>
      </c>
      <c r="B342" s="6">
        <v>84</v>
      </c>
      <c r="C342" s="3">
        <f>B342*PI()/180</f>
        <v>1.4660765716752369</v>
      </c>
    </row>
    <row r="343" spans="1:15" x14ac:dyDescent="0.35">
      <c r="A343" s="4"/>
      <c r="B343" s="4"/>
      <c r="C343" s="1"/>
      <c r="H343" s="18" t="s">
        <v>12</v>
      </c>
      <c r="I343" s="18"/>
      <c r="J343" s="4"/>
      <c r="K343" s="18" t="s">
        <v>13</v>
      </c>
      <c r="L343" s="18"/>
      <c r="M343" s="19" t="s">
        <v>14</v>
      </c>
      <c r="O343" s="21" t="s">
        <v>15</v>
      </c>
    </row>
    <row r="344" spans="1:15" x14ac:dyDescent="0.35">
      <c r="A344" s="2" t="s">
        <v>7</v>
      </c>
      <c r="B344" s="6">
        <f>C344*180/PI()</f>
        <v>184.62272583438451</v>
      </c>
      <c r="C344" s="3">
        <f>O338+C337</f>
        <v>3.2222744398168048</v>
      </c>
      <c r="E344" s="11" t="s">
        <v>10</v>
      </c>
      <c r="F344" s="1">
        <f>-B345*COS(t.1)+a*COS(C342)+b*COS(C344)-c.*COS(t.4)</f>
        <v>-1.531435568635775E-16</v>
      </c>
      <c r="H344" s="8" t="s">
        <v>7</v>
      </c>
      <c r="I344" s="8" t="s">
        <v>9</v>
      </c>
      <c r="J344" s="4"/>
      <c r="K344" s="8" t="s">
        <v>7</v>
      </c>
      <c r="L344" s="8" t="s">
        <v>9</v>
      </c>
      <c r="M344" s="20"/>
      <c r="O344" s="22"/>
    </row>
    <row r="345" spans="1:15" x14ac:dyDescent="0.35">
      <c r="A345" s="2" t="s">
        <v>9</v>
      </c>
      <c r="B345" s="6">
        <f>O339+B338</f>
        <v>-5.6668965495746662</v>
      </c>
      <c r="C345" s="3"/>
      <c r="E345" s="11" t="s">
        <v>11</v>
      </c>
      <c r="F345" s="1">
        <f>-B345*SIN(t.1)+a*SIN(C342)+b*SIN(C344)-c.*SIN(t.4)</f>
        <v>0</v>
      </c>
      <c r="H345" s="3">
        <f>-b*SIN(C344)</f>
        <v>0.4835656861048192</v>
      </c>
      <c r="I345" s="3">
        <f>-COS(B302)</f>
        <v>-0.3974157895973503</v>
      </c>
      <c r="J345" s="4"/>
      <c r="K345" s="3" cm="1">
        <f t="array" ref="K345:L346">MINVERSE(H345:I346)</f>
        <v>0.32534879979847958</v>
      </c>
      <c r="L345" s="3">
        <v>-0.14090377547227634</v>
      </c>
      <c r="M345" s="3">
        <f>-F344</f>
        <v>1.531435568635775E-16</v>
      </c>
      <c r="O345" s="1" cm="1">
        <f t="array" ref="O345:O346">MMULT(K345:L346,M345:M346)</f>
        <v>4.9825072422435153E-17</v>
      </c>
    </row>
    <row r="346" spans="1:15" x14ac:dyDescent="0.35">
      <c r="H346" s="3">
        <f>b*COS(C344)</f>
        <v>-5.9804819393776265</v>
      </c>
      <c r="I346" s="3">
        <f>-SIN(B302)</f>
        <v>-0.91763864902188741</v>
      </c>
      <c r="J346" s="4"/>
      <c r="K346" s="3">
        <v>-2.1203799810164541</v>
      </c>
      <c r="L346" s="3">
        <v>-0.17144822285507144</v>
      </c>
      <c r="M346" s="3">
        <f>-F345</f>
        <v>0</v>
      </c>
      <c r="O346" s="1">
        <v>-3.247225321951847E-16</v>
      </c>
    </row>
    <row r="348" spans="1:15" x14ac:dyDescent="0.35">
      <c r="A348" s="9" t="s">
        <v>6</v>
      </c>
      <c r="C348" s="2" t="s">
        <v>4</v>
      </c>
    </row>
    <row r="349" spans="1:15" x14ac:dyDescent="0.35">
      <c r="A349" s="2" t="s">
        <v>5</v>
      </c>
      <c r="B349" s="6">
        <v>0</v>
      </c>
      <c r="C349" s="3">
        <f>B349*PI()/180</f>
        <v>0</v>
      </c>
    </row>
    <row r="350" spans="1:15" x14ac:dyDescent="0.35">
      <c r="A350" s="4"/>
      <c r="B350" s="4"/>
      <c r="C350" s="1"/>
      <c r="H350" s="18" t="s">
        <v>12</v>
      </c>
      <c r="I350" s="18"/>
      <c r="J350" s="4"/>
      <c r="K350" s="18" t="s">
        <v>13</v>
      </c>
      <c r="L350" s="18"/>
      <c r="M350" s="19" t="s">
        <v>14</v>
      </c>
      <c r="O350" s="21" t="s">
        <v>15</v>
      </c>
    </row>
    <row r="351" spans="1:15" x14ac:dyDescent="0.35">
      <c r="A351" s="2" t="s">
        <v>7</v>
      </c>
      <c r="B351" s="6">
        <v>110</v>
      </c>
      <c r="C351" s="3">
        <f>B351*PI()/180</f>
        <v>1.9198621771937625</v>
      </c>
      <c r="E351" s="11" t="s">
        <v>10</v>
      </c>
      <c r="F351" s="1">
        <f>-B352*COS(t.1)+a*COS(C349)+b*COS(C351)-c.*COS(t.4)</f>
        <v>-5.0521208599540124</v>
      </c>
      <c r="H351" s="8" t="s">
        <v>7</v>
      </c>
      <c r="I351" s="8" t="s">
        <v>9</v>
      </c>
      <c r="J351" s="4"/>
      <c r="K351" s="8" t="s">
        <v>7</v>
      </c>
      <c r="L351" s="8" t="s">
        <v>9</v>
      </c>
      <c r="M351" s="20"/>
      <c r="O351" s="22"/>
    </row>
    <row r="352" spans="1:15" x14ac:dyDescent="0.35">
      <c r="A352" s="2" t="s">
        <v>9</v>
      </c>
      <c r="B352" s="6">
        <v>6</v>
      </c>
      <c r="C352" s="3"/>
      <c r="E352" s="11" t="s">
        <v>11</v>
      </c>
      <c r="F352" s="1">
        <f>-B352*SIN(t.1)+a*SIN(C349)+b*SIN(C351)-c.*SIN(t.4)</f>
        <v>3.1381557247154506</v>
      </c>
      <c r="H352" s="3">
        <f>-b*SIN(C351)</f>
        <v>-5.6381557247154506</v>
      </c>
      <c r="I352" s="3">
        <f>-COS(t.1)</f>
        <v>-1</v>
      </c>
      <c r="J352" s="4"/>
      <c r="K352" s="3" cm="1">
        <f t="array" ref="K352:L353">MINVERSE(H352:I353)</f>
        <v>0</v>
      </c>
      <c r="L352" s="3">
        <v>-0.48730073336051455</v>
      </c>
      <c r="M352" s="3">
        <f>-F351</f>
        <v>5.0521208599540124</v>
      </c>
      <c r="O352" s="1" cm="1">
        <f t="array" ref="O352:O353">MMULT(K352:L353,M352:M353)</f>
        <v>1.5292255860533361</v>
      </c>
    </row>
    <row r="353" spans="1:15" x14ac:dyDescent="0.35">
      <c r="H353" s="3">
        <f>b*COS(C351)</f>
        <v>-2.0521208599540124</v>
      </c>
      <c r="I353" s="3">
        <f>-SIN(t.1)</f>
        <v>0</v>
      </c>
      <c r="J353" s="4"/>
      <c r="K353" s="3">
        <v>-1</v>
      </c>
      <c r="L353" s="3">
        <v>2.7474774194546225</v>
      </c>
      <c r="M353" s="3">
        <f>-F352</f>
        <v>-3.1381557247154506</v>
      </c>
      <c r="O353" s="1">
        <v>-13.67413285234197</v>
      </c>
    </row>
    <row r="355" spans="1:15" x14ac:dyDescent="0.35">
      <c r="A355" s="9" t="s">
        <v>16</v>
      </c>
      <c r="C355" s="2" t="s">
        <v>4</v>
      </c>
    </row>
    <row r="356" spans="1:15" x14ac:dyDescent="0.35">
      <c r="A356" s="2" t="s">
        <v>5</v>
      </c>
      <c r="B356" s="6">
        <v>96</v>
      </c>
      <c r="C356" s="3">
        <f>B356*PI()/180</f>
        <v>1.6755160819145563</v>
      </c>
    </row>
    <row r="357" spans="1:15" x14ac:dyDescent="0.35">
      <c r="A357" s="4"/>
      <c r="B357" s="4"/>
      <c r="C357" s="1"/>
      <c r="H357" s="18" t="s">
        <v>12</v>
      </c>
      <c r="I357" s="18"/>
      <c r="J357" s="4"/>
      <c r="K357" s="18" t="s">
        <v>13</v>
      </c>
      <c r="L357" s="18"/>
      <c r="M357" s="19" t="s">
        <v>14</v>
      </c>
      <c r="O357" s="21" t="s">
        <v>15</v>
      </c>
    </row>
    <row r="358" spans="1:15" x14ac:dyDescent="0.35">
      <c r="A358" s="2" t="s">
        <v>7</v>
      </c>
      <c r="B358" s="6">
        <f>C358*180/PI()</f>
        <v>197.61817200427606</v>
      </c>
      <c r="C358" s="3">
        <f>O352+C351</f>
        <v>3.4490877632470989</v>
      </c>
      <c r="E358" s="11" t="s">
        <v>10</v>
      </c>
      <c r="F358" s="1">
        <f>-B359*COS(t.1)+a*COS(C356)+b*COS(C358)-c.*COS(t.4)</f>
        <v>1.6419791435969502</v>
      </c>
      <c r="H358" s="8" t="s">
        <v>7</v>
      </c>
      <c r="I358" s="8" t="s">
        <v>9</v>
      </c>
      <c r="J358" s="4"/>
      <c r="K358" s="8" t="s">
        <v>7</v>
      </c>
      <c r="L358" s="8" t="s">
        <v>9</v>
      </c>
      <c r="M358" s="20"/>
      <c r="O358" s="22"/>
    </row>
    <row r="359" spans="1:15" x14ac:dyDescent="0.35">
      <c r="A359" s="2" t="s">
        <v>9</v>
      </c>
      <c r="B359" s="6">
        <f>O353+B352</f>
        <v>-7.6741328523419696</v>
      </c>
      <c r="C359" s="3"/>
      <c r="E359" s="11" t="s">
        <v>11</v>
      </c>
      <c r="F359" s="1">
        <f>-B359*SIN(t.1)+a*SIN(C356)+b*SIN(C358)-c.*SIN(t.4)</f>
        <v>-1.3324674583042233</v>
      </c>
      <c r="H359" s="3">
        <f>-b*SIN(C358)</f>
        <v>1.8160331444090434</v>
      </c>
      <c r="I359" s="3">
        <f>-COS(t.1)</f>
        <v>-1</v>
      </c>
      <c r="J359" s="4"/>
      <c r="K359" s="3" cm="1">
        <f t="array" ref="K359:L360">MINVERSE(H359:I360)</f>
        <v>0</v>
      </c>
      <c r="L359" s="3">
        <v>-0.1748689434534903</v>
      </c>
      <c r="M359" s="3">
        <f>-F358</f>
        <v>-1.6419791435969502</v>
      </c>
      <c r="O359" s="1" cm="1">
        <f t="array" ref="O359:O360">MMULT(K359:L360,M359:M360)</f>
        <v>-0.23300717661981718</v>
      </c>
    </row>
    <row r="360" spans="1:15" x14ac:dyDescent="0.35">
      <c r="H360" s="3">
        <f>b*COS(C358)</f>
        <v>-5.7185683189420589</v>
      </c>
      <c r="I360" s="3">
        <f>-SIN(t.1)</f>
        <v>0</v>
      </c>
      <c r="J360" s="4"/>
      <c r="K360" s="3">
        <v>-1</v>
      </c>
      <c r="L360" s="3">
        <v>-0.31756779723932921</v>
      </c>
      <c r="M360" s="3">
        <f>-F359</f>
        <v>1.3324674583042233</v>
      </c>
      <c r="O360" s="1">
        <v>1.2188303879701903</v>
      </c>
    </row>
    <row r="362" spans="1:15" x14ac:dyDescent="0.35">
      <c r="A362" s="9" t="s">
        <v>17</v>
      </c>
      <c r="C362" s="2" t="s">
        <v>4</v>
      </c>
    </row>
    <row r="363" spans="1:15" x14ac:dyDescent="0.35">
      <c r="A363" s="2" t="s">
        <v>5</v>
      </c>
      <c r="B363" s="6">
        <v>96</v>
      </c>
      <c r="C363" s="3">
        <f>B363*PI()/180</f>
        <v>1.6755160819145563</v>
      </c>
    </row>
    <row r="364" spans="1:15" x14ac:dyDescent="0.35">
      <c r="A364" s="4"/>
      <c r="B364" s="4"/>
      <c r="C364" s="1"/>
      <c r="H364" s="18" t="s">
        <v>12</v>
      </c>
      <c r="I364" s="18"/>
      <c r="J364" s="4"/>
      <c r="K364" s="18" t="s">
        <v>13</v>
      </c>
      <c r="L364" s="18"/>
      <c r="M364" s="19" t="s">
        <v>14</v>
      </c>
      <c r="O364" s="21" t="s">
        <v>15</v>
      </c>
    </row>
    <row r="365" spans="1:15" x14ac:dyDescent="0.35">
      <c r="A365" s="2" t="s">
        <v>7</v>
      </c>
      <c r="B365" s="6">
        <f>C365*180/PI()</f>
        <v>184.2678441877012</v>
      </c>
      <c r="C365" s="3">
        <f>O359+C358</f>
        <v>3.2160805866272817</v>
      </c>
      <c r="E365" s="11" t="s">
        <v>10</v>
      </c>
      <c r="F365" s="1">
        <f>-B366*COS(t.1)+a*COS(C363)+b*COS(C365)-c.*COS(t.4)</f>
        <v>0.15835473616632872</v>
      </c>
      <c r="H365" s="8" t="s">
        <v>7</v>
      </c>
      <c r="I365" s="8" t="s">
        <v>9</v>
      </c>
      <c r="J365" s="4"/>
      <c r="K365" s="8" t="s">
        <v>7</v>
      </c>
      <c r="L365" s="8" t="s">
        <v>9</v>
      </c>
      <c r="M365" s="20"/>
      <c r="O365" s="22"/>
    </row>
    <row r="366" spans="1:15" x14ac:dyDescent="0.35">
      <c r="A366" s="2" t="s">
        <v>9</v>
      </c>
      <c r="B366" s="6">
        <f>O360+B359</f>
        <v>-6.4553024643717798</v>
      </c>
      <c r="C366" s="3"/>
      <c r="E366" s="11" t="s">
        <v>11</v>
      </c>
      <c r="F366" s="1">
        <f>-B366*SIN(t.1)+a*SIN(C363)+b*SIN(C365)-c.*SIN(t.4)</f>
        <v>3.7051265971853375E-2</v>
      </c>
      <c r="H366" s="3">
        <f>-b*SIN(C365)</f>
        <v>0.44651442013296683</v>
      </c>
      <c r="I366" s="3">
        <f>-COS(t.1)</f>
        <v>-1</v>
      </c>
      <c r="J366" s="4"/>
      <c r="K366" s="3" cm="1">
        <f t="array" ref="K366:L367">MINVERSE(H366:I367)</f>
        <v>0</v>
      </c>
      <c r="L366" s="3">
        <v>-0.16713010903280712</v>
      </c>
      <c r="M366" s="3">
        <f>-F365</f>
        <v>-0.15835473616632872</v>
      </c>
      <c r="O366" s="1" cm="1">
        <f t="array" ref="O366:O367">MMULT(K366:L367,M366:M367)</f>
        <v>6.1923821216793911E-3</v>
      </c>
    </row>
    <row r="367" spans="1:15" x14ac:dyDescent="0.35">
      <c r="H367" s="3">
        <f>b*COS(C365)</f>
        <v>-5.9833623384024905</v>
      </c>
      <c r="I367" s="3">
        <f>-SIN(t.1)</f>
        <v>0</v>
      </c>
      <c r="J367" s="4"/>
      <c r="K367" s="3">
        <v>-1</v>
      </c>
      <c r="L367" s="3">
        <v>-7.4626003721543391E-2</v>
      </c>
      <c r="M367" s="3">
        <f>-F366</f>
        <v>-3.7051265971853375E-2</v>
      </c>
      <c r="O367" s="1">
        <v>0.16111972407863215</v>
      </c>
    </row>
    <row r="369" spans="1:15" x14ac:dyDescent="0.35">
      <c r="A369" s="9" t="s">
        <v>18</v>
      </c>
      <c r="C369" s="2" t="s">
        <v>4</v>
      </c>
    </row>
    <row r="370" spans="1:15" x14ac:dyDescent="0.35">
      <c r="A370" s="2" t="s">
        <v>5</v>
      </c>
      <c r="B370" s="6">
        <v>96</v>
      </c>
      <c r="C370" s="3">
        <f>B370*PI()/180</f>
        <v>1.6755160819145563</v>
      </c>
    </row>
    <row r="371" spans="1:15" x14ac:dyDescent="0.35">
      <c r="A371" s="4"/>
      <c r="B371" s="4"/>
      <c r="C371" s="1"/>
      <c r="H371" s="18" t="s">
        <v>12</v>
      </c>
      <c r="I371" s="18"/>
      <c r="J371" s="4"/>
      <c r="K371" s="18" t="s">
        <v>13</v>
      </c>
      <c r="L371" s="18"/>
      <c r="M371" s="19" t="s">
        <v>14</v>
      </c>
      <c r="O371" s="21" t="s">
        <v>15</v>
      </c>
    </row>
    <row r="372" spans="1:15" x14ac:dyDescent="0.35">
      <c r="A372" s="2" t="s">
        <v>7</v>
      </c>
      <c r="B372" s="6">
        <f>C372*180/PI()</f>
        <v>184.62264154840568</v>
      </c>
      <c r="C372" s="3">
        <f>O366+C365</f>
        <v>3.2222729687489613</v>
      </c>
      <c r="E372" s="11" t="s">
        <v>10</v>
      </c>
      <c r="F372" s="1">
        <f>-B373*COS(t.1)+a*COS(C370)+b*COS(C372)-c.*COS(t.4)</f>
        <v>1.1469976110130238E-4</v>
      </c>
      <c r="H372" s="8" t="s">
        <v>7</v>
      </c>
      <c r="I372" s="8" t="s">
        <v>9</v>
      </c>
      <c r="J372" s="4"/>
      <c r="K372" s="8" t="s">
        <v>7</v>
      </c>
      <c r="L372" s="8" t="s">
        <v>9</v>
      </c>
      <c r="M372" s="20"/>
      <c r="O372" s="22"/>
    </row>
    <row r="373" spans="1:15" x14ac:dyDescent="0.35">
      <c r="A373" s="2" t="s">
        <v>9</v>
      </c>
      <c r="B373" s="6">
        <f>O367+B366</f>
        <v>-6.2941827402931478</v>
      </c>
      <c r="C373" s="3"/>
      <c r="E373" s="11" t="s">
        <v>11</v>
      </c>
      <c r="F373" s="1">
        <f>-B373*SIN(t.1)+a*SIN(C370)+b*SIN(C372)-c.*SIN(t.4)</f>
        <v>8.797695194129318E-6</v>
      </c>
      <c r="H373" s="3">
        <f>-b*SIN(C372)</f>
        <v>0.48355688840962607</v>
      </c>
      <c r="I373" s="3">
        <f>-COS(t.1)</f>
        <v>-1</v>
      </c>
      <c r="J373" s="4"/>
      <c r="K373" s="3" cm="1">
        <f t="array" ref="K373:L374">MINVERSE(H373:I374)</f>
        <v>0</v>
      </c>
      <c r="L373" s="3">
        <v>-0.16721058456345311</v>
      </c>
      <c r="M373" s="3">
        <f>-F372</f>
        <v>-1.1469976110130238E-4</v>
      </c>
      <c r="O373" s="1" cm="1">
        <f t="array" ref="O373:O374">MMULT(K373:L374,M373:M374)</f>
        <v>1.4710677562214455E-6</v>
      </c>
    </row>
    <row r="374" spans="1:15" x14ac:dyDescent="0.35">
      <c r="H374" s="3">
        <f>b*COS(C372)</f>
        <v>-5.980482650729086</v>
      </c>
      <c r="I374" s="3">
        <f>-SIN(t.1)</f>
        <v>0</v>
      </c>
      <c r="J374" s="4"/>
      <c r="K374" s="3">
        <v>-1</v>
      </c>
      <c r="L374" s="3">
        <v>-8.0855829980658031E-2</v>
      </c>
      <c r="M374" s="3">
        <f>-F373</f>
        <v>-8.797695194129318E-6</v>
      </c>
      <c r="O374" s="1">
        <v>1.1541110604814055E-4</v>
      </c>
    </row>
    <row r="376" spans="1:15" x14ac:dyDescent="0.35">
      <c r="A376" s="9" t="s">
        <v>19</v>
      </c>
      <c r="C376" s="2" t="s">
        <v>4</v>
      </c>
    </row>
    <row r="377" spans="1:15" x14ac:dyDescent="0.35">
      <c r="A377" s="2" t="s">
        <v>5</v>
      </c>
      <c r="B377" s="6">
        <v>96</v>
      </c>
      <c r="C377" s="3">
        <f>B377*PI()/180</f>
        <v>1.6755160819145563</v>
      </c>
    </row>
    <row r="378" spans="1:15" x14ac:dyDescent="0.35">
      <c r="A378" s="4"/>
      <c r="B378" s="4"/>
      <c r="C378" s="1"/>
      <c r="H378" s="18" t="s">
        <v>12</v>
      </c>
      <c r="I378" s="18"/>
      <c r="J378" s="4"/>
      <c r="K378" s="18" t="s">
        <v>13</v>
      </c>
      <c r="L378" s="18"/>
      <c r="M378" s="19" t="s">
        <v>14</v>
      </c>
      <c r="O378" s="21" t="s">
        <v>15</v>
      </c>
    </row>
    <row r="379" spans="1:15" x14ac:dyDescent="0.35">
      <c r="A379" s="2" t="s">
        <v>7</v>
      </c>
      <c r="B379" s="6">
        <f>C379*180/PI()</f>
        <v>184.62272583437951</v>
      </c>
      <c r="C379" s="3">
        <f>O373+C372</f>
        <v>3.2222744398167174</v>
      </c>
      <c r="E379" s="11" t="s">
        <v>10</v>
      </c>
      <c r="F379" s="1">
        <f>-B380*COS(t.1)+a*COS(C377)+b*COS(C379)-c.*COS(t.4)</f>
        <v>6.4711148223782489E-12</v>
      </c>
      <c r="H379" s="8" t="s">
        <v>7</v>
      </c>
      <c r="I379" s="8" t="s">
        <v>9</v>
      </c>
      <c r="J379" s="4"/>
      <c r="K379" s="8" t="s">
        <v>7</v>
      </c>
      <c r="L379" s="8" t="s">
        <v>9</v>
      </c>
      <c r="M379" s="20"/>
      <c r="O379" s="22"/>
    </row>
    <row r="380" spans="1:15" x14ac:dyDescent="0.35">
      <c r="A380" s="2" t="s">
        <v>9</v>
      </c>
      <c r="B380" s="6">
        <f>O374+B373</f>
        <v>-6.2940673291870999</v>
      </c>
      <c r="C380" s="3"/>
      <c r="E380" s="11" t="s">
        <v>11</v>
      </c>
      <c r="F380" s="1">
        <f>-B380*SIN(t.1)+a*SIN(C377)+b*SIN(C379)-c.*SIN(t.4)</f>
        <v>5.2402526762307389E-13</v>
      </c>
      <c r="H380" s="3">
        <f>-b*SIN(C379)</f>
        <v>0.48356568610429601</v>
      </c>
      <c r="I380" s="3">
        <f>-COS(t.1)</f>
        <v>-1</v>
      </c>
      <c r="J380" s="4"/>
      <c r="K380" s="3" cm="1">
        <f t="array" ref="K380:L381">MINVERSE(H380:I381)</f>
        <v>0</v>
      </c>
      <c r="L380" s="3">
        <v>-0.16721060445239977</v>
      </c>
      <c r="M380" s="3">
        <f>-F379</f>
        <v>-6.4711148223782489E-12</v>
      </c>
      <c r="O380" s="1" cm="1">
        <f t="array" ref="O380:O381">MMULT(K380:L381,M380:M381)</f>
        <v>8.7622581747584742E-14</v>
      </c>
    </row>
    <row r="381" spans="1:15" x14ac:dyDescent="0.35">
      <c r="H381" s="3">
        <f>b*COS(C379)</f>
        <v>-5.9804819393776683</v>
      </c>
      <c r="I381" s="3">
        <f>-SIN(t.1)</f>
        <v>0</v>
      </c>
      <c r="J381" s="4"/>
      <c r="K381" s="3">
        <v>-1</v>
      </c>
      <c r="L381" s="3">
        <v>-8.085731066593875E-2</v>
      </c>
      <c r="M381" s="3">
        <f>-F380</f>
        <v>-5.2402526762307389E-13</v>
      </c>
      <c r="O381" s="1">
        <v>6.5134860962392497E-12</v>
      </c>
    </row>
    <row r="383" spans="1:15" x14ac:dyDescent="0.35">
      <c r="A383" s="9" t="s">
        <v>20</v>
      </c>
      <c r="C383" s="2" t="s">
        <v>4</v>
      </c>
    </row>
    <row r="384" spans="1:15" x14ac:dyDescent="0.35">
      <c r="A384" s="2" t="s">
        <v>5</v>
      </c>
      <c r="B384" s="6">
        <v>96</v>
      </c>
      <c r="C384" s="3">
        <f>B384*PI()/180</f>
        <v>1.6755160819145563</v>
      </c>
    </row>
    <row r="385" spans="1:15" x14ac:dyDescent="0.35">
      <c r="A385" s="4"/>
      <c r="B385" s="4"/>
      <c r="C385" s="1"/>
      <c r="H385" s="18" t="s">
        <v>12</v>
      </c>
      <c r="I385" s="18"/>
      <c r="J385" s="4"/>
      <c r="K385" s="18" t="s">
        <v>13</v>
      </c>
      <c r="L385" s="18"/>
      <c r="M385" s="19" t="s">
        <v>14</v>
      </c>
      <c r="O385" s="21" t="s">
        <v>15</v>
      </c>
    </row>
    <row r="386" spans="1:15" x14ac:dyDescent="0.35">
      <c r="A386" s="2" t="s">
        <v>7</v>
      </c>
      <c r="B386" s="6">
        <f>C386*180/PI()</f>
        <v>184.62272583438451</v>
      </c>
      <c r="C386" s="3">
        <f>O380+C379</f>
        <v>3.2222744398168048</v>
      </c>
      <c r="E386" s="11" t="s">
        <v>10</v>
      </c>
      <c r="F386" s="1">
        <f>-B387*COS(t.1)+a*COS(C384)+b*COS(C386)-c.*COS(t.4)</f>
        <v>-1.0413219765637027E-15</v>
      </c>
      <c r="H386" s="8" t="s">
        <v>7</v>
      </c>
      <c r="I386" s="8" t="s">
        <v>9</v>
      </c>
      <c r="J386" s="4"/>
      <c r="K386" s="8" t="s">
        <v>7</v>
      </c>
      <c r="L386" s="8" t="s">
        <v>9</v>
      </c>
      <c r="M386" s="20"/>
      <c r="O386" s="22"/>
    </row>
    <row r="387" spans="1:15" x14ac:dyDescent="0.35">
      <c r="A387" s="2" t="s">
        <v>9</v>
      </c>
      <c r="B387" s="6">
        <f>O381+B380</f>
        <v>-6.294067329180586</v>
      </c>
      <c r="C387" s="3"/>
      <c r="E387" s="11" t="s">
        <v>11</v>
      </c>
      <c r="F387" s="1">
        <f>-B387*SIN(t.1)+a*SIN(C384)+b*SIN(C386)-c.*SIN(t.4)</f>
        <v>0</v>
      </c>
      <c r="H387" s="3">
        <f>-b*SIN(C386)</f>
        <v>0.4835656861048192</v>
      </c>
      <c r="I387" s="3">
        <f>-COS(B344)</f>
        <v>0.74434642555756936</v>
      </c>
      <c r="J387" s="4"/>
      <c r="K387" s="3" cm="1">
        <f t="array" ref="K387:L388">MINVERSE(H387:I388)</f>
        <v>-0.16174710824890207</v>
      </c>
      <c r="L387" s="3">
        <v>-0.18028904063341389</v>
      </c>
      <c r="M387" s="3">
        <f>-F386</f>
        <v>1.0413219765637027E-15</v>
      </c>
      <c r="O387" s="1" cm="1">
        <f t="array" ref="O387:O388">MMULT(K387:L388,M387:M388)</f>
        <v>-1.6843081846520988E-16</v>
      </c>
    </row>
    <row r="388" spans="1:15" x14ac:dyDescent="0.35">
      <c r="H388" s="3">
        <f>b*COS(C386)</f>
        <v>-5.9804819393776265</v>
      </c>
      <c r="I388" s="3">
        <f>-SIN(B344)</f>
        <v>-0.66779367978416049</v>
      </c>
      <c r="J388" s="4"/>
      <c r="K388" s="3">
        <v>1.4485397045712813</v>
      </c>
      <c r="L388" s="3">
        <v>0.11712502490459478</v>
      </c>
      <c r="M388" s="3">
        <f>-F387</f>
        <v>0</v>
      </c>
      <c r="O388" s="1">
        <v>1.5083962282951687E-15</v>
      </c>
    </row>
    <row r="390" spans="1:15" x14ac:dyDescent="0.35">
      <c r="A390" s="9" t="s">
        <v>6</v>
      </c>
      <c r="C390" s="2" t="s">
        <v>4</v>
      </c>
    </row>
    <row r="391" spans="1:15" x14ac:dyDescent="0.35">
      <c r="A391" s="2" t="s">
        <v>5</v>
      </c>
      <c r="B391" s="6">
        <v>0</v>
      </c>
      <c r="C391" s="3">
        <f>B391*PI()/180</f>
        <v>0</v>
      </c>
    </row>
    <row r="392" spans="1:15" x14ac:dyDescent="0.35">
      <c r="A392" s="4"/>
      <c r="B392" s="4"/>
      <c r="C392" s="1"/>
      <c r="H392" s="18" t="s">
        <v>12</v>
      </c>
      <c r="I392" s="18"/>
      <c r="J392" s="4"/>
      <c r="K392" s="18" t="s">
        <v>13</v>
      </c>
      <c r="L392" s="18"/>
      <c r="M392" s="19" t="s">
        <v>14</v>
      </c>
      <c r="O392" s="21" t="s">
        <v>15</v>
      </c>
    </row>
    <row r="393" spans="1:15" x14ac:dyDescent="0.35">
      <c r="A393" s="2" t="s">
        <v>7</v>
      </c>
      <c r="B393" s="6">
        <v>110</v>
      </c>
      <c r="C393" s="3">
        <f>B393*PI()/180</f>
        <v>1.9198621771937625</v>
      </c>
      <c r="E393" s="11" t="s">
        <v>10</v>
      </c>
      <c r="F393" s="1">
        <f>-B394*COS(t.1)+a*COS(C391)+b*COS(C393)-c.*COS(t.4)</f>
        <v>-5.0521208599540124</v>
      </c>
      <c r="H393" s="8" t="s">
        <v>7</v>
      </c>
      <c r="I393" s="8" t="s">
        <v>9</v>
      </c>
      <c r="J393" s="4"/>
      <c r="K393" s="8" t="s">
        <v>7</v>
      </c>
      <c r="L393" s="8" t="s">
        <v>9</v>
      </c>
      <c r="M393" s="20"/>
      <c r="O393" s="22"/>
    </row>
    <row r="394" spans="1:15" x14ac:dyDescent="0.35">
      <c r="A394" s="2" t="s">
        <v>9</v>
      </c>
      <c r="B394" s="6">
        <v>6</v>
      </c>
      <c r="C394" s="3"/>
      <c r="E394" s="11" t="s">
        <v>11</v>
      </c>
      <c r="F394" s="1">
        <f>-B394*SIN(t.1)+a*SIN(C391)+b*SIN(C393)-c.*SIN(t.4)</f>
        <v>3.1381557247154506</v>
      </c>
      <c r="H394" s="3">
        <f>-b*SIN(C393)</f>
        <v>-5.6381557247154506</v>
      </c>
      <c r="I394" s="3">
        <f>-COS(t.1)</f>
        <v>-1</v>
      </c>
      <c r="J394" s="4"/>
      <c r="K394" s="3" cm="1">
        <f t="array" ref="K394:L395">MINVERSE(H394:I395)</f>
        <v>0</v>
      </c>
      <c r="L394" s="3">
        <v>-0.48730073336051455</v>
      </c>
      <c r="M394" s="3">
        <f>-F393</f>
        <v>5.0521208599540124</v>
      </c>
      <c r="O394" s="1" cm="1">
        <f t="array" ref="O394:O395">MMULT(K394:L395,M394:M395)</f>
        <v>1.5292255860533361</v>
      </c>
    </row>
    <row r="395" spans="1:15" x14ac:dyDescent="0.35">
      <c r="H395" s="3">
        <f>b*COS(C393)</f>
        <v>-2.0521208599540124</v>
      </c>
      <c r="I395" s="3">
        <f>-SIN(t.1)</f>
        <v>0</v>
      </c>
      <c r="J395" s="4"/>
      <c r="K395" s="3">
        <v>-1</v>
      </c>
      <c r="L395" s="3">
        <v>2.7474774194546225</v>
      </c>
      <c r="M395" s="3">
        <f>-F394</f>
        <v>-3.1381557247154506</v>
      </c>
      <c r="O395" s="1">
        <v>-13.67413285234197</v>
      </c>
    </row>
    <row r="397" spans="1:15" x14ac:dyDescent="0.35">
      <c r="A397" s="9" t="s">
        <v>16</v>
      </c>
      <c r="C397" s="2" t="s">
        <v>4</v>
      </c>
    </row>
    <row r="398" spans="1:15" x14ac:dyDescent="0.35">
      <c r="A398" s="2" t="s">
        <v>5</v>
      </c>
      <c r="B398" s="6">
        <v>108</v>
      </c>
      <c r="C398" s="3">
        <f>B398*PI()/180</f>
        <v>1.8849555921538759</v>
      </c>
    </row>
    <row r="399" spans="1:15" x14ac:dyDescent="0.35">
      <c r="A399" s="4"/>
      <c r="B399" s="4"/>
      <c r="C399" s="1"/>
      <c r="H399" s="18" t="s">
        <v>12</v>
      </c>
      <c r="I399" s="18"/>
      <c r="J399" s="4"/>
      <c r="K399" s="18" t="s">
        <v>13</v>
      </c>
      <c r="L399" s="18"/>
      <c r="M399" s="19" t="s">
        <v>14</v>
      </c>
      <c r="O399" s="21" t="s">
        <v>15</v>
      </c>
    </row>
    <row r="400" spans="1:15" x14ac:dyDescent="0.35">
      <c r="A400" s="2" t="s">
        <v>7</v>
      </c>
      <c r="B400" s="6">
        <f>C400*180/PI()</f>
        <v>197.61817200427606</v>
      </c>
      <c r="C400" s="3">
        <f>O394+C393</f>
        <v>3.4490877632470989</v>
      </c>
      <c r="E400" s="11" t="s">
        <v>10</v>
      </c>
      <c r="F400" s="1">
        <f>-B401*COS(t.1)+a*COS(C398)+b*COS(C400)-c.*COS(t.4)</f>
        <v>1.0285135502750682</v>
      </c>
      <c r="H400" s="8" t="s">
        <v>7</v>
      </c>
      <c r="I400" s="8" t="s">
        <v>9</v>
      </c>
      <c r="J400" s="4"/>
      <c r="K400" s="8" t="s">
        <v>7</v>
      </c>
      <c r="L400" s="8" t="s">
        <v>9</v>
      </c>
      <c r="M400" s="20"/>
      <c r="O400" s="22"/>
    </row>
    <row r="401" spans="1:15" x14ac:dyDescent="0.35">
      <c r="A401" s="2" t="s">
        <v>9</v>
      </c>
      <c r="B401" s="6">
        <f>O395+B394</f>
        <v>-7.6741328523419696</v>
      </c>
      <c r="C401" s="3"/>
      <c r="E401" s="11" t="s">
        <v>11</v>
      </c>
      <c r="F401" s="1">
        <f>-B401*SIN(t.1)+a*SIN(C398)+b*SIN(C400)-c.*SIN(t.4)</f>
        <v>-1.4628635955235825</v>
      </c>
      <c r="H401" s="3">
        <f>-b*SIN(C400)</f>
        <v>1.8160331444090434</v>
      </c>
      <c r="I401" s="3">
        <f>-COS(t.1)</f>
        <v>-1</v>
      </c>
      <c r="J401" s="4"/>
      <c r="K401" s="3" cm="1">
        <f t="array" ref="K401:L402">MINVERSE(H401:I402)</f>
        <v>0</v>
      </c>
      <c r="L401" s="3">
        <v>-0.1748689434534903</v>
      </c>
      <c r="M401" s="3">
        <f>-F400</f>
        <v>-1.0285135502750682</v>
      </c>
      <c r="O401" s="1" cm="1">
        <f t="array" ref="O401:O402">MMULT(K401:L402,M401:M402)</f>
        <v>-0.25580941136578284</v>
      </c>
    </row>
    <row r="402" spans="1:15" x14ac:dyDescent="0.35">
      <c r="H402" s="3">
        <f>b*COS(C400)</f>
        <v>-5.7185683189420589</v>
      </c>
      <c r="I402" s="3">
        <f>-SIN(t.1)</f>
        <v>0</v>
      </c>
      <c r="J402" s="4"/>
      <c r="K402" s="3">
        <v>-1</v>
      </c>
      <c r="L402" s="3">
        <v>-0.31756779723932921</v>
      </c>
      <c r="M402" s="3">
        <f>-F401</f>
        <v>1.4628635955235825</v>
      </c>
      <c r="O402" s="1">
        <v>0.56395518058303906</v>
      </c>
    </row>
    <row r="404" spans="1:15" x14ac:dyDescent="0.35">
      <c r="A404" s="9" t="s">
        <v>17</v>
      </c>
      <c r="C404" s="2" t="s">
        <v>4</v>
      </c>
    </row>
    <row r="405" spans="1:15" x14ac:dyDescent="0.35">
      <c r="A405" s="2" t="s">
        <v>5</v>
      </c>
      <c r="B405" s="6">
        <v>108</v>
      </c>
      <c r="C405" s="3">
        <f>B405*PI()/180</f>
        <v>1.8849555921538759</v>
      </c>
    </row>
    <row r="406" spans="1:15" x14ac:dyDescent="0.35">
      <c r="A406" s="4"/>
      <c r="B406" s="4"/>
      <c r="C406" s="1"/>
      <c r="H406" s="18" t="s">
        <v>12</v>
      </c>
      <c r="I406" s="18"/>
      <c r="J406" s="4"/>
      <c r="K406" s="18" t="s">
        <v>13</v>
      </c>
      <c r="L406" s="18"/>
      <c r="M406" s="19" t="s">
        <v>14</v>
      </c>
      <c r="O406" s="21" t="s">
        <v>15</v>
      </c>
    </row>
    <row r="407" spans="1:15" x14ac:dyDescent="0.35">
      <c r="A407" s="2" t="s">
        <v>7</v>
      </c>
      <c r="B407" s="6">
        <f>C407*180/PI()</f>
        <v>182.9613723732908</v>
      </c>
      <c r="C407" s="3">
        <f>O401+C400</f>
        <v>3.1932783518813159</v>
      </c>
      <c r="E407" s="11" t="s">
        <v>10</v>
      </c>
      <c r="F407" s="1">
        <f>-B408*COS(t.1)+a*COS(C405)+b*COS(C407)-c.*COS(t.4)</f>
        <v>0.19113913890686957</v>
      </c>
      <c r="H407" s="8" t="s">
        <v>7</v>
      </c>
      <c r="I407" s="8" t="s">
        <v>9</v>
      </c>
      <c r="J407" s="4"/>
      <c r="K407" s="8" t="s">
        <v>7</v>
      </c>
      <c r="L407" s="8" t="s">
        <v>9</v>
      </c>
      <c r="M407" s="20"/>
      <c r="O407" s="22"/>
    </row>
    <row r="408" spans="1:15" x14ac:dyDescent="0.35">
      <c r="A408" s="2" t="s">
        <v>9</v>
      </c>
      <c r="B408" s="6">
        <f>O402+B401</f>
        <v>-7.1101776717589305</v>
      </c>
      <c r="C408" s="3"/>
      <c r="E408" s="11" t="s">
        <v>11</v>
      </c>
      <c r="F408" s="1">
        <f>-B408*SIN(t.1)+a*SIN(C405)+b*SIN(C407)-c.*SIN(t.4)</f>
        <v>4.3193414458946755E-2</v>
      </c>
      <c r="H408" s="3">
        <f>-b*SIN(C407)</f>
        <v>0.30997613442651417</v>
      </c>
      <c r="I408" s="3">
        <f>-COS(t.1)</f>
        <v>-1</v>
      </c>
      <c r="J408" s="4"/>
      <c r="K408" s="3" cm="1">
        <f t="array" ref="K408:L409">MINVERSE(H408:I409)</f>
        <v>0</v>
      </c>
      <c r="L408" s="3">
        <v>-0.16688953234649567</v>
      </c>
      <c r="M408" s="3">
        <f>-F407</f>
        <v>-0.19113913890686957</v>
      </c>
      <c r="O408" s="1" cm="1">
        <f t="array" ref="O408:O409">MMULT(K408:L409,M408:M409)</f>
        <v>7.2085287395019879E-3</v>
      </c>
    </row>
    <row r="409" spans="1:15" x14ac:dyDescent="0.35">
      <c r="H409" s="3">
        <f>b*COS(C407)</f>
        <v>-5.9919875497272184</v>
      </c>
      <c r="I409" s="3">
        <f>-SIN(t.1)</f>
        <v>0</v>
      </c>
      <c r="J409" s="4"/>
      <c r="K409" s="3">
        <v>-1</v>
      </c>
      <c r="L409" s="3">
        <v>-5.1731772113015433E-2</v>
      </c>
      <c r="M409" s="3">
        <f>-F408</f>
        <v>-4.3193414458946755E-2</v>
      </c>
      <c r="O409" s="1">
        <v>0.19337361078044282</v>
      </c>
    </row>
    <row r="411" spans="1:15" x14ac:dyDescent="0.35">
      <c r="A411" s="9" t="s">
        <v>18</v>
      </c>
      <c r="C411" s="2" t="s">
        <v>4</v>
      </c>
    </row>
    <row r="412" spans="1:15" x14ac:dyDescent="0.35">
      <c r="A412" s="2" t="s">
        <v>5</v>
      </c>
      <c r="B412" s="6">
        <v>108</v>
      </c>
      <c r="C412" s="3">
        <f>B412*PI()/180</f>
        <v>1.8849555921538759</v>
      </c>
    </row>
    <row r="413" spans="1:15" x14ac:dyDescent="0.35">
      <c r="A413" s="4"/>
      <c r="B413" s="4"/>
      <c r="C413" s="1"/>
      <c r="H413" s="18" t="s">
        <v>12</v>
      </c>
      <c r="I413" s="18"/>
      <c r="J413" s="4"/>
      <c r="K413" s="18" t="s">
        <v>13</v>
      </c>
      <c r="L413" s="18"/>
      <c r="M413" s="19" t="s">
        <v>14</v>
      </c>
      <c r="O413" s="21" t="s">
        <v>15</v>
      </c>
    </row>
    <row r="414" spans="1:15" x14ac:dyDescent="0.35">
      <c r="A414" s="2" t="s">
        <v>7</v>
      </c>
      <c r="B414" s="6">
        <f>C414*180/PI()</f>
        <v>183.374390646563</v>
      </c>
      <c r="C414" s="3">
        <f>O408+C407</f>
        <v>3.2004868806208178</v>
      </c>
      <c r="E414" s="11" t="s">
        <v>10</v>
      </c>
      <c r="F414" s="1">
        <f>-B415*COS(t.1)+a*COS(C412)+b*COS(C414)-c.*COS(t.4)</f>
        <v>1.5566045905830668E-4</v>
      </c>
      <c r="H414" s="8" t="s">
        <v>7</v>
      </c>
      <c r="I414" s="8" t="s">
        <v>9</v>
      </c>
      <c r="J414" s="4"/>
      <c r="K414" s="8" t="s">
        <v>7</v>
      </c>
      <c r="L414" s="8" t="s">
        <v>9</v>
      </c>
      <c r="M414" s="20"/>
      <c r="O414" s="22"/>
    </row>
    <row r="415" spans="1:15" x14ac:dyDescent="0.35">
      <c r="A415" s="2" t="s">
        <v>9</v>
      </c>
      <c r="B415" s="6">
        <f>O409+B408</f>
        <v>-6.916804060978488</v>
      </c>
      <c r="C415" s="3"/>
      <c r="E415" s="11" t="s">
        <v>11</v>
      </c>
      <c r="F415" s="1">
        <f>-B415*SIN(t.1)+a*SIN(C412)+b*SIN(C414)-c.*SIN(t.4)</f>
        <v>8.4276672636107719E-6</v>
      </c>
      <c r="H415" s="3">
        <f>-b*SIN(C414)</f>
        <v>0.35316112121819743</v>
      </c>
      <c r="I415" s="3">
        <f>-COS(t.1)</f>
        <v>-1</v>
      </c>
      <c r="J415" s="4"/>
      <c r="K415" s="3" cm="1">
        <f t="array" ref="K415:L416">MINVERSE(H415:I416)</f>
        <v>0</v>
      </c>
      <c r="L415" s="3">
        <v>-0.16695612915416769</v>
      </c>
      <c r="M415" s="3">
        <f>-F414</f>
        <v>-1.5566045905830668E-4</v>
      </c>
      <c r="O415" s="1" cm="1">
        <f t="array" ref="O415:O416">MMULT(K415:L416,M415:M416)</f>
        <v>1.4070507041317511E-6</v>
      </c>
    </row>
    <row r="416" spans="1:15" x14ac:dyDescent="0.35">
      <c r="H416" s="3">
        <f>b*COS(C414)</f>
        <v>-5.9895974173945872</v>
      </c>
      <c r="I416" s="3">
        <f>-SIN(t.1)</f>
        <v>0</v>
      </c>
      <c r="J416" s="4"/>
      <c r="K416" s="3">
        <v>-1</v>
      </c>
      <c r="L416" s="3">
        <v>-5.8962413766336041E-2</v>
      </c>
      <c r="M416" s="3">
        <f>-F415</f>
        <v>-8.4276672636107719E-6</v>
      </c>
      <c r="O416" s="1">
        <v>1.5615737466258869E-4</v>
      </c>
    </row>
    <row r="418" spans="1:15" x14ac:dyDescent="0.35">
      <c r="A418" s="9" t="s">
        <v>19</v>
      </c>
      <c r="C418" s="2" t="s">
        <v>4</v>
      </c>
    </row>
    <row r="419" spans="1:15" x14ac:dyDescent="0.35">
      <c r="A419" s="2" t="s">
        <v>5</v>
      </c>
      <c r="B419" s="6">
        <v>108</v>
      </c>
      <c r="C419" s="3">
        <f>B419*PI()/180</f>
        <v>1.8849555921538759</v>
      </c>
    </row>
    <row r="420" spans="1:15" x14ac:dyDescent="0.35">
      <c r="A420" s="4"/>
      <c r="B420" s="4"/>
      <c r="C420" s="1"/>
      <c r="H420" s="18" t="s">
        <v>12</v>
      </c>
      <c r="I420" s="18"/>
      <c r="J420" s="4"/>
      <c r="K420" s="18" t="s">
        <v>13</v>
      </c>
      <c r="L420" s="18"/>
      <c r="M420" s="19" t="s">
        <v>14</v>
      </c>
      <c r="O420" s="21" t="s">
        <v>15</v>
      </c>
    </row>
    <row r="421" spans="1:15" x14ac:dyDescent="0.35">
      <c r="A421" s="2" t="s">
        <v>7</v>
      </c>
      <c r="B421" s="6">
        <f>C421*180/PI()</f>
        <v>183.37447126462988</v>
      </c>
      <c r="C421" s="3">
        <f>O415+C414</f>
        <v>3.2004882876715217</v>
      </c>
      <c r="E421" s="11" t="s">
        <v>10</v>
      </c>
      <c r="F421" s="1">
        <f>-B422*COS(t.1)+a*COS(C419)+b*COS(C421)-c.*COS(t.4)</f>
        <v>5.9293259863611725E-12</v>
      </c>
      <c r="H421" s="8" t="s">
        <v>7</v>
      </c>
      <c r="I421" s="8" t="s">
        <v>9</v>
      </c>
      <c r="J421" s="4"/>
      <c r="K421" s="8" t="s">
        <v>7</v>
      </c>
      <c r="L421" s="8" t="s">
        <v>9</v>
      </c>
      <c r="M421" s="20"/>
      <c r="O421" s="22"/>
    </row>
    <row r="422" spans="1:15" x14ac:dyDescent="0.35">
      <c r="A422" s="2" t="s">
        <v>9</v>
      </c>
      <c r="B422" s="6">
        <f>O416+B415</f>
        <v>-6.9166479036038258</v>
      </c>
      <c r="C422" s="3"/>
      <c r="E422" s="11" t="s">
        <v>11</v>
      </c>
      <c r="F422" s="1">
        <f>-B422*SIN(t.1)+a*SIN(C419)+b*SIN(C421)-c.*SIN(t.4)</f>
        <v>3.5083047578154947E-13</v>
      </c>
      <c r="H422" s="3">
        <f>-b*SIN(C421)</f>
        <v>0.35316954888511032</v>
      </c>
      <c r="I422" s="3">
        <f>-COS(t.1)</f>
        <v>-1</v>
      </c>
      <c r="J422" s="4"/>
      <c r="K422" s="3" cm="1">
        <f t="array" ref="K422:L423">MINVERSE(H422:I423)</f>
        <v>0</v>
      </c>
      <c r="L422" s="3">
        <v>-0.16695614300553313</v>
      </c>
      <c r="M422" s="3">
        <f>-F421</f>
        <v>-5.9293259863611725E-12</v>
      </c>
      <c r="O422" s="1" cm="1">
        <f t="array" ref="O422:O423">MMULT(K422:L423,M422:M423)</f>
        <v>5.8573303085283603E-14</v>
      </c>
    </row>
    <row r="423" spans="1:15" x14ac:dyDescent="0.35">
      <c r="H423" s="3">
        <f>b*COS(C421)</f>
        <v>-5.9895969204730539</v>
      </c>
      <c r="I423" s="3">
        <f>-SIN(t.1)</f>
        <v>0</v>
      </c>
      <c r="J423" s="4"/>
      <c r="K423" s="3">
        <v>-1</v>
      </c>
      <c r="L423" s="3">
        <v>-5.8963825708862098E-2</v>
      </c>
      <c r="M423" s="3">
        <f>-F422</f>
        <v>-3.5083047578154947E-13</v>
      </c>
      <c r="O423" s="1">
        <v>5.9500122933885127E-12</v>
      </c>
    </row>
    <row r="425" spans="1:15" x14ac:dyDescent="0.35">
      <c r="A425" s="9" t="s">
        <v>20</v>
      </c>
      <c r="C425" s="2" t="s">
        <v>4</v>
      </c>
    </row>
    <row r="426" spans="1:15" x14ac:dyDescent="0.35">
      <c r="A426" s="2" t="s">
        <v>5</v>
      </c>
      <c r="B426" s="6">
        <v>108</v>
      </c>
      <c r="C426" s="3">
        <f>B426*PI()/180</f>
        <v>1.8849555921538759</v>
      </c>
    </row>
    <row r="427" spans="1:15" x14ac:dyDescent="0.35">
      <c r="A427" s="4"/>
      <c r="B427" s="4"/>
      <c r="C427" s="1"/>
      <c r="H427" s="18" t="s">
        <v>12</v>
      </c>
      <c r="I427" s="18"/>
      <c r="J427" s="4"/>
      <c r="K427" s="18" t="s">
        <v>13</v>
      </c>
      <c r="L427" s="18"/>
      <c r="M427" s="19" t="s">
        <v>14</v>
      </c>
      <c r="O427" s="21" t="s">
        <v>15</v>
      </c>
    </row>
    <row r="428" spans="1:15" x14ac:dyDescent="0.35">
      <c r="A428" s="2" t="s">
        <v>7</v>
      </c>
      <c r="B428" s="6">
        <f>C428*180/PI()</f>
        <v>183.37447126463326</v>
      </c>
      <c r="C428" s="3">
        <f>O422+C421</f>
        <v>3.2004882876715803</v>
      </c>
      <c r="E428" s="11" t="s">
        <v>10</v>
      </c>
      <c r="F428" s="1">
        <f>-B429*COS(t.1)+a*COS(C426)+b*COS(C428)-c.*COS(t.4)</f>
        <v>-1.531435568635775E-16</v>
      </c>
      <c r="H428" s="8" t="s">
        <v>7</v>
      </c>
      <c r="I428" s="8" t="s">
        <v>9</v>
      </c>
      <c r="J428" s="4"/>
      <c r="K428" s="8" t="s">
        <v>7</v>
      </c>
      <c r="L428" s="8" t="s">
        <v>9</v>
      </c>
      <c r="M428" s="20"/>
      <c r="O428" s="22"/>
    </row>
    <row r="429" spans="1:15" x14ac:dyDescent="0.35">
      <c r="A429" s="2" t="s">
        <v>9</v>
      </c>
      <c r="B429" s="6">
        <f>O423+B422</f>
        <v>-6.9166479035978758</v>
      </c>
      <c r="C429" s="3"/>
      <c r="E429" s="11" t="s">
        <v>11</v>
      </c>
      <c r="F429" s="1">
        <f>-B429*SIN(t.1)+a*SIN(C426)+b*SIN(C428)-c.*SIN(t.4)</f>
        <v>0</v>
      </c>
      <c r="H429" s="3">
        <f>-b*SIN(C428)</f>
        <v>0.35316954888546148</v>
      </c>
      <c r="I429" s="3">
        <f>-COS(B386)</f>
        <v>0.74434642555756936</v>
      </c>
      <c r="J429" s="4"/>
      <c r="K429" s="3" cm="1">
        <f t="array" ref="K429:L430">MINVERSE(H429:I430)</f>
        <v>-0.15815160592708358</v>
      </c>
      <c r="L429" s="3">
        <v>-0.17628136673300418</v>
      </c>
      <c r="M429" s="3">
        <f>-F428</f>
        <v>1.531435568635775E-16</v>
      </c>
      <c r="O429" s="1" cm="1">
        <f t="array" ref="O429:O430">MMULT(K429:L430,M429:M430)</f>
        <v>-2.4219899455360424E-17</v>
      </c>
    </row>
    <row r="430" spans="1:15" x14ac:dyDescent="0.35">
      <c r="H430" s="3">
        <f>b*COS(C428)</f>
        <v>-5.9895969204730335</v>
      </c>
      <c r="I430" s="3">
        <f>-SIN(B386)</f>
        <v>-0.66779367978416049</v>
      </c>
      <c r="J430" s="4"/>
      <c r="K430" s="3">
        <v>1.4184985580200349</v>
      </c>
      <c r="L430" s="3">
        <v>8.3640101743448991E-2</v>
      </c>
      <c r="M430" s="3">
        <f>-F429</f>
        <v>0</v>
      </c>
      <c r="O430" s="1">
        <v>2.172339145810439E-16</v>
      </c>
    </row>
    <row r="432" spans="1:15" x14ac:dyDescent="0.35">
      <c r="A432" s="9" t="s">
        <v>6</v>
      </c>
      <c r="C432" s="2" t="s">
        <v>4</v>
      </c>
    </row>
    <row r="433" spans="1:15" x14ac:dyDescent="0.35">
      <c r="A433" s="2" t="s">
        <v>5</v>
      </c>
      <c r="B433" s="6">
        <v>0</v>
      </c>
      <c r="C433" s="3">
        <f>B433*PI()/180</f>
        <v>0</v>
      </c>
    </row>
    <row r="434" spans="1:15" x14ac:dyDescent="0.35">
      <c r="A434" s="4"/>
      <c r="B434" s="4"/>
      <c r="C434" s="1"/>
      <c r="H434" s="18" t="s">
        <v>12</v>
      </c>
      <c r="I434" s="18"/>
      <c r="J434" s="4"/>
      <c r="K434" s="18" t="s">
        <v>13</v>
      </c>
      <c r="L434" s="18"/>
      <c r="M434" s="19" t="s">
        <v>14</v>
      </c>
      <c r="O434" s="21" t="s">
        <v>15</v>
      </c>
    </row>
    <row r="435" spans="1:15" x14ac:dyDescent="0.35">
      <c r="A435" s="2" t="s">
        <v>7</v>
      </c>
      <c r="B435" s="6">
        <v>110</v>
      </c>
      <c r="C435" s="3">
        <f>B435*PI()/180</f>
        <v>1.9198621771937625</v>
      </c>
      <c r="E435" s="11" t="s">
        <v>10</v>
      </c>
      <c r="F435" s="1">
        <f>-B436*COS(t.1)+a*COS(C433)+b*COS(C435)-c.*COS(t.4)</f>
        <v>-5.0521208599540124</v>
      </c>
      <c r="H435" s="8" t="s">
        <v>7</v>
      </c>
      <c r="I435" s="8" t="s">
        <v>9</v>
      </c>
      <c r="J435" s="4"/>
      <c r="K435" s="8" t="s">
        <v>7</v>
      </c>
      <c r="L435" s="8" t="s">
        <v>9</v>
      </c>
      <c r="M435" s="20"/>
      <c r="O435" s="22"/>
    </row>
    <row r="436" spans="1:15" x14ac:dyDescent="0.35">
      <c r="A436" s="2" t="s">
        <v>9</v>
      </c>
      <c r="B436" s="6">
        <v>6</v>
      </c>
      <c r="C436" s="3"/>
      <c r="E436" s="11" t="s">
        <v>11</v>
      </c>
      <c r="F436" s="1">
        <f>-B436*SIN(t.1)+a*SIN(C433)+b*SIN(C435)-c.*SIN(t.4)</f>
        <v>3.1381557247154506</v>
      </c>
      <c r="H436" s="3">
        <f>-b*SIN(C435)</f>
        <v>-5.6381557247154506</v>
      </c>
      <c r="I436" s="3">
        <f>-COS(t.1)</f>
        <v>-1</v>
      </c>
      <c r="J436" s="4"/>
      <c r="K436" s="3" cm="1">
        <f t="array" ref="K436:L437">MINVERSE(H436:I437)</f>
        <v>0</v>
      </c>
      <c r="L436" s="3">
        <v>-0.48730073336051455</v>
      </c>
      <c r="M436" s="3">
        <f>-F435</f>
        <v>5.0521208599540124</v>
      </c>
      <c r="O436" s="1" cm="1">
        <f t="array" ref="O436:O437">MMULT(K436:L437,M436:M437)</f>
        <v>1.5292255860533361</v>
      </c>
    </row>
    <row r="437" spans="1:15" x14ac:dyDescent="0.35">
      <c r="H437" s="3">
        <f>b*COS(C435)</f>
        <v>-2.0521208599540124</v>
      </c>
      <c r="I437" s="3">
        <f>-SIN(t.1)</f>
        <v>0</v>
      </c>
      <c r="J437" s="4"/>
      <c r="K437" s="3">
        <v>-1</v>
      </c>
      <c r="L437" s="3">
        <v>2.7474774194546225</v>
      </c>
      <c r="M437" s="3">
        <f>-F436</f>
        <v>-3.1381557247154506</v>
      </c>
      <c r="O437" s="1">
        <v>-13.67413285234197</v>
      </c>
    </row>
    <row r="439" spans="1:15" x14ac:dyDescent="0.35">
      <c r="A439" s="9" t="s">
        <v>16</v>
      </c>
      <c r="C439" s="2" t="s">
        <v>4</v>
      </c>
    </row>
    <row r="440" spans="1:15" x14ac:dyDescent="0.35">
      <c r="A440" s="2" t="s">
        <v>5</v>
      </c>
      <c r="B440" s="6">
        <v>120</v>
      </c>
      <c r="C440" s="3">
        <f>B440*PI()/180</f>
        <v>2.0943951023931953</v>
      </c>
    </row>
    <row r="441" spans="1:15" x14ac:dyDescent="0.35">
      <c r="A441" s="4"/>
      <c r="B441" s="4"/>
      <c r="C441" s="1"/>
      <c r="H441" s="18" t="s">
        <v>12</v>
      </c>
      <c r="I441" s="18"/>
      <c r="J441" s="4"/>
      <c r="K441" s="18" t="s">
        <v>13</v>
      </c>
      <c r="L441" s="18"/>
      <c r="M441" s="19" t="s">
        <v>14</v>
      </c>
      <c r="O441" s="21" t="s">
        <v>15</v>
      </c>
    </row>
    <row r="442" spans="1:15" x14ac:dyDescent="0.35">
      <c r="A442" s="2" t="s">
        <v>7</v>
      </c>
      <c r="B442" s="6">
        <f>C442*180/PI()</f>
        <v>197.61817200427606</v>
      </c>
      <c r="C442" s="3">
        <f>O436+C435</f>
        <v>3.4490877632470989</v>
      </c>
      <c r="E442" s="11" t="s">
        <v>10</v>
      </c>
      <c r="F442" s="1">
        <f>-B443*COS(t.1)+a*COS(C440)+b*COS(C442)-c.*COS(t.4)</f>
        <v>0.45556453339991149</v>
      </c>
      <c r="H442" s="8" t="s">
        <v>7</v>
      </c>
      <c r="I442" s="8" t="s">
        <v>9</v>
      </c>
      <c r="J442" s="4"/>
      <c r="K442" s="8" t="s">
        <v>7</v>
      </c>
      <c r="L442" s="8" t="s">
        <v>9</v>
      </c>
      <c r="M442" s="20"/>
      <c r="O442" s="22"/>
    </row>
    <row r="443" spans="1:15" x14ac:dyDescent="0.35">
      <c r="A443" s="2" t="s">
        <v>9</v>
      </c>
      <c r="B443" s="6">
        <f>O437+B436</f>
        <v>-7.6741328523419696</v>
      </c>
      <c r="C443" s="3"/>
      <c r="E443" s="11" t="s">
        <v>11</v>
      </c>
      <c r="F443" s="1">
        <f>-B443*SIN(t.1)+a*SIN(C440)+b*SIN(C442)-c.*SIN(t.4)</f>
        <v>-1.7179569330557274</v>
      </c>
      <c r="H443" s="3">
        <f>-b*SIN(C442)</f>
        <v>1.8160331444090434</v>
      </c>
      <c r="I443" s="3">
        <f>-COS(t.1)</f>
        <v>-1</v>
      </c>
      <c r="J443" s="4"/>
      <c r="K443" s="3" cm="1">
        <f t="array" ref="K443:L444">MINVERSE(H443:I444)</f>
        <v>0</v>
      </c>
      <c r="L443" s="3">
        <v>-0.1748689434534903</v>
      </c>
      <c r="M443" s="3">
        <f>-F442</f>
        <v>-0.45556453339991149</v>
      </c>
      <c r="O443" s="1" cm="1">
        <f t="array" ref="O443:O444">MMULT(K443:L444,M443:M444)</f>
        <v>-0.30041731378205361</v>
      </c>
    </row>
    <row r="444" spans="1:15" x14ac:dyDescent="0.35">
      <c r="H444" s="3">
        <f>b*COS(C442)</f>
        <v>-5.7185683189420589</v>
      </c>
      <c r="I444" s="3">
        <f>-SIN(t.1)</f>
        <v>0</v>
      </c>
      <c r="J444" s="4"/>
      <c r="K444" s="3">
        <v>-1</v>
      </c>
      <c r="L444" s="3">
        <v>-0.31756779723932921</v>
      </c>
      <c r="M444" s="3">
        <f>-F443</f>
        <v>1.7179569330557274</v>
      </c>
      <c r="O444" s="1">
        <v>-9.0003265582629666E-2</v>
      </c>
    </row>
    <row r="446" spans="1:15" x14ac:dyDescent="0.35">
      <c r="A446" s="9" t="s">
        <v>17</v>
      </c>
      <c r="C446" s="2" t="s">
        <v>4</v>
      </c>
    </row>
    <row r="447" spans="1:15" x14ac:dyDescent="0.35">
      <c r="A447" s="2" t="s">
        <v>5</v>
      </c>
      <c r="B447" s="6">
        <v>120</v>
      </c>
      <c r="C447" s="3">
        <f>B447*PI()/180</f>
        <v>2.0943951023931953</v>
      </c>
    </row>
    <row r="448" spans="1:15" x14ac:dyDescent="0.35">
      <c r="A448" s="4"/>
      <c r="B448" s="4"/>
      <c r="C448" s="1"/>
      <c r="H448" s="18" t="s">
        <v>12</v>
      </c>
      <c r="I448" s="18"/>
      <c r="J448" s="4"/>
      <c r="K448" s="18" t="s">
        <v>13</v>
      </c>
      <c r="L448" s="18"/>
      <c r="M448" s="19" t="s">
        <v>14</v>
      </c>
      <c r="O448" s="21" t="s">
        <v>15</v>
      </c>
    </row>
    <row r="449" spans="1:15" x14ac:dyDescent="0.35">
      <c r="A449" s="2" t="s">
        <v>7</v>
      </c>
      <c r="B449" s="6">
        <f>C449*180/PI()</f>
        <v>180.40552783190705</v>
      </c>
      <c r="C449" s="3">
        <f>O443+C442</f>
        <v>3.1486704494650453</v>
      </c>
      <c r="E449" s="11" t="s">
        <v>10</v>
      </c>
      <c r="F449" s="1">
        <f>-B450*COS(t.1)+a*COS(C447)+b*COS(C449)-c.*COS(t.4)</f>
        <v>0.26428640288057431</v>
      </c>
      <c r="H449" s="8" t="s">
        <v>7</v>
      </c>
      <c r="I449" s="8" t="s">
        <v>9</v>
      </c>
      <c r="J449" s="4"/>
      <c r="K449" s="8" t="s">
        <v>7</v>
      </c>
      <c r="L449" s="8" t="s">
        <v>9</v>
      </c>
      <c r="M449" s="20"/>
      <c r="O449" s="22"/>
    </row>
    <row r="450" spans="1:15" x14ac:dyDescent="0.35">
      <c r="A450" s="2" t="s">
        <v>9</v>
      </c>
      <c r="B450" s="6">
        <f>O444+B443</f>
        <v>-7.7641361179245996</v>
      </c>
      <c r="C450" s="3"/>
      <c r="E450" s="11" t="s">
        <v>11</v>
      </c>
      <c r="F450" s="1">
        <f>-B450*SIN(t.1)+a*SIN(C447)+b*SIN(C449)-c.*SIN(t.4)</f>
        <v>5.5609790664476577E-2</v>
      </c>
      <c r="H450" s="3">
        <f>-b*SIN(C449)</f>
        <v>4.246642068883958E-2</v>
      </c>
      <c r="I450" s="3">
        <f>-COS(t.1)</f>
        <v>-1</v>
      </c>
      <c r="J450" s="4"/>
      <c r="K450" s="3" cm="1">
        <f t="array" ref="K450:L451">MINVERSE(H450:I451)</f>
        <v>0</v>
      </c>
      <c r="L450" s="3">
        <v>-0.16667084135334248</v>
      </c>
      <c r="M450" s="3">
        <f>-F449</f>
        <v>-0.26428640288057431</v>
      </c>
      <c r="O450" s="1" cm="1">
        <f t="array" ref="O450:O451">MMULT(K450:L451,M450:M451)</f>
        <v>9.2685305975315612E-3</v>
      </c>
    </row>
    <row r="451" spans="1:15" x14ac:dyDescent="0.35">
      <c r="H451" s="3">
        <f>b*COS(C449)</f>
        <v>-5.999849715044026</v>
      </c>
      <c r="I451" s="3">
        <f>-SIN(t.1)</f>
        <v>0</v>
      </c>
      <c r="J451" s="4"/>
      <c r="K451" s="3">
        <v>-1</v>
      </c>
      <c r="L451" s="3">
        <v>-7.0779140654738826E-3</v>
      </c>
      <c r="M451" s="3">
        <f>-F450</f>
        <v>-5.5609790664476577E-2</v>
      </c>
      <c r="O451" s="1">
        <v>0.26468000420009646</v>
      </c>
    </row>
    <row r="453" spans="1:15" x14ac:dyDescent="0.35">
      <c r="A453" s="9" t="s">
        <v>18</v>
      </c>
      <c r="C453" s="2" t="s">
        <v>4</v>
      </c>
    </row>
    <row r="454" spans="1:15" x14ac:dyDescent="0.35">
      <c r="A454" s="2" t="s">
        <v>5</v>
      </c>
      <c r="B454" s="6">
        <v>120</v>
      </c>
      <c r="C454" s="3">
        <f>B454*PI()/180</f>
        <v>2.0943951023931953</v>
      </c>
    </row>
    <row r="455" spans="1:15" x14ac:dyDescent="0.35">
      <c r="A455" s="4"/>
      <c r="B455" s="4"/>
      <c r="C455" s="1"/>
      <c r="H455" s="18" t="s">
        <v>12</v>
      </c>
      <c r="I455" s="18"/>
      <c r="J455" s="4"/>
      <c r="K455" s="18" t="s">
        <v>13</v>
      </c>
      <c r="L455" s="18"/>
      <c r="M455" s="19" t="s">
        <v>14</v>
      </c>
      <c r="O455" s="21" t="s">
        <v>15</v>
      </c>
    </row>
    <row r="456" spans="1:15" x14ac:dyDescent="0.35">
      <c r="A456" s="2" t="s">
        <v>7</v>
      </c>
      <c r="B456" s="6">
        <f>C456*180/PI()</f>
        <v>180.93657551743348</v>
      </c>
      <c r="C456" s="3">
        <f>O450+C449</f>
        <v>3.157938980062577</v>
      </c>
      <c r="E456" s="11" t="s">
        <v>10</v>
      </c>
      <c r="F456" s="1">
        <f>-B457*COS(t.1)+a*COS(C454)+b*COS(C456)-c.*COS(t.4)</f>
        <v>2.5770304284818086E-4</v>
      </c>
      <c r="H456" s="8" t="s">
        <v>7</v>
      </c>
      <c r="I456" s="8" t="s">
        <v>9</v>
      </c>
      <c r="J456" s="4"/>
      <c r="K456" s="8" t="s">
        <v>7</v>
      </c>
      <c r="L456" s="8" t="s">
        <v>9</v>
      </c>
      <c r="M456" s="20"/>
      <c r="O456" s="22"/>
    </row>
    <row r="457" spans="1:15" x14ac:dyDescent="0.35">
      <c r="A457" s="2" t="s">
        <v>9</v>
      </c>
      <c r="B457" s="6">
        <f>O451+B450</f>
        <v>-7.499456113724503</v>
      </c>
      <c r="C457" s="3"/>
      <c r="E457" s="11" t="s">
        <v>11</v>
      </c>
      <c r="F457" s="1">
        <f>-B457*SIN(t.1)+a*SIN(C454)+b*SIN(C456)-c.*SIN(t.4)</f>
        <v>2.6202357470417326E-6</v>
      </c>
      <c r="H457" s="3">
        <f>-b*SIN(C456)</f>
        <v>9.8073591117568831E-2</v>
      </c>
      <c r="I457" s="3">
        <f>-COS(t.1)</f>
        <v>-1</v>
      </c>
      <c r="J457" s="4"/>
      <c r="K457" s="3" cm="1">
        <f t="array" ref="K457:L458">MINVERSE(H457:I458)</f>
        <v>0</v>
      </c>
      <c r="L457" s="3">
        <v>-0.16668893601176554</v>
      </c>
      <c r="M457" s="3">
        <f>-F456</f>
        <v>-2.5770304284818086E-4</v>
      </c>
      <c r="O457" s="1" cm="1">
        <f t="array" ref="O457:O458">MMULT(K457:L458,M457:M458)</f>
        <v>4.3676430877438003E-7</v>
      </c>
    </row>
    <row r="458" spans="1:15" x14ac:dyDescent="0.35">
      <c r="H458" s="3">
        <f>b*COS(C456)</f>
        <v>-5.9991984106816556</v>
      </c>
      <c r="I458" s="3">
        <f>-SIN(t.1)</f>
        <v>0</v>
      </c>
      <c r="J458" s="4"/>
      <c r="K458" s="3">
        <v>-1</v>
      </c>
      <c r="L458" s="3">
        <v>-1.6347782554240489E-2</v>
      </c>
      <c r="M458" s="3">
        <f>-F457</f>
        <v>-2.6202357470417326E-6</v>
      </c>
      <c r="O458" s="1">
        <v>2.5774587789241434E-4</v>
      </c>
    </row>
    <row r="460" spans="1:15" x14ac:dyDescent="0.35">
      <c r="A460" s="9" t="s">
        <v>19</v>
      </c>
      <c r="C460" s="2" t="s">
        <v>4</v>
      </c>
    </row>
    <row r="461" spans="1:15" x14ac:dyDescent="0.35">
      <c r="A461" s="2" t="s">
        <v>5</v>
      </c>
      <c r="B461" s="6">
        <v>120</v>
      </c>
      <c r="C461" s="3">
        <f>B461*PI()/180</f>
        <v>2.0943951023931953</v>
      </c>
    </row>
    <row r="462" spans="1:15" x14ac:dyDescent="0.35">
      <c r="A462" s="4"/>
      <c r="B462" s="4"/>
      <c r="C462" s="1"/>
      <c r="H462" s="18" t="s">
        <v>12</v>
      </c>
      <c r="I462" s="18"/>
      <c r="J462" s="4"/>
      <c r="K462" s="18" t="s">
        <v>13</v>
      </c>
      <c r="L462" s="18"/>
      <c r="M462" s="19" t="s">
        <v>14</v>
      </c>
      <c r="O462" s="21" t="s">
        <v>15</v>
      </c>
    </row>
    <row r="463" spans="1:15" x14ac:dyDescent="0.35">
      <c r="A463" s="2" t="s">
        <v>7</v>
      </c>
      <c r="B463" s="6">
        <f>C463*180/PI()</f>
        <v>180.93660054218503</v>
      </c>
      <c r="C463" s="3">
        <f>O457+C456</f>
        <v>3.1579394168268857</v>
      </c>
      <c r="E463" s="11" t="s">
        <v>10</v>
      </c>
      <c r="F463" s="1">
        <f>-B464*COS(t.1)+a*COS(C461)+b*COS(C463)-c.*COS(t.4)</f>
        <v>5.7183375873001707E-13</v>
      </c>
      <c r="H463" s="8" t="s">
        <v>7</v>
      </c>
      <c r="I463" s="8" t="s">
        <v>9</v>
      </c>
      <c r="J463" s="4"/>
      <c r="K463" s="8" t="s">
        <v>7</v>
      </c>
      <c r="L463" s="8" t="s">
        <v>9</v>
      </c>
      <c r="M463" s="20"/>
      <c r="O463" s="22"/>
    </row>
    <row r="464" spans="1:15" x14ac:dyDescent="0.35">
      <c r="A464" s="2" t="s">
        <v>9</v>
      </c>
      <c r="B464" s="6">
        <f>O458+B457</f>
        <v>-7.4991983678466108</v>
      </c>
      <c r="C464" s="3"/>
      <c r="E464" s="11" t="s">
        <v>11</v>
      </c>
      <c r="F464" s="1">
        <f>-B464*SIN(t.1)+a*SIN(C461)+b*SIN(C463)-c.*SIN(t.4)</f>
        <v>9.7699626167013776E-15</v>
      </c>
      <c r="H464" s="3">
        <f>-b*SIN(C463)</f>
        <v>9.8076211353306186E-2</v>
      </c>
      <c r="I464" s="3">
        <f>-COS(t.1)</f>
        <v>-1</v>
      </c>
      <c r="J464" s="4"/>
      <c r="K464" s="3" cm="1">
        <f t="array" ref="K464:L465">MINVERSE(H464:I465)</f>
        <v>0</v>
      </c>
      <c r="L464" s="3">
        <v>-0.16668893720196176</v>
      </c>
      <c r="M464" s="3">
        <f>-F463</f>
        <v>-5.7183375873001707E-13</v>
      </c>
      <c r="O464" s="1" cm="1">
        <f t="array" ref="O464:O465">MMULT(K464:L465,M464:M465)</f>
        <v>1.6285446850808499E-15</v>
      </c>
    </row>
    <row r="465" spans="1:15" x14ac:dyDescent="0.35">
      <c r="H465" s="3">
        <f>b*COS(C463)</f>
        <v>-5.9991983678460397</v>
      </c>
      <c r="I465" s="3">
        <f>-SIN(t.1)</f>
        <v>0</v>
      </c>
      <c r="J465" s="4"/>
      <c r="K465" s="3">
        <v>-1</v>
      </c>
      <c r="L465" s="3">
        <v>-1.6348219435277585E-2</v>
      </c>
      <c r="M465" s="3">
        <f>-F464</f>
        <v>-9.7699626167013776E-15</v>
      </c>
      <c r="O465" s="1">
        <v>5.7199348022274938E-13</v>
      </c>
    </row>
    <row r="467" spans="1:15" x14ac:dyDescent="0.35">
      <c r="A467" s="9" t="s">
        <v>20</v>
      </c>
      <c r="C467" s="2" t="s">
        <v>4</v>
      </c>
    </row>
    <row r="468" spans="1:15" x14ac:dyDescent="0.35">
      <c r="A468" s="2" t="s">
        <v>5</v>
      </c>
      <c r="B468" s="6">
        <v>120</v>
      </c>
      <c r="C468" s="3">
        <f>B468*PI()/180</f>
        <v>2.0943951023931953</v>
      </c>
    </row>
    <row r="469" spans="1:15" x14ac:dyDescent="0.35">
      <c r="A469" s="4"/>
      <c r="B469" s="4"/>
      <c r="C469" s="1"/>
      <c r="H469" s="18" t="s">
        <v>12</v>
      </c>
      <c r="I469" s="18"/>
      <c r="J469" s="4"/>
      <c r="K469" s="18" t="s">
        <v>13</v>
      </c>
      <c r="L469" s="18"/>
      <c r="M469" s="19" t="s">
        <v>14</v>
      </c>
      <c r="O469" s="21" t="s">
        <v>15</v>
      </c>
    </row>
    <row r="470" spans="1:15" x14ac:dyDescent="0.35">
      <c r="A470" s="2" t="s">
        <v>7</v>
      </c>
      <c r="B470" s="6">
        <f>C470*180/PI()</f>
        <v>180.93660054218509</v>
      </c>
      <c r="C470" s="3">
        <f>O464+C463</f>
        <v>3.1579394168268875</v>
      </c>
      <c r="E470" s="11" t="s">
        <v>10</v>
      </c>
      <c r="F470" s="1">
        <f>-B471*COS(t.1)+a*COS(C468)+b*COS(C470)-c.*COS(t.4)</f>
        <v>-1.531435568635775E-16</v>
      </c>
      <c r="H470" s="8" t="s">
        <v>7</v>
      </c>
      <c r="I470" s="8" t="s">
        <v>9</v>
      </c>
      <c r="J470" s="4"/>
      <c r="K470" s="8" t="s">
        <v>7</v>
      </c>
      <c r="L470" s="8" t="s">
        <v>9</v>
      </c>
      <c r="M470" s="20"/>
      <c r="O470" s="22"/>
    </row>
    <row r="471" spans="1:15" x14ac:dyDescent="0.35">
      <c r="A471" s="2" t="s">
        <v>9</v>
      </c>
      <c r="B471" s="6">
        <f>O465+B464</f>
        <v>-7.4991983678460388</v>
      </c>
      <c r="C471" s="3"/>
      <c r="E471" s="11" t="s">
        <v>11</v>
      </c>
      <c r="F471" s="1">
        <f>-B471*SIN(t.1)+a*SIN(C468)+b*SIN(C470)-c.*SIN(t.4)</f>
        <v>0</v>
      </c>
      <c r="H471" s="3">
        <f>-b*SIN(C470)</f>
        <v>9.8076211353316844E-2</v>
      </c>
      <c r="I471" s="3">
        <f>-COS(B428)</f>
        <v>-0.3974157895973503</v>
      </c>
      <c r="J471" s="4"/>
      <c r="K471" s="3" cm="1">
        <f t="array" ref="K471:L472">MINVERSE(H471:I472)</f>
        <v>0.37088676762982165</v>
      </c>
      <c r="L471" s="3">
        <v>-0.16062559893910797</v>
      </c>
      <c r="M471" s="3">
        <f>-F470</f>
        <v>1.531435568635775E-16</v>
      </c>
      <c r="O471" s="1" cm="1">
        <f t="array" ref="O471:O472">MMULT(K471:L472,M471:M472)</f>
        <v>5.6798918788466044E-17</v>
      </c>
    </row>
    <row r="472" spans="1:15" x14ac:dyDescent="0.35">
      <c r="H472" s="3">
        <f>b*COS(C470)</f>
        <v>-5.9991983678460397</v>
      </c>
      <c r="I472" s="3">
        <f>-SIN(B428)</f>
        <v>-0.91763864902188741</v>
      </c>
      <c r="J472" s="4"/>
      <c r="K472" s="3">
        <v>-2.4247270898977233</v>
      </c>
      <c r="L472" s="3">
        <v>-3.963997053631433E-2</v>
      </c>
      <c r="M472" s="3">
        <f>-F471</f>
        <v>0</v>
      </c>
      <c r="O472" s="1">
        <v>-3.7133133097040878E-16</v>
      </c>
    </row>
    <row r="474" spans="1:15" x14ac:dyDescent="0.35">
      <c r="A474" s="9" t="s">
        <v>6</v>
      </c>
      <c r="C474" s="2" t="s">
        <v>4</v>
      </c>
    </row>
    <row r="475" spans="1:15" x14ac:dyDescent="0.35">
      <c r="A475" s="2" t="s">
        <v>5</v>
      </c>
      <c r="B475" s="6">
        <v>0</v>
      </c>
      <c r="C475" s="3">
        <f>B475*PI()/180</f>
        <v>0</v>
      </c>
    </row>
    <row r="476" spans="1:15" x14ac:dyDescent="0.35">
      <c r="A476" s="4"/>
      <c r="B476" s="4"/>
      <c r="C476" s="1"/>
      <c r="H476" s="18" t="s">
        <v>12</v>
      </c>
      <c r="I476" s="18"/>
      <c r="J476" s="4"/>
      <c r="K476" s="18" t="s">
        <v>13</v>
      </c>
      <c r="L476" s="18"/>
      <c r="M476" s="19" t="s">
        <v>14</v>
      </c>
      <c r="O476" s="21" t="s">
        <v>15</v>
      </c>
    </row>
    <row r="477" spans="1:15" x14ac:dyDescent="0.35">
      <c r="A477" s="2" t="s">
        <v>7</v>
      </c>
      <c r="B477" s="6">
        <v>110</v>
      </c>
      <c r="C477" s="3">
        <f>B477*PI()/180</f>
        <v>1.9198621771937625</v>
      </c>
      <c r="E477" s="11" t="s">
        <v>10</v>
      </c>
      <c r="F477" s="1">
        <f>-B478*COS(t.1)+a*COS(C475)+b*COS(C477)-c.*COS(t.4)</f>
        <v>-5.0521208599540124</v>
      </c>
      <c r="H477" s="8" t="s">
        <v>7</v>
      </c>
      <c r="I477" s="8" t="s">
        <v>9</v>
      </c>
      <c r="J477" s="4"/>
      <c r="K477" s="8" t="s">
        <v>7</v>
      </c>
      <c r="L477" s="8" t="s">
        <v>9</v>
      </c>
      <c r="M477" s="20"/>
      <c r="O477" s="22"/>
    </row>
    <row r="478" spans="1:15" x14ac:dyDescent="0.35">
      <c r="A478" s="2" t="s">
        <v>9</v>
      </c>
      <c r="B478" s="6">
        <v>6</v>
      </c>
      <c r="C478" s="3"/>
      <c r="E478" s="11" t="s">
        <v>11</v>
      </c>
      <c r="F478" s="1">
        <f>-B478*SIN(t.1)+a*SIN(C475)+b*SIN(C477)-c.*SIN(t.4)</f>
        <v>3.1381557247154506</v>
      </c>
      <c r="H478" s="3">
        <f>-b*SIN(C477)</f>
        <v>-5.6381557247154506</v>
      </c>
      <c r="I478" s="3">
        <f>-COS(t.1)</f>
        <v>-1</v>
      </c>
      <c r="J478" s="4"/>
      <c r="K478" s="3" cm="1">
        <f t="array" ref="K478:L479">MINVERSE(H478:I479)</f>
        <v>0</v>
      </c>
      <c r="L478" s="3">
        <v>-0.48730073336051455</v>
      </c>
      <c r="M478" s="3">
        <f>-F477</f>
        <v>5.0521208599540124</v>
      </c>
      <c r="O478" s="1" cm="1">
        <f t="array" ref="O478:O479">MMULT(K478:L479,M478:M479)</f>
        <v>1.5292255860533361</v>
      </c>
    </row>
    <row r="479" spans="1:15" x14ac:dyDescent="0.35">
      <c r="H479" s="3">
        <f>b*COS(C477)</f>
        <v>-2.0521208599540124</v>
      </c>
      <c r="I479" s="3">
        <f>-SIN(t.1)</f>
        <v>0</v>
      </c>
      <c r="J479" s="4"/>
      <c r="K479" s="3">
        <v>-1</v>
      </c>
      <c r="L479" s="3">
        <v>2.7474774194546225</v>
      </c>
      <c r="M479" s="3">
        <f>-F478</f>
        <v>-3.1381557247154506</v>
      </c>
      <c r="O479" s="1">
        <v>-13.67413285234197</v>
      </c>
    </row>
    <row r="481" spans="1:15" x14ac:dyDescent="0.35">
      <c r="A481" s="9" t="s">
        <v>16</v>
      </c>
      <c r="C481" s="2" t="s">
        <v>4</v>
      </c>
    </row>
    <row r="482" spans="1:15" x14ac:dyDescent="0.35">
      <c r="A482" s="2" t="s">
        <v>5</v>
      </c>
      <c r="B482" s="6">
        <v>132</v>
      </c>
      <c r="C482" s="3">
        <f>B482*PI()/180</f>
        <v>2.3038346126325151</v>
      </c>
    </row>
    <row r="483" spans="1:15" x14ac:dyDescent="0.35">
      <c r="A483" s="4"/>
      <c r="B483" s="4"/>
      <c r="C483" s="1"/>
      <c r="H483" s="18" t="s">
        <v>12</v>
      </c>
      <c r="I483" s="18"/>
      <c r="J483" s="4"/>
      <c r="K483" s="18" t="s">
        <v>13</v>
      </c>
      <c r="L483" s="18"/>
      <c r="M483" s="19" t="s">
        <v>14</v>
      </c>
      <c r="O483" s="21" t="s">
        <v>15</v>
      </c>
    </row>
    <row r="484" spans="1:15" x14ac:dyDescent="0.35">
      <c r="A484" s="2" t="s">
        <v>7</v>
      </c>
      <c r="B484" s="6">
        <f>C484*180/PI()</f>
        <v>197.61817200427606</v>
      </c>
      <c r="C484" s="3">
        <f>O478+C477</f>
        <v>3.4490877632470989</v>
      </c>
      <c r="E484" s="11" t="s">
        <v>10</v>
      </c>
      <c r="F484" s="1">
        <f>-B485*COS(t.1)+a*COS(C482)+b*COS(C484)-c.*COS(t.4)</f>
        <v>-5.18272856766641E-2</v>
      </c>
      <c r="H484" s="8" t="s">
        <v>7</v>
      </c>
      <c r="I484" s="8" t="s">
        <v>9</v>
      </c>
      <c r="J484" s="4"/>
      <c r="K484" s="8" t="s">
        <v>7</v>
      </c>
      <c r="L484" s="8" t="s">
        <v>9</v>
      </c>
      <c r="M484" s="20"/>
      <c r="O484" s="22"/>
    </row>
    <row r="485" spans="1:15" x14ac:dyDescent="0.35">
      <c r="A485" s="2" t="s">
        <v>9</v>
      </c>
      <c r="B485" s="6">
        <f>O479+B478</f>
        <v>-7.6741328523419696</v>
      </c>
      <c r="C485" s="3"/>
      <c r="E485" s="11" t="s">
        <v>11</v>
      </c>
      <c r="F485" s="1">
        <f>-B485*SIN(t.1)+a*SIN(C482)+b*SIN(C484)-c.*SIN(t.4)</f>
        <v>-2.0865986679768604</v>
      </c>
      <c r="H485" s="3">
        <f>-b*SIN(C484)</f>
        <v>1.8160331444090434</v>
      </c>
      <c r="I485" s="3">
        <f>-COS(t.1)</f>
        <v>-1</v>
      </c>
      <c r="J485" s="4"/>
      <c r="K485" s="3" cm="1">
        <f t="array" ref="K485:L486">MINVERSE(H485:I486)</f>
        <v>0</v>
      </c>
      <c r="L485" s="3">
        <v>-0.1748689434534903</v>
      </c>
      <c r="M485" s="3">
        <f>-F484</f>
        <v>5.18272856766641E-2</v>
      </c>
      <c r="O485" s="1" cm="1">
        <f t="array" ref="O485:O486">MMULT(K485:L486,M485:M486)</f>
        <v>-0.36488130448057376</v>
      </c>
    </row>
    <row r="486" spans="1:15" x14ac:dyDescent="0.35">
      <c r="H486" s="3">
        <f>b*COS(C484)</f>
        <v>-5.7185683189420589</v>
      </c>
      <c r="I486" s="3">
        <f>-SIN(t.1)</f>
        <v>0</v>
      </c>
      <c r="J486" s="4"/>
      <c r="K486" s="3">
        <v>-1</v>
      </c>
      <c r="L486" s="3">
        <v>-0.31756779723932921</v>
      </c>
      <c r="M486" s="3">
        <f>-F485</f>
        <v>2.0865986679768604</v>
      </c>
      <c r="O486" s="1">
        <v>-0.71446382838859412</v>
      </c>
    </row>
    <row r="488" spans="1:15" x14ac:dyDescent="0.35">
      <c r="A488" s="9" t="s">
        <v>17</v>
      </c>
      <c r="C488" s="2" t="s">
        <v>4</v>
      </c>
    </row>
    <row r="489" spans="1:15" x14ac:dyDescent="0.35">
      <c r="A489" s="2" t="s">
        <v>5</v>
      </c>
      <c r="B489" s="6">
        <v>132</v>
      </c>
      <c r="C489" s="3">
        <f>B489*PI()/180</f>
        <v>2.3038346126325151</v>
      </c>
    </row>
    <row r="490" spans="1:15" x14ac:dyDescent="0.35">
      <c r="A490" s="4"/>
      <c r="B490" s="4"/>
      <c r="C490" s="1"/>
      <c r="H490" s="18" t="s">
        <v>12</v>
      </c>
      <c r="I490" s="18"/>
      <c r="J490" s="4"/>
      <c r="K490" s="18" t="s">
        <v>13</v>
      </c>
      <c r="L490" s="18"/>
      <c r="M490" s="19" t="s">
        <v>14</v>
      </c>
      <c r="O490" s="21" t="s">
        <v>15</v>
      </c>
    </row>
    <row r="491" spans="1:15" x14ac:dyDescent="0.35">
      <c r="A491" s="2" t="s">
        <v>7</v>
      </c>
      <c r="B491" s="6">
        <f>C491*180/PI()</f>
        <v>176.71201323431126</v>
      </c>
      <c r="C491" s="3">
        <f>O485+C484</f>
        <v>3.0842064587665252</v>
      </c>
      <c r="E491" s="11" t="s">
        <v>10</v>
      </c>
      <c r="F491" s="1">
        <f>-B492*COS(t.1)+a*COS(C489)+b*COS(C491)-c.*COS(t.4)</f>
        <v>0.39108167676949251</v>
      </c>
      <c r="H491" s="8" t="s">
        <v>7</v>
      </c>
      <c r="I491" s="8" t="s">
        <v>9</v>
      </c>
      <c r="J491" s="4"/>
      <c r="K491" s="8" t="s">
        <v>7</v>
      </c>
      <c r="L491" s="8" t="s">
        <v>9</v>
      </c>
      <c r="M491" s="20"/>
      <c r="O491" s="22"/>
    </row>
    <row r="492" spans="1:15" x14ac:dyDescent="0.35">
      <c r="A492" s="2" t="s">
        <v>9</v>
      </c>
      <c r="B492" s="6">
        <f>O486+B485</f>
        <v>-8.3885966807305632</v>
      </c>
      <c r="C492" s="3"/>
      <c r="E492" s="11" t="s">
        <v>11</v>
      </c>
      <c r="F492" s="1">
        <f>-B492*SIN(t.1)+a*SIN(C489)+b*SIN(C491)-c.*SIN(t.4)</f>
        <v>7.3562693684443126E-2</v>
      </c>
      <c r="H492" s="3">
        <f>-b*SIN(C491)</f>
        <v>-0.34412821725226028</v>
      </c>
      <c r="I492" s="3">
        <f>-COS(t.1)</f>
        <v>-1</v>
      </c>
      <c r="J492" s="4"/>
      <c r="K492" s="3" cm="1">
        <f t="array" ref="K492:L493">MINVERSE(H492:I493)</f>
        <v>0</v>
      </c>
      <c r="L492" s="3">
        <v>-0.16694147501397041</v>
      </c>
      <c r="M492" s="3">
        <f>-F491</f>
        <v>-0.39108167676949251</v>
      </c>
      <c r="O492" s="1" cm="1">
        <f t="array" ref="O492:O493">MMULT(K492:L493,M492:M493)</f>
        <v>1.2280664589681821E-2</v>
      </c>
    </row>
    <row r="493" spans="1:15" x14ac:dyDescent="0.35">
      <c r="H493" s="3">
        <f>b*COS(C491)</f>
        <v>-5.9901231848844958</v>
      </c>
      <c r="I493" s="3">
        <f>-SIN(t.1)</f>
        <v>0</v>
      </c>
      <c r="J493" s="4"/>
      <c r="K493" s="3">
        <v>-1</v>
      </c>
      <c r="L493" s="3">
        <v>5.7449272182020394E-2</v>
      </c>
      <c r="M493" s="3">
        <f>-F492</f>
        <v>-7.3562693684443126E-2</v>
      </c>
      <c r="O493" s="1">
        <v>0.38685555355757234</v>
      </c>
    </row>
    <row r="495" spans="1:15" x14ac:dyDescent="0.35">
      <c r="A495" s="9" t="s">
        <v>18</v>
      </c>
      <c r="C495" s="2" t="s">
        <v>4</v>
      </c>
    </row>
    <row r="496" spans="1:15" x14ac:dyDescent="0.35">
      <c r="A496" s="2" t="s">
        <v>5</v>
      </c>
      <c r="B496" s="6">
        <v>132</v>
      </c>
      <c r="C496" s="3">
        <f>B496*PI()/180</f>
        <v>2.3038346126325151</v>
      </c>
    </row>
    <row r="497" spans="1:15" x14ac:dyDescent="0.35">
      <c r="A497" s="4"/>
      <c r="B497" s="4"/>
      <c r="C497" s="1"/>
      <c r="H497" s="18" t="s">
        <v>12</v>
      </c>
      <c r="I497" s="18"/>
      <c r="J497" s="4"/>
      <c r="K497" s="18" t="s">
        <v>13</v>
      </c>
      <c r="L497" s="18"/>
      <c r="M497" s="19" t="s">
        <v>14</v>
      </c>
      <c r="O497" s="21" t="s">
        <v>15</v>
      </c>
    </row>
    <row r="498" spans="1:15" x14ac:dyDescent="0.35">
      <c r="A498" s="2" t="s">
        <v>7</v>
      </c>
      <c r="B498" s="6">
        <f>C498*180/PI()</f>
        <v>177.41564348491579</v>
      </c>
      <c r="C498" s="3">
        <f>O492+C491</f>
        <v>3.0964871233562072</v>
      </c>
      <c r="E498" s="11" t="s">
        <v>10</v>
      </c>
      <c r="F498" s="1">
        <f>-B499*COS(t.1)+a*COS(C496)+b*COS(C498)-c.*COS(t.4)</f>
        <v>4.5179993297657324E-4</v>
      </c>
      <c r="H498" s="8" t="s">
        <v>7</v>
      </c>
      <c r="I498" s="8" t="s">
        <v>9</v>
      </c>
      <c r="J498" s="4"/>
      <c r="K498" s="8" t="s">
        <v>7</v>
      </c>
      <c r="L498" s="8" t="s">
        <v>9</v>
      </c>
      <c r="M498" s="20"/>
      <c r="O498" s="22"/>
    </row>
    <row r="499" spans="1:15" x14ac:dyDescent="0.35">
      <c r="A499" s="2" t="s">
        <v>9</v>
      </c>
      <c r="B499" s="6">
        <f>O493+B492</f>
        <v>-8.0017411271729912</v>
      </c>
      <c r="C499" s="3"/>
      <c r="E499" s="11" t="s">
        <v>11</v>
      </c>
      <c r="F499" s="1">
        <f>-B499*SIN(t.1)+a*SIN(C496)+b*SIN(C498)-c.*SIN(t.4)</f>
        <v>-2.4100432442608621E-5</v>
      </c>
      <c r="H499" s="3">
        <f>-b*SIN(C498)</f>
        <v>-0.27054142313537427</v>
      </c>
      <c r="I499" s="3">
        <f>-COS(t.1)</f>
        <v>-1</v>
      </c>
      <c r="J499" s="4"/>
      <c r="K499" s="3" cm="1">
        <f t="array" ref="K499:L500">MINVERSE(H499:I500)</f>
        <v>0</v>
      </c>
      <c r="L499" s="3">
        <v>-0.16683635291361615</v>
      </c>
      <c r="M499" s="3">
        <f>-F498</f>
        <v>-4.5179993297657324E-4</v>
      </c>
      <c r="O499" s="1" cm="1">
        <f t="array" ref="O499:O500">MMULT(K499:L500,M499:M500)</f>
        <v>-4.0208282523658158E-6</v>
      </c>
    </row>
    <row r="500" spans="1:15" x14ac:dyDescent="0.35">
      <c r="H500" s="3">
        <f>b*COS(C498)</f>
        <v>-5.9938975081634398</v>
      </c>
      <c r="I500" s="3">
        <f>-SIN(t.1)</f>
        <v>0</v>
      </c>
      <c r="J500" s="4"/>
      <c r="K500" s="3">
        <v>-1</v>
      </c>
      <c r="L500" s="3">
        <v>4.5136144347965257E-2</v>
      </c>
      <c r="M500" s="3">
        <f>-F499</f>
        <v>2.4100432442608621E-5</v>
      </c>
      <c r="O500" s="1">
        <v>4.528877335741512E-4</v>
      </c>
    </row>
    <row r="502" spans="1:15" x14ac:dyDescent="0.35">
      <c r="A502" s="9" t="s">
        <v>19</v>
      </c>
      <c r="C502" s="2" t="s">
        <v>4</v>
      </c>
    </row>
    <row r="503" spans="1:15" x14ac:dyDescent="0.35">
      <c r="A503" s="2" t="s">
        <v>5</v>
      </c>
      <c r="B503" s="6">
        <v>132</v>
      </c>
      <c r="C503" s="3">
        <f>B503*PI()/180</f>
        <v>2.3038346126325151</v>
      </c>
    </row>
    <row r="504" spans="1:15" x14ac:dyDescent="0.35">
      <c r="A504" s="4"/>
      <c r="B504" s="4"/>
      <c r="C504" s="1"/>
      <c r="H504" s="18" t="s">
        <v>12</v>
      </c>
      <c r="I504" s="18"/>
      <c r="J504" s="4"/>
      <c r="K504" s="18" t="s">
        <v>13</v>
      </c>
      <c r="L504" s="18"/>
      <c r="M504" s="19" t="s">
        <v>14</v>
      </c>
      <c r="O504" s="21" t="s">
        <v>15</v>
      </c>
    </row>
    <row r="505" spans="1:15" x14ac:dyDescent="0.35">
      <c r="A505" s="2" t="s">
        <v>7</v>
      </c>
      <c r="B505" s="6">
        <f>C505*180/PI()</f>
        <v>177.41541310842678</v>
      </c>
      <c r="C505" s="3">
        <f>O499+C498</f>
        <v>3.0964831025279547</v>
      </c>
      <c r="E505" s="11" t="s">
        <v>10</v>
      </c>
      <c r="F505" s="1">
        <f>-B506*COS(t.1)+a*COS(C503)+b*COS(C505)-c.*COS(t.4)</f>
        <v>4.8451756007924368E-11</v>
      </c>
      <c r="H505" s="8" t="s">
        <v>7</v>
      </c>
      <c r="I505" s="8" t="s">
        <v>9</v>
      </c>
      <c r="J505" s="4"/>
      <c r="K505" s="8" t="s">
        <v>7</v>
      </c>
      <c r="L505" s="8" t="s">
        <v>9</v>
      </c>
      <c r="M505" s="20"/>
      <c r="O505" s="22"/>
    </row>
    <row r="506" spans="1:15" x14ac:dyDescent="0.35">
      <c r="A506" s="2" t="s">
        <v>9</v>
      </c>
      <c r="B506" s="6">
        <f>O500+B499</f>
        <v>-8.0012882394394165</v>
      </c>
      <c r="C506" s="3"/>
      <c r="E506" s="11" t="s">
        <v>11</v>
      </c>
      <c r="F506" s="1">
        <f>-B506*SIN(t.1)+a*SIN(C503)+b*SIN(C505)-c.*SIN(t.4)</f>
        <v>-2.1858070908820082E-12</v>
      </c>
      <c r="H506" s="3">
        <f>-b*SIN(C505)</f>
        <v>-0.27056552356563113</v>
      </c>
      <c r="I506" s="3">
        <f>-COS(t.1)</f>
        <v>-1</v>
      </c>
      <c r="J506" s="4"/>
      <c r="K506" s="3" cm="1">
        <f t="array" ref="K506:L507">MINVERSE(H506:I507)</f>
        <v>0</v>
      </c>
      <c r="L506" s="3">
        <v>-0.16683638319321312</v>
      </c>
      <c r="M506" s="3">
        <f>-F505</f>
        <v>-4.8451756007924368E-11</v>
      </c>
      <c r="O506" s="1" cm="1">
        <f t="array" ref="O506:O507">MMULT(K506:L507,M506:M507)</f>
        <v>-3.6467214940083314E-13</v>
      </c>
    </row>
    <row r="507" spans="1:15" x14ac:dyDescent="0.35">
      <c r="H507" s="3">
        <f>b*COS(C505)</f>
        <v>-5.9938964203143899</v>
      </c>
      <c r="I507" s="3">
        <f>-SIN(t.1)</f>
        <v>0</v>
      </c>
      <c r="J507" s="4"/>
      <c r="K507" s="3">
        <v>-1</v>
      </c>
      <c r="L507" s="3">
        <v>4.514017336846797E-2</v>
      </c>
      <c r="M507" s="3">
        <f>-F506</f>
        <v>2.1858070908820082E-12</v>
      </c>
      <c r="O507" s="1">
        <v>4.8550423718956807E-11</v>
      </c>
    </row>
    <row r="509" spans="1:15" x14ac:dyDescent="0.35">
      <c r="A509" s="9" t="s">
        <v>20</v>
      </c>
      <c r="C509" s="2" t="s">
        <v>4</v>
      </c>
    </row>
    <row r="510" spans="1:15" x14ac:dyDescent="0.35">
      <c r="A510" s="2" t="s">
        <v>5</v>
      </c>
      <c r="B510" s="6">
        <v>132</v>
      </c>
      <c r="C510" s="3">
        <f>B510*PI()/180</f>
        <v>2.3038346126325151</v>
      </c>
    </row>
    <row r="511" spans="1:15" x14ac:dyDescent="0.35">
      <c r="A511" s="4"/>
      <c r="B511" s="4"/>
      <c r="C511" s="1"/>
      <c r="H511" s="18" t="s">
        <v>12</v>
      </c>
      <c r="I511" s="18"/>
      <c r="J511" s="4"/>
      <c r="K511" s="18" t="s">
        <v>13</v>
      </c>
      <c r="L511" s="18"/>
      <c r="M511" s="19" t="s">
        <v>14</v>
      </c>
      <c r="O511" s="21" t="s">
        <v>15</v>
      </c>
    </row>
    <row r="512" spans="1:15" x14ac:dyDescent="0.35">
      <c r="A512" s="2" t="s">
        <v>7</v>
      </c>
      <c r="B512" s="6">
        <f>C512*180/PI()</f>
        <v>177.41541310840591</v>
      </c>
      <c r="C512" s="3">
        <f>O506+C505</f>
        <v>3.0964831025275901</v>
      </c>
      <c r="E512" s="11" t="s">
        <v>10</v>
      </c>
      <c r="F512" s="1">
        <f>-B513*COS(t.1)+a*COS(C510)+b*COS(C512)-c.*COS(t.4)</f>
        <v>7.3503486283654773E-16</v>
      </c>
      <c r="H512" s="8" t="s">
        <v>7</v>
      </c>
      <c r="I512" s="8" t="s">
        <v>9</v>
      </c>
      <c r="J512" s="4"/>
      <c r="K512" s="8" t="s">
        <v>7</v>
      </c>
      <c r="L512" s="8" t="s">
        <v>9</v>
      </c>
      <c r="M512" s="20"/>
      <c r="O512" s="22"/>
    </row>
    <row r="513" spans="1:15" x14ac:dyDescent="0.35">
      <c r="A513" s="2" t="s">
        <v>9</v>
      </c>
      <c r="B513" s="6">
        <f>O507+B506</f>
        <v>-8.0012882393908669</v>
      </c>
      <c r="C513" s="3"/>
      <c r="E513" s="11" t="s">
        <v>11</v>
      </c>
      <c r="F513" s="1">
        <f>-B513*SIN(t.1)+a*SIN(C510)+b*SIN(C512)-c.*SIN(t.4)</f>
        <v>0</v>
      </c>
      <c r="H513" s="3">
        <f>-b*SIN(C512)</f>
        <v>-0.27056552356781649</v>
      </c>
      <c r="I513" s="3">
        <f>-COS(B470)</f>
        <v>-0.29076181896282088</v>
      </c>
      <c r="J513" s="4"/>
      <c r="K513" s="3" cm="1">
        <f t="array" ref="K513:L514">MINVERSE(H513:I514)</f>
        <v>-0.47799810478343857</v>
      </c>
      <c r="L513" s="3">
        <v>-0.14525946587331773</v>
      </c>
      <c r="M513" s="3">
        <f>-F512</f>
        <v>-7.3503486283654773E-16</v>
      </c>
      <c r="O513" s="1" cm="1">
        <f t="array" ref="O513:O514">MMULT(K513:L514,M513:M514)</f>
        <v>3.5134527138562456E-16</v>
      </c>
    </row>
    <row r="514" spans="1:15" x14ac:dyDescent="0.35">
      <c r="H514" s="3">
        <f>b*COS(C512)</f>
        <v>-5.9938964203142913</v>
      </c>
      <c r="I514" s="3">
        <f>-SIN(B470)</f>
        <v>0.95679546645739899</v>
      </c>
      <c r="J514" s="4"/>
      <c r="K514" s="3">
        <v>-2.9944447163682648</v>
      </c>
      <c r="L514" s="3">
        <v>0.13516975364025036</v>
      </c>
      <c r="M514" s="3">
        <f>-F513</f>
        <v>0</v>
      </c>
      <c r="O514" s="1">
        <v>2.2010212613673726E-15</v>
      </c>
    </row>
    <row r="516" spans="1:15" x14ac:dyDescent="0.35">
      <c r="A516" s="9" t="s">
        <v>6</v>
      </c>
      <c r="C516" s="2" t="s">
        <v>4</v>
      </c>
    </row>
    <row r="517" spans="1:15" x14ac:dyDescent="0.35">
      <c r="A517" s="2" t="s">
        <v>5</v>
      </c>
      <c r="B517" s="6">
        <v>0</v>
      </c>
      <c r="C517" s="3">
        <f>B517*PI()/180</f>
        <v>0</v>
      </c>
    </row>
    <row r="518" spans="1:15" x14ac:dyDescent="0.35">
      <c r="A518" s="4"/>
      <c r="B518" s="4"/>
      <c r="C518" s="1"/>
      <c r="H518" s="18" t="s">
        <v>12</v>
      </c>
      <c r="I518" s="18"/>
      <c r="J518" s="4"/>
      <c r="K518" s="18" t="s">
        <v>13</v>
      </c>
      <c r="L518" s="18"/>
      <c r="M518" s="19" t="s">
        <v>14</v>
      </c>
      <c r="O518" s="21" t="s">
        <v>15</v>
      </c>
    </row>
    <row r="519" spans="1:15" x14ac:dyDescent="0.35">
      <c r="A519" s="2" t="s">
        <v>7</v>
      </c>
      <c r="B519" s="6">
        <v>110</v>
      </c>
      <c r="C519" s="3">
        <f>B519*PI()/180</f>
        <v>1.9198621771937625</v>
      </c>
      <c r="E519" s="11" t="s">
        <v>10</v>
      </c>
      <c r="F519" s="1">
        <f>-B520*COS(t.1)+a*COS(C517)+b*COS(C519)-c.*COS(t.4)</f>
        <v>-5.0521208599540124</v>
      </c>
      <c r="H519" s="8" t="s">
        <v>7</v>
      </c>
      <c r="I519" s="8" t="s">
        <v>9</v>
      </c>
      <c r="J519" s="4"/>
      <c r="K519" s="8" t="s">
        <v>7</v>
      </c>
      <c r="L519" s="8" t="s">
        <v>9</v>
      </c>
      <c r="M519" s="20"/>
      <c r="O519" s="22"/>
    </row>
    <row r="520" spans="1:15" x14ac:dyDescent="0.35">
      <c r="A520" s="2" t="s">
        <v>9</v>
      </c>
      <c r="B520" s="6">
        <v>6</v>
      </c>
      <c r="C520" s="3"/>
      <c r="E520" s="11" t="s">
        <v>11</v>
      </c>
      <c r="F520" s="1">
        <f>-B520*SIN(t.1)+a*SIN(C517)+b*SIN(C519)-c.*SIN(t.4)</f>
        <v>3.1381557247154506</v>
      </c>
      <c r="H520" s="3">
        <f>-b*SIN(C519)</f>
        <v>-5.6381557247154506</v>
      </c>
      <c r="I520" s="3">
        <f>-COS(t.1)</f>
        <v>-1</v>
      </c>
      <c r="J520" s="4"/>
      <c r="K520" s="3" cm="1">
        <f t="array" ref="K520:L521">MINVERSE(H520:I521)</f>
        <v>0</v>
      </c>
      <c r="L520" s="3">
        <v>-0.48730073336051455</v>
      </c>
      <c r="M520" s="3">
        <f>-F519</f>
        <v>5.0521208599540124</v>
      </c>
      <c r="O520" s="1" cm="1">
        <f t="array" ref="O520:O521">MMULT(K520:L521,M520:M521)</f>
        <v>1.5292255860533361</v>
      </c>
    </row>
    <row r="521" spans="1:15" x14ac:dyDescent="0.35">
      <c r="H521" s="3">
        <f>b*COS(C519)</f>
        <v>-2.0521208599540124</v>
      </c>
      <c r="I521" s="3">
        <f>-SIN(t.1)</f>
        <v>0</v>
      </c>
      <c r="J521" s="4"/>
      <c r="K521" s="3">
        <v>-1</v>
      </c>
      <c r="L521" s="3">
        <v>2.7474774194546225</v>
      </c>
      <c r="M521" s="3">
        <f>-F520</f>
        <v>-3.1381557247154506</v>
      </c>
      <c r="O521" s="1">
        <v>-13.67413285234197</v>
      </c>
    </row>
    <row r="523" spans="1:15" x14ac:dyDescent="0.35">
      <c r="A523" s="9" t="s">
        <v>16</v>
      </c>
      <c r="C523" s="2" t="s">
        <v>4</v>
      </c>
    </row>
    <row r="524" spans="1:15" x14ac:dyDescent="0.35">
      <c r="A524" s="2" t="s">
        <v>5</v>
      </c>
      <c r="B524" s="6">
        <v>144</v>
      </c>
      <c r="C524" s="3">
        <f>B524*PI()/180</f>
        <v>2.5132741228718345</v>
      </c>
    </row>
    <row r="525" spans="1:15" x14ac:dyDescent="0.35">
      <c r="A525" s="4"/>
      <c r="B525" s="4"/>
      <c r="C525" s="1"/>
      <c r="H525" s="18" t="s">
        <v>12</v>
      </c>
      <c r="I525" s="18"/>
      <c r="J525" s="4"/>
      <c r="K525" s="18" t="s">
        <v>13</v>
      </c>
      <c r="L525" s="18"/>
      <c r="M525" s="19" t="s">
        <v>14</v>
      </c>
      <c r="O525" s="21" t="s">
        <v>15</v>
      </c>
    </row>
    <row r="526" spans="1:15" x14ac:dyDescent="0.35">
      <c r="A526" s="2" t="s">
        <v>7</v>
      </c>
      <c r="B526" s="6">
        <f>C526*180/PI()</f>
        <v>197.61817200427606</v>
      </c>
      <c r="C526" s="3">
        <f>O520+C519</f>
        <v>3.4490877632470989</v>
      </c>
      <c r="E526" s="11" t="s">
        <v>10</v>
      </c>
      <c r="F526" s="1">
        <f>-B527*COS(t.1)+a*COS(C524)+b*COS(C526)-c.*COS(t.4)</f>
        <v>-0.47148644972493087</v>
      </c>
      <c r="H526" s="8" t="s">
        <v>7</v>
      </c>
      <c r="I526" s="8" t="s">
        <v>9</v>
      </c>
      <c r="J526" s="4"/>
      <c r="K526" s="8" t="s">
        <v>7</v>
      </c>
      <c r="L526" s="8" t="s">
        <v>9</v>
      </c>
      <c r="M526" s="20"/>
      <c r="O526" s="22"/>
    </row>
    <row r="527" spans="1:15" x14ac:dyDescent="0.35">
      <c r="A527" s="2" t="s">
        <v>9</v>
      </c>
      <c r="B527" s="6">
        <f>O521+B520</f>
        <v>-7.6741328523419696</v>
      </c>
      <c r="C527" s="3"/>
      <c r="E527" s="11" t="s">
        <v>11</v>
      </c>
      <c r="F527" s="1">
        <f>-B527*SIN(t.1)+a*SIN(C524)+b*SIN(C526)-c.*SIN(t.4)</f>
        <v>-2.5526773875316238</v>
      </c>
      <c r="H527" s="3">
        <f>-b*SIN(C526)</f>
        <v>1.8160331444090434</v>
      </c>
      <c r="I527" s="3">
        <f>-COS(t.1)</f>
        <v>-1</v>
      </c>
      <c r="J527" s="4"/>
      <c r="K527" s="3" cm="1">
        <f t="array" ref="K527:L528">MINVERSE(H527:I528)</f>
        <v>0</v>
      </c>
      <c r="L527" s="3">
        <v>-0.1748689434534903</v>
      </c>
      <c r="M527" s="3">
        <f>-F526</f>
        <v>0.47148644972493087</v>
      </c>
      <c r="O527" s="1" cm="1">
        <f t="array" ref="O527:O528">MMULT(K527:L528,M527:M528)</f>
        <v>-0.44638399773527088</v>
      </c>
    </row>
    <row r="528" spans="1:15" x14ac:dyDescent="0.35">
      <c r="H528" s="3">
        <f>b*COS(C526)</f>
        <v>-5.7185683189420589</v>
      </c>
      <c r="I528" s="3">
        <f>-SIN(t.1)</f>
        <v>0</v>
      </c>
      <c r="J528" s="4"/>
      <c r="K528" s="3">
        <v>-1</v>
      </c>
      <c r="L528" s="3">
        <v>-0.31756779723932921</v>
      </c>
      <c r="M528" s="3">
        <f>-F527</f>
        <v>2.5526773875316238</v>
      </c>
      <c r="O528" s="1">
        <v>-1.2821345847459942</v>
      </c>
    </row>
    <row r="530" spans="1:15" x14ac:dyDescent="0.35">
      <c r="A530" s="9" t="s">
        <v>17</v>
      </c>
      <c r="C530" s="2" t="s">
        <v>4</v>
      </c>
    </row>
    <row r="531" spans="1:15" x14ac:dyDescent="0.35">
      <c r="A531" s="2" t="s">
        <v>5</v>
      </c>
      <c r="B531" s="6">
        <v>144</v>
      </c>
      <c r="C531" s="3">
        <f>B531*PI()/180</f>
        <v>2.5132741228718345</v>
      </c>
    </row>
    <row r="532" spans="1:15" x14ac:dyDescent="0.35">
      <c r="A532" s="4"/>
      <c r="B532" s="4"/>
      <c r="C532" s="1"/>
      <c r="H532" s="18" t="s">
        <v>12</v>
      </c>
      <c r="I532" s="18"/>
      <c r="J532" s="4"/>
      <c r="K532" s="18" t="s">
        <v>13</v>
      </c>
      <c r="L532" s="18"/>
      <c r="M532" s="19" t="s">
        <v>14</v>
      </c>
      <c r="O532" s="21" t="s">
        <v>15</v>
      </c>
    </row>
    <row r="533" spans="1:15" x14ac:dyDescent="0.35">
      <c r="A533" s="2" t="s">
        <v>7</v>
      </c>
      <c r="B533" s="6">
        <f>C533*180/PI()</f>
        <v>172.04225289186775</v>
      </c>
      <c r="C533" s="3">
        <f>O527+C526</f>
        <v>3.002703765511828</v>
      </c>
      <c r="E533" s="11" t="s">
        <v>10</v>
      </c>
      <c r="F533" s="1">
        <f>-B534*COS(t.1)+a*COS(C531)+b*COS(C533)-c.*COS(t.4)</f>
        <v>0.58699385624043099</v>
      </c>
      <c r="H533" s="8" t="s">
        <v>7</v>
      </c>
      <c r="I533" s="8" t="s">
        <v>9</v>
      </c>
      <c r="J533" s="4"/>
      <c r="K533" s="8" t="s">
        <v>7</v>
      </c>
      <c r="L533" s="8" t="s">
        <v>9</v>
      </c>
      <c r="M533" s="20"/>
      <c r="O533" s="22"/>
    </row>
    <row r="534" spans="1:15" x14ac:dyDescent="0.35">
      <c r="A534" s="2" t="s">
        <v>9</v>
      </c>
      <c r="B534" s="6">
        <f>O528+B527</f>
        <v>-8.9562674370879645</v>
      </c>
      <c r="C534" s="3"/>
      <c r="E534" s="11" t="s">
        <v>11</v>
      </c>
      <c r="F534" s="1">
        <f>-B534*SIN(t.1)+a*SIN(C531)+b*SIN(C533)-c.*SIN(t.4)</f>
        <v>9.4012484481421854E-2</v>
      </c>
      <c r="H534" s="3">
        <f>-b*SIN(C533)</f>
        <v>-0.83065672760400233</v>
      </c>
      <c r="I534" s="3">
        <f>-COS(t.1)</f>
        <v>-1</v>
      </c>
      <c r="J534" s="4"/>
      <c r="K534" s="3" cm="1">
        <f t="array" ref="K534:L535">MINVERSE(H534:I535)</f>
        <v>0</v>
      </c>
      <c r="L534" s="3">
        <v>-0.1682871995376346</v>
      </c>
      <c r="M534" s="3">
        <f>-F533</f>
        <v>-0.58699385624043099</v>
      </c>
      <c r="O534" s="1" cm="1">
        <f t="array" ref="O534:O535">MMULT(K534:L535,M534:M535)</f>
        <v>1.5821097734953816E-2</v>
      </c>
    </row>
    <row r="535" spans="1:15" x14ac:dyDescent="0.35">
      <c r="H535" s="3">
        <f>b*COS(C533)</f>
        <v>-5.9422225977226919</v>
      </c>
      <c r="I535" s="3">
        <f>-SIN(t.1)</f>
        <v>0</v>
      </c>
      <c r="J535" s="4"/>
      <c r="K535" s="3">
        <v>-1</v>
      </c>
      <c r="L535" s="3">
        <v>0.13978889446557333</v>
      </c>
      <c r="M535" s="3">
        <f>-F534</f>
        <v>-9.4012484481421854E-2</v>
      </c>
      <c r="O535" s="1">
        <v>0.57385195496881114</v>
      </c>
    </row>
    <row r="537" spans="1:15" x14ac:dyDescent="0.35">
      <c r="A537" s="9" t="s">
        <v>18</v>
      </c>
      <c r="C537" s="2" t="s">
        <v>4</v>
      </c>
    </row>
    <row r="538" spans="1:15" x14ac:dyDescent="0.35">
      <c r="A538" s="2" t="s">
        <v>5</v>
      </c>
      <c r="B538" s="6">
        <v>144</v>
      </c>
      <c r="C538" s="3">
        <f>B538*PI()/180</f>
        <v>2.5132741228718345</v>
      </c>
    </row>
    <row r="539" spans="1:15" x14ac:dyDescent="0.35">
      <c r="A539" s="4"/>
      <c r="B539" s="4"/>
      <c r="C539" s="1"/>
      <c r="H539" s="18" t="s">
        <v>12</v>
      </c>
      <c r="I539" s="18"/>
      <c r="J539" s="4"/>
      <c r="K539" s="18" t="s">
        <v>13</v>
      </c>
      <c r="L539" s="18"/>
      <c r="M539" s="19" t="s">
        <v>14</v>
      </c>
      <c r="O539" s="21" t="s">
        <v>15</v>
      </c>
    </row>
    <row r="540" spans="1:15" x14ac:dyDescent="0.35">
      <c r="A540" s="2" t="s">
        <v>7</v>
      </c>
      <c r="B540" s="6">
        <f>C540*180/PI()</f>
        <v>172.94873501934461</v>
      </c>
      <c r="C540" s="3">
        <f>O534+C533</f>
        <v>3.0185248632467818</v>
      </c>
      <c r="E540" s="11" t="s">
        <v>10</v>
      </c>
      <c r="F540" s="1">
        <f>-B541*COS(t.1)+a*COS(C538)+b*COS(C540)-c.*COS(t.4)</f>
        <v>7.4422308526751703E-4</v>
      </c>
      <c r="H540" s="8" t="s">
        <v>7</v>
      </c>
      <c r="I540" s="8" t="s">
        <v>9</v>
      </c>
      <c r="J540" s="4"/>
      <c r="K540" s="8" t="s">
        <v>7</v>
      </c>
      <c r="L540" s="8" t="s">
        <v>9</v>
      </c>
      <c r="M540" s="20"/>
      <c r="O540" s="22"/>
    </row>
    <row r="541" spans="1:15" x14ac:dyDescent="0.35">
      <c r="A541" s="2" t="s">
        <v>9</v>
      </c>
      <c r="B541" s="6">
        <f>O535+B534</f>
        <v>-8.3824154821191534</v>
      </c>
      <c r="C541" s="3"/>
      <c r="E541" s="11" t="s">
        <v>11</v>
      </c>
      <c r="F541" s="1">
        <f>-B541*SIN(t.1)+a*SIN(C538)+b*SIN(C540)-c.*SIN(t.4)</f>
        <v>-1.0003553358517436E-4</v>
      </c>
      <c r="H541" s="3">
        <f>-b*SIN(C540)</f>
        <v>-0.73654420758899519</v>
      </c>
      <c r="I541" s="3">
        <f>-COS(t.1)</f>
        <v>-1</v>
      </c>
      <c r="J541" s="4"/>
      <c r="K541" s="3" cm="1">
        <f t="array" ref="K541:L542">MINVERSE(H541:I542)</f>
        <v>0</v>
      </c>
      <c r="L541" s="3">
        <v>-0.16793682110104627</v>
      </c>
      <c r="M541" s="3">
        <f>-F540</f>
        <v>-7.4422308526751703E-4</v>
      </c>
      <c r="O541" s="1" cm="1">
        <f t="array" ref="O541:O542">MMULT(K541:L542,M541:M542)</f>
        <v>-1.6799649507441133E-5</v>
      </c>
    </row>
    <row r="542" spans="1:15" x14ac:dyDescent="0.35">
      <c r="H542" s="3">
        <f>b*COS(C540)</f>
        <v>-5.9546202759090443</v>
      </c>
      <c r="I542" s="3">
        <f>-SIN(t.1)</f>
        <v>0</v>
      </c>
      <c r="J542" s="4"/>
      <c r="K542" s="3">
        <v>-1</v>
      </c>
      <c r="L542" s="3">
        <v>0.12369289282288498</v>
      </c>
      <c r="M542" s="3">
        <f>-F541</f>
        <v>1.0003553358517436E-4</v>
      </c>
      <c r="O542" s="1">
        <v>7.5659676980174807E-4</v>
      </c>
    </row>
    <row r="544" spans="1:15" x14ac:dyDescent="0.35">
      <c r="A544" s="9" t="s">
        <v>19</v>
      </c>
      <c r="C544" s="2" t="s">
        <v>4</v>
      </c>
    </row>
    <row r="545" spans="1:15" x14ac:dyDescent="0.35">
      <c r="A545" s="2" t="s">
        <v>5</v>
      </c>
      <c r="B545" s="6">
        <v>144</v>
      </c>
      <c r="C545" s="3">
        <f>B545*PI()/180</f>
        <v>2.5132741228718345</v>
      </c>
    </row>
    <row r="546" spans="1:15" x14ac:dyDescent="0.35">
      <c r="A546" s="4"/>
      <c r="B546" s="4"/>
      <c r="C546" s="1"/>
      <c r="H546" s="18" t="s">
        <v>12</v>
      </c>
      <c r="I546" s="18"/>
      <c r="J546" s="4"/>
      <c r="K546" s="18" t="s">
        <v>13</v>
      </c>
      <c r="L546" s="18"/>
      <c r="M546" s="19" t="s">
        <v>14</v>
      </c>
      <c r="O546" s="21" t="s">
        <v>15</v>
      </c>
    </row>
    <row r="547" spans="1:15" x14ac:dyDescent="0.35">
      <c r="A547" s="2" t="s">
        <v>7</v>
      </c>
      <c r="B547" s="6">
        <f>C547*180/PI()</f>
        <v>172.94777247033051</v>
      </c>
      <c r="C547" s="3">
        <f>O541+C540</f>
        <v>3.0185080635972743</v>
      </c>
      <c r="E547" s="11" t="s">
        <v>10</v>
      </c>
      <c r="F547" s="1">
        <f>-B548*COS(t.1)+a*COS(C545)+b*COS(C547)-c.*COS(t.4)</f>
        <v>8.4028058073898002E-10</v>
      </c>
      <c r="H547" s="8" t="s">
        <v>7</v>
      </c>
      <c r="I547" s="8" t="s">
        <v>9</v>
      </c>
      <c r="J547" s="4"/>
      <c r="K547" s="8" t="s">
        <v>7</v>
      </c>
      <c r="L547" s="8" t="s">
        <v>9</v>
      </c>
      <c r="M547" s="20"/>
      <c r="O547" s="22"/>
    </row>
    <row r="548" spans="1:15" x14ac:dyDescent="0.35">
      <c r="A548" s="2" t="s">
        <v>9</v>
      </c>
      <c r="B548" s="6">
        <f>O542+B541</f>
        <v>-8.381658885349351</v>
      </c>
      <c r="C548" s="3"/>
      <c r="E548" s="11" t="s">
        <v>11</v>
      </c>
      <c r="F548" s="1">
        <f>-B548*SIN(t.1)+a*SIN(C545)+b*SIN(C547)-c.*SIN(t.4)</f>
        <v>-1.0394085592224656E-10</v>
      </c>
      <c r="H548" s="3">
        <f>-b*SIN(C547)</f>
        <v>-0.73664424301863929</v>
      </c>
      <c r="I548" s="3">
        <f>-COS(t.1)</f>
        <v>-1</v>
      </c>
      <c r="J548" s="4"/>
      <c r="K548" s="3" cm="1">
        <f t="array" ref="K548:L549">MINVERSE(H548:I549)</f>
        <v>0</v>
      </c>
      <c r="L548" s="3">
        <v>-0.16793717009772155</v>
      </c>
      <c r="M548" s="3">
        <f>-F547</f>
        <v>-8.4028058073898002E-10</v>
      </c>
      <c r="O548" s="1" cm="1">
        <f t="array" ref="O548:O549">MMULT(K548:L549,M548:M549)</f>
        <v>-1.7455533201117088E-11</v>
      </c>
    </row>
    <row r="549" spans="1:15" x14ac:dyDescent="0.35">
      <c r="H549" s="3">
        <f>b*COS(C547)</f>
        <v>-5.9546079013842288</v>
      </c>
      <c r="I549" s="3">
        <f>-SIN(t.1)</f>
        <v>0</v>
      </c>
      <c r="J549" s="4"/>
      <c r="K549" s="3">
        <v>-1</v>
      </c>
      <c r="L549" s="3">
        <v>0.12370994954132856</v>
      </c>
      <c r="M549" s="3">
        <f>-F548</f>
        <v>1.0394085592224656E-10</v>
      </c>
      <c r="O549" s="1">
        <v>8.531390987804036E-10</v>
      </c>
    </row>
    <row r="551" spans="1:15" x14ac:dyDescent="0.35">
      <c r="A551" s="9" t="s">
        <v>20</v>
      </c>
      <c r="C551" s="2" t="s">
        <v>4</v>
      </c>
    </row>
    <row r="552" spans="1:15" x14ac:dyDescent="0.35">
      <c r="A552" s="2" t="s">
        <v>5</v>
      </c>
      <c r="B552" s="6">
        <v>144</v>
      </c>
      <c r="C552" s="3">
        <f>B552*PI()/180</f>
        <v>2.5132741228718345</v>
      </c>
    </row>
    <row r="553" spans="1:15" x14ac:dyDescent="0.35">
      <c r="A553" s="4"/>
      <c r="B553" s="4"/>
      <c r="C553" s="1"/>
      <c r="H553" s="18" t="s">
        <v>12</v>
      </c>
      <c r="I553" s="18"/>
      <c r="J553" s="4"/>
      <c r="K553" s="18" t="s">
        <v>13</v>
      </c>
      <c r="L553" s="18"/>
      <c r="M553" s="19" t="s">
        <v>14</v>
      </c>
      <c r="O553" s="21" t="s">
        <v>15</v>
      </c>
    </row>
    <row r="554" spans="1:15" x14ac:dyDescent="0.35">
      <c r="A554" s="2" t="s">
        <v>7</v>
      </c>
      <c r="B554" s="6">
        <f>C554*180/PI()</f>
        <v>172.94777246933037</v>
      </c>
      <c r="C554" s="3">
        <f>O548+C547</f>
        <v>3.0185080635798189</v>
      </c>
      <c r="E554" s="11" t="s">
        <v>10</v>
      </c>
      <c r="F554" s="1">
        <f>-B555*COS(t.1)+a*COS(C552)+b*COS(C554)-c.*COS(t.4)</f>
        <v>-1.0413219765637027E-15</v>
      </c>
      <c r="H554" s="8" t="s">
        <v>7</v>
      </c>
      <c r="I554" s="8" t="s">
        <v>9</v>
      </c>
      <c r="J554" s="4"/>
      <c r="K554" s="8" t="s">
        <v>7</v>
      </c>
      <c r="L554" s="8" t="s">
        <v>9</v>
      </c>
      <c r="M554" s="20"/>
      <c r="O554" s="22"/>
    </row>
    <row r="555" spans="1:15" x14ac:dyDescent="0.35">
      <c r="A555" s="2" t="s">
        <v>9</v>
      </c>
      <c r="B555" s="6">
        <f>O549+B548</f>
        <v>-8.3816588844962112</v>
      </c>
      <c r="C555" s="3"/>
      <c r="E555" s="11" t="s">
        <v>11</v>
      </c>
      <c r="F555" s="1">
        <f>-B555*SIN(t.1)+a*SIN(C552)+b*SIN(C554)-c.*SIN(t.4)</f>
        <v>0</v>
      </c>
      <c r="H555" s="3">
        <f>-b*SIN(C554)</f>
        <v>-0.73664424312257926</v>
      </c>
      <c r="I555" s="3">
        <f>-COS(B512)</f>
        <v>-8.4471040321619395E-2</v>
      </c>
      <c r="J555" s="4"/>
      <c r="K555" s="3" cm="1">
        <f t="array" ref="K555:L556">MINVERSE(H555:I556)</f>
        <v>-4.3131680048478751</v>
      </c>
      <c r="L555" s="3">
        <v>0.36564462622135946</v>
      </c>
      <c r="M555" s="3">
        <f>-F554</f>
        <v>1.0413219765637027E-15</v>
      </c>
      <c r="O555" s="1" cm="1">
        <f t="array" ref="O555:O556">MMULT(K555:L556,M555:M556)</f>
        <v>-4.4913966320595117E-15</v>
      </c>
    </row>
    <row r="556" spans="1:15" x14ac:dyDescent="0.35">
      <c r="H556" s="3">
        <f>b*COS(C554)</f>
        <v>-5.9546079013713706</v>
      </c>
      <c r="I556" s="3">
        <f>-SIN(B512)</f>
        <v>-0.99642593470211493</v>
      </c>
      <c r="J556" s="4"/>
      <c r="K556" s="3">
        <v>25.775347055059779</v>
      </c>
      <c r="L556" s="3">
        <v>-3.1886668840484815</v>
      </c>
      <c r="M556" s="3">
        <f>-F555</f>
        <v>0</v>
      </c>
      <c r="O556" s="1">
        <v>2.6840435341990264E-14</v>
      </c>
    </row>
    <row r="557" spans="1:15" s="17" customFormat="1" x14ac:dyDescent="0.35"/>
    <row r="558" spans="1:15" x14ac:dyDescent="0.35">
      <c r="A558" s="9" t="s">
        <v>6</v>
      </c>
      <c r="C558" s="2" t="s">
        <v>4</v>
      </c>
    </row>
    <row r="559" spans="1:15" x14ac:dyDescent="0.35">
      <c r="A559" s="2" t="s">
        <v>5</v>
      </c>
      <c r="B559" s="6">
        <v>0</v>
      </c>
      <c r="C559" s="3">
        <f>B559*PI()/180</f>
        <v>0</v>
      </c>
    </row>
    <row r="560" spans="1:15" x14ac:dyDescent="0.35">
      <c r="A560" s="4"/>
      <c r="B560" s="4"/>
      <c r="C560" s="1"/>
      <c r="H560" s="18" t="s">
        <v>12</v>
      </c>
      <c r="I560" s="18"/>
      <c r="J560" s="4"/>
      <c r="K560" s="18" t="s">
        <v>13</v>
      </c>
      <c r="L560" s="18"/>
      <c r="M560" s="19" t="s">
        <v>14</v>
      </c>
      <c r="O560" s="21" t="s">
        <v>15</v>
      </c>
    </row>
    <row r="561" spans="1:15" x14ac:dyDescent="0.35">
      <c r="A561" s="2" t="s">
        <v>7</v>
      </c>
      <c r="B561" s="6">
        <v>110</v>
      </c>
      <c r="C561" s="3">
        <f>B561*PI()/180</f>
        <v>1.9198621771937625</v>
      </c>
      <c r="E561" s="11" t="s">
        <v>10</v>
      </c>
      <c r="F561" s="1">
        <f>-B562*COS(t.1)+a*COS(C559)+b*COS(C561)-c.*COS(t.4)</f>
        <v>-5.0521208599540124</v>
      </c>
      <c r="H561" s="8" t="s">
        <v>7</v>
      </c>
      <c r="I561" s="8" t="s">
        <v>9</v>
      </c>
      <c r="J561" s="4"/>
      <c r="K561" s="8" t="s">
        <v>7</v>
      </c>
      <c r="L561" s="8" t="s">
        <v>9</v>
      </c>
      <c r="M561" s="20"/>
      <c r="O561" s="22"/>
    </row>
    <row r="562" spans="1:15" x14ac:dyDescent="0.35">
      <c r="A562" s="2" t="s">
        <v>9</v>
      </c>
      <c r="B562" s="6">
        <v>6</v>
      </c>
      <c r="C562" s="3"/>
      <c r="E562" s="11" t="s">
        <v>11</v>
      </c>
      <c r="F562" s="1">
        <f>-B562*SIN(t.1)+a*SIN(C559)+b*SIN(C561)-c.*SIN(t.4)</f>
        <v>3.1381557247154506</v>
      </c>
      <c r="H562" s="3">
        <f>-b*SIN(C561)</f>
        <v>-5.6381557247154506</v>
      </c>
      <c r="I562" s="3">
        <f>-COS(t.1)</f>
        <v>-1</v>
      </c>
      <c r="J562" s="4"/>
      <c r="K562" s="3" cm="1">
        <f t="array" ref="K562:L563">MINVERSE(H562:I563)</f>
        <v>0</v>
      </c>
      <c r="L562" s="3">
        <v>-0.48730073336051455</v>
      </c>
      <c r="M562" s="3">
        <f>-F561</f>
        <v>5.0521208599540124</v>
      </c>
      <c r="O562" s="1" cm="1">
        <f t="array" ref="O562:O563">MMULT(K562:L563,M562:M563)</f>
        <v>1.5292255860533361</v>
      </c>
    </row>
    <row r="563" spans="1:15" x14ac:dyDescent="0.35">
      <c r="H563" s="3">
        <f>b*COS(C561)</f>
        <v>-2.0521208599540124</v>
      </c>
      <c r="I563" s="3">
        <f>-SIN(t.1)</f>
        <v>0</v>
      </c>
      <c r="J563" s="4"/>
      <c r="K563" s="3">
        <v>-1</v>
      </c>
      <c r="L563" s="3">
        <v>2.7474774194546225</v>
      </c>
      <c r="M563" s="3">
        <f>-F562</f>
        <v>-3.1381557247154506</v>
      </c>
      <c r="O563" s="1">
        <v>-13.67413285234197</v>
      </c>
    </row>
    <row r="565" spans="1:15" x14ac:dyDescent="0.35">
      <c r="A565" s="9" t="s">
        <v>16</v>
      </c>
      <c r="C565" s="2" t="s">
        <v>4</v>
      </c>
    </row>
    <row r="566" spans="1:15" x14ac:dyDescent="0.35">
      <c r="A566" s="2" t="s">
        <v>5</v>
      </c>
      <c r="B566" s="6">
        <f>144+12</f>
        <v>156</v>
      </c>
      <c r="C566" s="3">
        <f>B566*PI()/180</f>
        <v>2.7227136331111539</v>
      </c>
    </row>
    <row r="567" spans="1:15" x14ac:dyDescent="0.35">
      <c r="A567" s="4"/>
      <c r="B567" s="4"/>
      <c r="C567" s="1"/>
      <c r="H567" s="18" t="s">
        <v>12</v>
      </c>
      <c r="I567" s="18"/>
      <c r="J567" s="4"/>
      <c r="K567" s="18" t="s">
        <v>13</v>
      </c>
      <c r="L567" s="18"/>
      <c r="M567" s="19" t="s">
        <v>14</v>
      </c>
      <c r="O567" s="21" t="s">
        <v>15</v>
      </c>
    </row>
    <row r="568" spans="1:15" x14ac:dyDescent="0.35">
      <c r="A568" s="2" t="s">
        <v>7</v>
      </c>
      <c r="B568" s="6">
        <f>C568*180/PI()</f>
        <v>197.61817200427606</v>
      </c>
      <c r="C568" s="3">
        <f>O562+C561</f>
        <v>3.4490877632470989</v>
      </c>
      <c r="E568" s="11" t="s">
        <v>10</v>
      </c>
      <c r="F568" s="1">
        <f>-B569*COS(t.1)+a*COS(C566)+b*COS(C568)-c.*COS(t.4)</f>
        <v>-0.78507183952789206</v>
      </c>
      <c r="H568" s="8" t="s">
        <v>7</v>
      </c>
      <c r="I568" s="8" t="s">
        <v>9</v>
      </c>
      <c r="J568" s="4"/>
      <c r="K568" s="8" t="s">
        <v>7</v>
      </c>
      <c r="L568" s="8" t="s">
        <v>9</v>
      </c>
      <c r="M568" s="20"/>
      <c r="O568" s="22"/>
    </row>
    <row r="569" spans="1:15" x14ac:dyDescent="0.35">
      <c r="A569" s="2" t="s">
        <v>9</v>
      </c>
      <c r="B569" s="6">
        <f>O563+B562</f>
        <v>-7.6741328523419696</v>
      </c>
      <c r="C569" s="3"/>
      <c r="E569" s="11" t="s">
        <v>11</v>
      </c>
      <c r="F569" s="1">
        <f>-B569*SIN(t.1)+a*SIN(C566)+b*SIN(C568)-c.*SIN(t.4)</f>
        <v>-3.0958232151816421</v>
      </c>
      <c r="H569" s="3">
        <f>-b*SIN(C568)</f>
        <v>1.8160331444090434</v>
      </c>
      <c r="I569" s="3">
        <f>-COS(t.1)</f>
        <v>-1</v>
      </c>
      <c r="J569" s="4"/>
      <c r="K569" s="3" cm="1">
        <f t="array" ref="K569:L570">MINVERSE(H569:I570)</f>
        <v>0</v>
      </c>
      <c r="L569" s="3">
        <v>-0.1748689434534903</v>
      </c>
      <c r="M569" s="3">
        <f>-F568</f>
        <v>0.78507183952789206</v>
      </c>
      <c r="O569" s="1" cm="1">
        <f t="array" ref="O569:O570">MMULT(K569:L570,M569:M570)</f>
        <v>-0.54136333475760112</v>
      </c>
    </row>
    <row r="570" spans="1:15" x14ac:dyDescent="0.35">
      <c r="H570" s="3">
        <f>b*COS(C568)</f>
        <v>-5.7185683189420589</v>
      </c>
      <c r="I570" s="3">
        <f>-SIN(t.1)</f>
        <v>0</v>
      </c>
      <c r="J570" s="4"/>
      <c r="K570" s="3">
        <v>-1</v>
      </c>
      <c r="L570" s="3">
        <v>-0.31756779723932921</v>
      </c>
      <c r="M570" s="3">
        <f>-F569</f>
        <v>3.0958232151816421</v>
      </c>
      <c r="O570" s="1">
        <v>-1.7682055986155039</v>
      </c>
    </row>
    <row r="572" spans="1:15" x14ac:dyDescent="0.35">
      <c r="A572" s="9" t="s">
        <v>17</v>
      </c>
      <c r="C572" s="2" t="s">
        <v>4</v>
      </c>
    </row>
    <row r="573" spans="1:15" x14ac:dyDescent="0.35">
      <c r="A573" s="2" t="s">
        <v>5</v>
      </c>
      <c r="B573" s="6">
        <v>156</v>
      </c>
      <c r="C573" s="3">
        <f>B573*PI()/180</f>
        <v>2.7227136331111539</v>
      </c>
    </row>
    <row r="574" spans="1:15" x14ac:dyDescent="0.35">
      <c r="A574" s="4"/>
      <c r="B574" s="4"/>
      <c r="C574" s="1"/>
      <c r="H574" s="18" t="s">
        <v>12</v>
      </c>
      <c r="I574" s="18"/>
      <c r="J574" s="4"/>
      <c r="K574" s="18" t="s">
        <v>13</v>
      </c>
      <c r="L574" s="18"/>
      <c r="M574" s="19" t="s">
        <v>14</v>
      </c>
      <c r="O574" s="21" t="s">
        <v>15</v>
      </c>
    </row>
    <row r="575" spans="1:15" x14ac:dyDescent="0.35">
      <c r="A575" s="2" t="s">
        <v>7</v>
      </c>
      <c r="B575" s="6">
        <f>C575*180/PI()</f>
        <v>166.60033773953757</v>
      </c>
      <c r="C575" s="3">
        <f>O569+C568</f>
        <v>2.9077244284894976</v>
      </c>
      <c r="E575" s="11" t="s">
        <v>10</v>
      </c>
      <c r="F575" s="1">
        <f>-B576*COS(t.1)+a*COS(C573)+b*COS(C575)-c.*COS(t.4)</f>
        <v>0.86503861241445701</v>
      </c>
      <c r="H575" s="8" t="s">
        <v>7</v>
      </c>
      <c r="I575" s="8" t="s">
        <v>9</v>
      </c>
      <c r="J575" s="4"/>
      <c r="K575" s="8" t="s">
        <v>7</v>
      </c>
      <c r="L575" s="8" t="s">
        <v>9</v>
      </c>
      <c r="M575" s="20"/>
      <c r="O575" s="22"/>
    </row>
    <row r="576" spans="1:15" x14ac:dyDescent="0.35">
      <c r="A576" s="2" t="s">
        <v>9</v>
      </c>
      <c r="B576" s="6">
        <f>O570+B569</f>
        <v>-9.4423384509574735</v>
      </c>
      <c r="C576" s="3"/>
      <c r="E576" s="11" t="s">
        <v>11</v>
      </c>
      <c r="F576" s="1">
        <f>-B576*SIN(t.1)+a*SIN(C573)+b*SIN(C575)-c.*SIN(t.4)</f>
        <v>0.11066294502930507</v>
      </c>
      <c r="H576" s="3">
        <f>-b*SIN(C575)</f>
        <v>-1.3904530158019039</v>
      </c>
      <c r="I576" s="3">
        <f>-COS(t.1)</f>
        <v>-1</v>
      </c>
      <c r="J576" s="4"/>
      <c r="K576" s="3" cm="1">
        <f t="array" ref="K576:L577">MINVERSE(H576:I577)</f>
        <v>0</v>
      </c>
      <c r="L576" s="3">
        <v>-0.17133076215395518</v>
      </c>
      <c r="M576" s="3">
        <f>-F575</f>
        <v>-0.86503861241445701</v>
      </c>
      <c r="O576" s="1" cm="1">
        <f t="array" ref="O576:O577">MMULT(K576:L577,M576:M577)</f>
        <v>1.8959966714072084E-2</v>
      </c>
    </row>
    <row r="577" spans="1:15" x14ac:dyDescent="0.35">
      <c r="H577" s="3">
        <f>b*COS(C575)</f>
        <v>-5.8366634656152137</v>
      </c>
      <c r="I577" s="3">
        <f>-SIN(t.1)</f>
        <v>0</v>
      </c>
      <c r="J577" s="4"/>
      <c r="K577" s="3">
        <v>-1</v>
      </c>
      <c r="L577" s="3">
        <v>0.2382273749366057</v>
      </c>
      <c r="M577" s="3">
        <f>-F576</f>
        <v>-0.11066294502930507</v>
      </c>
      <c r="O577" s="1">
        <v>0.83867566951737171</v>
      </c>
    </row>
    <row r="579" spans="1:15" x14ac:dyDescent="0.35">
      <c r="A579" s="9" t="s">
        <v>18</v>
      </c>
      <c r="C579" s="2" t="s">
        <v>4</v>
      </c>
    </row>
    <row r="580" spans="1:15" x14ac:dyDescent="0.35">
      <c r="A580" s="2" t="s">
        <v>5</v>
      </c>
      <c r="B580" s="6">
        <v>156</v>
      </c>
      <c r="C580" s="3">
        <f>B580*PI()/180</f>
        <v>2.7227136331111539</v>
      </c>
    </row>
    <row r="581" spans="1:15" x14ac:dyDescent="0.35">
      <c r="A581" s="4"/>
      <c r="B581" s="4"/>
      <c r="C581" s="1"/>
      <c r="H581" s="18" t="s">
        <v>12</v>
      </c>
      <c r="I581" s="18"/>
      <c r="J581" s="4"/>
      <c r="K581" s="18" t="s">
        <v>13</v>
      </c>
      <c r="L581" s="18"/>
      <c r="M581" s="19" t="s">
        <v>14</v>
      </c>
      <c r="O581" s="21" t="s">
        <v>15</v>
      </c>
    </row>
    <row r="582" spans="1:15" x14ac:dyDescent="0.35">
      <c r="A582" s="2" t="s">
        <v>7</v>
      </c>
      <c r="B582" s="6">
        <f>C582*180/PI()</f>
        <v>167.68666381196243</v>
      </c>
      <c r="C582" s="3">
        <f>O576+C575</f>
        <v>2.9266843952035697</v>
      </c>
      <c r="E582" s="11" t="s">
        <v>10</v>
      </c>
      <c r="F582" s="1">
        <f>-B583*COS(t.1)+a*COS(C580)+b*COS(C582)-c.*COS(t.4)</f>
        <v>1.0506309153200523E-3</v>
      </c>
      <c r="H582" s="8" t="s">
        <v>7</v>
      </c>
      <c r="I582" s="8" t="s">
        <v>9</v>
      </c>
      <c r="J582" s="4"/>
      <c r="K582" s="8" t="s">
        <v>7</v>
      </c>
      <c r="L582" s="8" t="s">
        <v>9</v>
      </c>
      <c r="M582" s="20"/>
      <c r="O582" s="22"/>
    </row>
    <row r="583" spans="1:15" x14ac:dyDescent="0.35">
      <c r="A583" s="2" t="s">
        <v>9</v>
      </c>
      <c r="B583" s="6">
        <f>O577+B576</f>
        <v>-8.6036627814401019</v>
      </c>
      <c r="C583" s="3"/>
      <c r="E583" s="11" t="s">
        <v>11</v>
      </c>
      <c r="F583" s="1">
        <f>-B583*SIN(t.1)+a*SIN(C580)+b*SIN(C582)-c.*SIN(t.4)</f>
        <v>-2.4328270023765697E-4</v>
      </c>
      <c r="H583" s="3">
        <f>-b*SIN(C582)</f>
        <v>-1.2795467880723608</v>
      </c>
      <c r="I583" s="3">
        <f>-COS(t.1)</f>
        <v>-1</v>
      </c>
      <c r="J583" s="4"/>
      <c r="K583" s="3" cm="1">
        <f t="array" ref="K583:L584">MINVERSE(H583:I584)</f>
        <v>0</v>
      </c>
      <c r="L583" s="3">
        <v>-0.17059094713795178</v>
      </c>
      <c r="M583" s="3">
        <f>-F582</f>
        <v>-1.0506309153200523E-3</v>
      </c>
      <c r="O583" s="1" cm="1">
        <f t="array" ref="O583:O584">MMULT(K583:L584,M583:M584)</f>
        <v>-4.1501826255820309E-5</v>
      </c>
    </row>
    <row r="584" spans="1:15" x14ac:dyDescent="0.35">
      <c r="H584" s="3">
        <f>b*COS(C582)</f>
        <v>-5.861975777596979</v>
      </c>
      <c r="I584" s="3">
        <f>-SIN(t.1)</f>
        <v>0</v>
      </c>
      <c r="J584" s="4"/>
      <c r="K584" s="3">
        <v>-1</v>
      </c>
      <c r="L584" s="3">
        <v>0.21827909848458807</v>
      </c>
      <c r="M584" s="3">
        <f>-F583</f>
        <v>2.4328270023765697E-4</v>
      </c>
      <c r="O584" s="1">
        <v>1.1037344438048244E-3</v>
      </c>
    </row>
    <row r="586" spans="1:15" x14ac:dyDescent="0.35">
      <c r="A586" s="9" t="s">
        <v>19</v>
      </c>
      <c r="C586" s="2" t="s">
        <v>4</v>
      </c>
    </row>
    <row r="587" spans="1:15" x14ac:dyDescent="0.35">
      <c r="A587" s="2" t="s">
        <v>5</v>
      </c>
      <c r="B587" s="6">
        <v>156</v>
      </c>
      <c r="C587" s="3">
        <f>B587*PI()/180</f>
        <v>2.7227136331111539</v>
      </c>
    </row>
    <row r="588" spans="1:15" x14ac:dyDescent="0.35">
      <c r="A588" s="4"/>
      <c r="B588" s="4"/>
      <c r="C588" s="1"/>
      <c r="H588" s="18" t="s">
        <v>12</v>
      </c>
      <c r="I588" s="18"/>
      <c r="J588" s="4"/>
      <c r="K588" s="18" t="s">
        <v>13</v>
      </c>
      <c r="L588" s="18"/>
      <c r="M588" s="19" t="s">
        <v>14</v>
      </c>
      <c r="O588" s="21" t="s">
        <v>15</v>
      </c>
    </row>
    <row r="589" spans="1:15" x14ac:dyDescent="0.35">
      <c r="A589" s="2" t="s">
        <v>7</v>
      </c>
      <c r="B589" s="6">
        <f>C589*180/PI()</f>
        <v>167.68428593247589</v>
      </c>
      <c r="C589" s="3">
        <f>O583+C582</f>
        <v>2.9266428933773141</v>
      </c>
      <c r="E589" s="11" t="s">
        <v>10</v>
      </c>
      <c r="F589" s="1">
        <f>-B590*COS(t.1)+a*COS(C587)+b*COS(C589)-c.*COS(t.4)</f>
        <v>5.0483233838389228E-9</v>
      </c>
      <c r="H589" s="8" t="s">
        <v>7</v>
      </c>
      <c r="I589" s="8" t="s">
        <v>9</v>
      </c>
      <c r="J589" s="4"/>
      <c r="K589" s="8" t="s">
        <v>7</v>
      </c>
      <c r="L589" s="8" t="s">
        <v>9</v>
      </c>
      <c r="M589" s="20"/>
      <c r="O589" s="22"/>
    </row>
    <row r="590" spans="1:15" x14ac:dyDescent="0.35">
      <c r="A590" s="2" t="s">
        <v>9</v>
      </c>
      <c r="B590" s="6">
        <f>O584+B583</f>
        <v>-8.6025590469962978</v>
      </c>
      <c r="C590" s="3"/>
      <c r="E590" s="11" t="s">
        <v>11</v>
      </c>
      <c r="F590" s="1">
        <f>-B590*SIN(t.1)+a*SIN(C587)+b*SIN(C589)-c.*SIN(t.4)</f>
        <v>-1.1020180323839668E-9</v>
      </c>
      <c r="H590" s="3">
        <f>-b*SIN(C589)</f>
        <v>-1.2797900696705806</v>
      </c>
      <c r="I590" s="3">
        <f>-COS(t.1)</f>
        <v>-1</v>
      </c>
      <c r="J590" s="4"/>
      <c r="K590" s="3" cm="1">
        <f t="array" ref="K590:L591">MINVERSE(H590:I591)</f>
        <v>0</v>
      </c>
      <c r="L590" s="3">
        <v>-0.17059249267905327</v>
      </c>
      <c r="M590" s="3">
        <f>-F589</f>
        <v>-5.0483233838389228E-9</v>
      </c>
      <c r="O590" s="1" cm="1">
        <f t="array" ref="O590:O591">MMULT(K590:L591,M590:M591)</f>
        <v>-1.8799600312164655E-10</v>
      </c>
    </row>
    <row r="591" spans="1:15" x14ac:dyDescent="0.35">
      <c r="H591" s="3">
        <f>b*COS(C589)</f>
        <v>-5.8619226690201716</v>
      </c>
      <c r="I591" s="3">
        <f>-SIN(t.1)</f>
        <v>0</v>
      </c>
      <c r="J591" s="4"/>
      <c r="K591" s="3">
        <v>-1</v>
      </c>
      <c r="L591" s="3">
        <v>0.21832257809100358</v>
      </c>
      <c r="M591" s="3">
        <f>-F590</f>
        <v>1.1020180323839668E-9</v>
      </c>
      <c r="O591" s="1">
        <v>5.2889188017717655E-9</v>
      </c>
    </row>
    <row r="593" spans="1:15" x14ac:dyDescent="0.35">
      <c r="A593" s="9" t="s">
        <v>20</v>
      </c>
      <c r="C593" s="2" t="s">
        <v>4</v>
      </c>
    </row>
    <row r="594" spans="1:15" x14ac:dyDescent="0.35">
      <c r="A594" s="2" t="s">
        <v>5</v>
      </c>
      <c r="B594" s="6">
        <v>156</v>
      </c>
      <c r="C594" s="3">
        <f>B594*PI()/180</f>
        <v>2.7227136331111539</v>
      </c>
    </row>
    <row r="595" spans="1:15" x14ac:dyDescent="0.35">
      <c r="A595" s="4"/>
      <c r="B595" s="4"/>
      <c r="C595" s="1"/>
      <c r="H595" s="18" t="s">
        <v>12</v>
      </c>
      <c r="I595" s="18"/>
      <c r="J595" s="4"/>
      <c r="K595" s="18" t="s">
        <v>13</v>
      </c>
      <c r="L595" s="18"/>
      <c r="M595" s="19" t="s">
        <v>14</v>
      </c>
      <c r="O595" s="21" t="s">
        <v>15</v>
      </c>
    </row>
    <row r="596" spans="1:15" x14ac:dyDescent="0.35">
      <c r="A596" s="2" t="s">
        <v>7</v>
      </c>
      <c r="B596" s="6">
        <f>C596*180/PI()</f>
        <v>167.68428592170451</v>
      </c>
      <c r="C596" s="3">
        <f>O590+C589</f>
        <v>2.9266428931893183</v>
      </c>
      <c r="E596" s="11" t="s">
        <v>10</v>
      </c>
      <c r="F596" s="1">
        <f>-B597*COS(t.1)+a*COS(C594)+b*COS(C596)-c.*COS(t.4)</f>
        <v>-1.531435568635775E-16</v>
      </c>
      <c r="H596" s="8" t="s">
        <v>7</v>
      </c>
      <c r="I596" s="8" t="s">
        <v>9</v>
      </c>
      <c r="J596" s="4"/>
      <c r="K596" s="8" t="s">
        <v>7</v>
      </c>
      <c r="L596" s="8" t="s">
        <v>9</v>
      </c>
      <c r="M596" s="20"/>
      <c r="O596" s="22"/>
    </row>
    <row r="597" spans="1:15" x14ac:dyDescent="0.35">
      <c r="A597" s="2" t="s">
        <v>9</v>
      </c>
      <c r="B597" s="6">
        <f>O591+B590</f>
        <v>-8.6025590417073783</v>
      </c>
      <c r="C597" s="3"/>
      <c r="E597" s="11" t="s">
        <v>11</v>
      </c>
      <c r="F597" s="1">
        <f>-B597*SIN(t.1)+a*SIN(C594)+b*SIN(C596)-c.*SIN(t.4)</f>
        <v>0</v>
      </c>
      <c r="H597" s="3">
        <f>-b*SIN(C596)</f>
        <v>-1.2797900707725978</v>
      </c>
      <c r="I597" s="3">
        <f>-COS(B554)</f>
        <v>0.98719914484356153</v>
      </c>
      <c r="J597" s="4"/>
      <c r="K597" s="3" cm="1">
        <f t="array" ref="K597:L598">MINVERSE(H597:I598)</f>
        <v>2.8568707612034117E-2</v>
      </c>
      <c r="L597" s="3">
        <v>-0.17682968659026921</v>
      </c>
      <c r="M597" s="3">
        <f>-F596</f>
        <v>1.531435568635775E-16</v>
      </c>
      <c r="O597" s="1" cm="1">
        <f t="array" ref="O597:O598">MMULT(K597:L598,M597:M598)</f>
        <v>4.3751134987024658E-18</v>
      </c>
    </row>
    <row r="598" spans="1:15" x14ac:dyDescent="0.35">
      <c r="H598" s="3">
        <f>b*COS(C596)</f>
        <v>-5.8619226687795756</v>
      </c>
      <c r="I598" s="3">
        <f>-SIN(B554)</f>
        <v>0.15949247135880981</v>
      </c>
      <c r="J598" s="4"/>
      <c r="K598" s="3">
        <v>1.050002883157833</v>
      </c>
      <c r="L598" s="3">
        <v>-0.22923933666081001</v>
      </c>
      <c r="M598" s="3">
        <f>-F597</f>
        <v>0</v>
      </c>
      <c r="O598" s="1">
        <v>1.6080117624380192E-16</v>
      </c>
    </row>
    <row r="600" spans="1:15" x14ac:dyDescent="0.35">
      <c r="A600" s="9" t="s">
        <v>6</v>
      </c>
      <c r="C600" s="2" t="s">
        <v>4</v>
      </c>
    </row>
    <row r="601" spans="1:15" x14ac:dyDescent="0.35">
      <c r="A601" s="2" t="s">
        <v>5</v>
      </c>
      <c r="B601" s="6">
        <v>0</v>
      </c>
      <c r="C601" s="3">
        <f>B601*PI()/180</f>
        <v>0</v>
      </c>
    </row>
    <row r="602" spans="1:15" x14ac:dyDescent="0.35">
      <c r="A602" s="4"/>
      <c r="B602" s="4"/>
      <c r="C602" s="1"/>
      <c r="H602" s="18" t="s">
        <v>12</v>
      </c>
      <c r="I602" s="18"/>
      <c r="J602" s="4"/>
      <c r="K602" s="18" t="s">
        <v>13</v>
      </c>
      <c r="L602" s="18"/>
      <c r="M602" s="19" t="s">
        <v>14</v>
      </c>
      <c r="O602" s="21" t="s">
        <v>15</v>
      </c>
    </row>
    <row r="603" spans="1:15" x14ac:dyDescent="0.35">
      <c r="A603" s="2" t="s">
        <v>7</v>
      </c>
      <c r="B603" s="6">
        <v>110</v>
      </c>
      <c r="C603" s="3">
        <f>B603*PI()/180</f>
        <v>1.9198621771937625</v>
      </c>
      <c r="E603" s="11" t="s">
        <v>10</v>
      </c>
      <c r="F603" s="1">
        <f>-B604*COS(t.1)+a*COS(C601)+b*COS(C603)-c.*COS(t.4)</f>
        <v>-5.0521208599540124</v>
      </c>
      <c r="H603" s="8" t="s">
        <v>7</v>
      </c>
      <c r="I603" s="8" t="s">
        <v>9</v>
      </c>
      <c r="J603" s="4"/>
      <c r="K603" s="8" t="s">
        <v>7</v>
      </c>
      <c r="L603" s="8" t="s">
        <v>9</v>
      </c>
      <c r="M603" s="20"/>
      <c r="O603" s="22"/>
    </row>
    <row r="604" spans="1:15" x14ac:dyDescent="0.35">
      <c r="A604" s="2" t="s">
        <v>9</v>
      </c>
      <c r="B604" s="6">
        <v>6</v>
      </c>
      <c r="C604" s="3"/>
      <c r="E604" s="11" t="s">
        <v>11</v>
      </c>
      <c r="F604" s="1">
        <f>-B604*SIN(t.1)+a*SIN(C601)+b*SIN(C603)-c.*SIN(t.4)</f>
        <v>3.1381557247154506</v>
      </c>
      <c r="H604" s="3">
        <f>-b*SIN(C603)</f>
        <v>-5.6381557247154506</v>
      </c>
      <c r="I604" s="3">
        <f>-COS(t.1)</f>
        <v>-1</v>
      </c>
      <c r="J604" s="4"/>
      <c r="K604" s="3" cm="1">
        <f t="array" ref="K604:L605">MINVERSE(H604:I605)</f>
        <v>0</v>
      </c>
      <c r="L604" s="3">
        <v>-0.48730073336051455</v>
      </c>
      <c r="M604" s="3">
        <f>-F603</f>
        <v>5.0521208599540124</v>
      </c>
      <c r="O604" s="1" cm="1">
        <f t="array" ref="O604:O605">MMULT(K604:L605,M604:M605)</f>
        <v>1.5292255860533361</v>
      </c>
    </row>
    <row r="605" spans="1:15" x14ac:dyDescent="0.35">
      <c r="H605" s="3">
        <f>b*COS(C603)</f>
        <v>-2.0521208599540124</v>
      </c>
      <c r="I605" s="3">
        <f>-SIN(t.1)</f>
        <v>0</v>
      </c>
      <c r="J605" s="4"/>
      <c r="K605" s="3">
        <v>-1</v>
      </c>
      <c r="L605" s="3">
        <v>2.7474774194546225</v>
      </c>
      <c r="M605" s="3">
        <f>-F604</f>
        <v>-3.1381557247154506</v>
      </c>
      <c r="O605" s="1">
        <v>-13.67413285234197</v>
      </c>
    </row>
    <row r="607" spans="1:15" x14ac:dyDescent="0.35">
      <c r="A607" s="9" t="s">
        <v>16</v>
      </c>
      <c r="C607" s="2" t="s">
        <v>4</v>
      </c>
    </row>
    <row r="608" spans="1:15" x14ac:dyDescent="0.35">
      <c r="A608" s="2" t="s">
        <v>5</v>
      </c>
      <c r="B608" s="6">
        <v>168</v>
      </c>
      <c r="C608" s="3">
        <f>B608*PI()/180</f>
        <v>2.9321531433504737</v>
      </c>
    </row>
    <row r="609" spans="1:15" x14ac:dyDescent="0.35">
      <c r="A609" s="4"/>
      <c r="B609" s="4"/>
      <c r="C609" s="1"/>
      <c r="H609" s="18" t="s">
        <v>12</v>
      </c>
      <c r="I609" s="18"/>
      <c r="J609" s="4"/>
      <c r="K609" s="18" t="s">
        <v>13</v>
      </c>
      <c r="L609" s="18"/>
      <c r="M609" s="19" t="s">
        <v>14</v>
      </c>
      <c r="O609" s="21" t="s">
        <v>15</v>
      </c>
    </row>
    <row r="610" spans="1:15" x14ac:dyDescent="0.35">
      <c r="A610" s="2" t="s">
        <v>7</v>
      </c>
      <c r="B610" s="6">
        <f>C610*180/PI()</f>
        <v>197.61817200427606</v>
      </c>
      <c r="C610" s="3">
        <f>O604+C603</f>
        <v>3.4490877632470989</v>
      </c>
      <c r="E610" s="11" t="s">
        <v>10</v>
      </c>
      <c r="F610" s="1">
        <f>-B611*COS(t.1)+a*COS(C608)+b*COS(C610)-c.*COS(t.4)</f>
        <v>-0.97887826880150641</v>
      </c>
      <c r="H610" s="8" t="s">
        <v>7</v>
      </c>
      <c r="I610" s="8" t="s">
        <v>9</v>
      </c>
      <c r="J610" s="4"/>
      <c r="K610" s="8" t="s">
        <v>7</v>
      </c>
      <c r="L610" s="8" t="s">
        <v>9</v>
      </c>
      <c r="M610" s="20"/>
      <c r="O610" s="22"/>
    </row>
    <row r="611" spans="1:15" x14ac:dyDescent="0.35">
      <c r="A611" s="2" t="s">
        <v>9</v>
      </c>
      <c r="B611" s="6">
        <f>O605+B604</f>
        <v>-7.6741328523419696</v>
      </c>
      <c r="C611" s="3"/>
      <c r="E611" s="11" t="s">
        <v>11</v>
      </c>
      <c r="F611" s="1">
        <f>-B611*SIN(t.1)+a*SIN(C608)+b*SIN(C610)-c.*SIN(t.4)</f>
        <v>-3.6922980719557654</v>
      </c>
      <c r="H611" s="3">
        <f>-b*SIN(C610)</f>
        <v>1.8160331444090434</v>
      </c>
      <c r="I611" s="3">
        <f>-COS(t.1)</f>
        <v>-1</v>
      </c>
      <c r="J611" s="4"/>
      <c r="K611" s="3" cm="1">
        <f t="array" ref="K611:L612">MINVERSE(H611:I612)</f>
        <v>0</v>
      </c>
      <c r="L611" s="3">
        <v>-0.1748689434534903</v>
      </c>
      <c r="M611" s="3">
        <f>-F610</f>
        <v>0.97887826880150641</v>
      </c>
      <c r="O611" s="1" cm="1">
        <f t="array" ref="O611:O612">MMULT(K611:L612,M611:M612)</f>
        <v>-0.64566826275826406</v>
      </c>
    </row>
    <row r="612" spans="1:15" x14ac:dyDescent="0.35">
      <c r="H612" s="3">
        <f>b*COS(C610)</f>
        <v>-5.7185683189420589</v>
      </c>
      <c r="I612" s="3">
        <f>-SIN(t.1)</f>
        <v>0</v>
      </c>
      <c r="J612" s="4"/>
      <c r="K612" s="3">
        <v>-1</v>
      </c>
      <c r="L612" s="3">
        <v>-0.31756779723932921</v>
      </c>
      <c r="M612" s="3">
        <f>-F611</f>
        <v>3.6922980719557654</v>
      </c>
      <c r="O612" s="1">
        <v>-2.151433234263521</v>
      </c>
    </row>
    <row r="614" spans="1:15" x14ac:dyDescent="0.35">
      <c r="A614" s="9" t="s">
        <v>17</v>
      </c>
      <c r="C614" s="2" t="s">
        <v>4</v>
      </c>
    </row>
    <row r="615" spans="1:15" x14ac:dyDescent="0.35">
      <c r="A615" s="2" t="s">
        <v>5</v>
      </c>
      <c r="B615" s="6">
        <v>168</v>
      </c>
      <c r="C615" s="3">
        <f>B615*PI()/180</f>
        <v>2.9321531433504737</v>
      </c>
    </row>
    <row r="616" spans="1:15" x14ac:dyDescent="0.35">
      <c r="A616" s="4"/>
      <c r="B616" s="4"/>
      <c r="C616" s="1"/>
      <c r="H616" s="18" t="s">
        <v>12</v>
      </c>
      <c r="I616" s="18"/>
      <c r="J616" s="4"/>
      <c r="K616" s="18" t="s">
        <v>13</v>
      </c>
      <c r="L616" s="18"/>
      <c r="M616" s="19" t="s">
        <v>14</v>
      </c>
      <c r="O616" s="21" t="s">
        <v>15</v>
      </c>
    </row>
    <row r="617" spans="1:15" x14ac:dyDescent="0.35">
      <c r="A617" s="2" t="s">
        <v>7</v>
      </c>
      <c r="B617" s="6">
        <f>C617*180/PI()</f>
        <v>160.62410558268365</v>
      </c>
      <c r="C617" s="3">
        <f>O611+C610</f>
        <v>2.8034195004888347</v>
      </c>
      <c r="E617" s="11" t="s">
        <v>10</v>
      </c>
      <c r="F617" s="1">
        <f>-B618*COS(t.1)+a*COS(C615)+b*COS(C617)-c.*COS(t.4)</f>
        <v>1.2309493530659716</v>
      </c>
      <c r="H617" s="8" t="s">
        <v>7</v>
      </c>
      <c r="I617" s="8" t="s">
        <v>9</v>
      </c>
      <c r="J617" s="4"/>
      <c r="K617" s="8" t="s">
        <v>7</v>
      </c>
      <c r="L617" s="8" t="s">
        <v>9</v>
      </c>
      <c r="M617" s="20"/>
      <c r="O617" s="22"/>
    </row>
    <row r="618" spans="1:15" x14ac:dyDescent="0.35">
      <c r="A618" s="2" t="s">
        <v>9</v>
      </c>
      <c r="B618" s="6">
        <f>O612+B611</f>
        <v>-9.825566086605491</v>
      </c>
      <c r="C618" s="3"/>
      <c r="E618" s="11" t="s">
        <v>11</v>
      </c>
      <c r="F618" s="1">
        <f>-B618*SIN(t.1)+a*SIN(C615)+b*SIN(C617)-c.*SIN(t.4)</f>
        <v>0.11432068151423191</v>
      </c>
      <c r="H618" s="3">
        <f>-b*SIN(C617)</f>
        <v>-1.9905856090609539</v>
      </c>
      <c r="I618" s="3">
        <f>-COS(t.1)</f>
        <v>-1</v>
      </c>
      <c r="J618" s="4"/>
      <c r="K618" s="3" cm="1">
        <f t="array" ref="K618:L619">MINVERSE(H618:I619)</f>
        <v>0</v>
      </c>
      <c r="L618" s="3">
        <v>-0.17667301608231559</v>
      </c>
      <c r="M618" s="3">
        <f>-F617</f>
        <v>-1.2309493530659716</v>
      </c>
      <c r="O618" s="1" cm="1">
        <f t="array" ref="O618:O619">MMULT(K618:L619,M618:M619)</f>
        <v>2.0197379603705174E-2</v>
      </c>
    </row>
    <row r="619" spans="1:15" x14ac:dyDescent="0.35">
      <c r="H619" s="3">
        <f>b*COS(C617)</f>
        <v>-5.6601739313381021</v>
      </c>
      <c r="I619" s="3">
        <f>-SIN(t.1)</f>
        <v>0</v>
      </c>
      <c r="J619" s="4"/>
      <c r="K619" s="3">
        <v>-1</v>
      </c>
      <c r="L619" s="3">
        <v>0.35168276332285192</v>
      </c>
      <c r="M619" s="3">
        <f>-F618</f>
        <v>-0.11432068151423191</v>
      </c>
      <c r="O619" s="1">
        <v>1.1907447398860949</v>
      </c>
    </row>
    <row r="621" spans="1:15" x14ac:dyDescent="0.35">
      <c r="A621" s="9" t="s">
        <v>18</v>
      </c>
      <c r="C621" s="2" t="s">
        <v>4</v>
      </c>
    </row>
    <row r="622" spans="1:15" x14ac:dyDescent="0.35">
      <c r="A622" s="2" t="s">
        <v>5</v>
      </c>
      <c r="B622" s="6">
        <v>168</v>
      </c>
      <c r="C622" s="3">
        <f>B622*PI()/180</f>
        <v>2.9321531433504737</v>
      </c>
    </row>
    <row r="623" spans="1:15" x14ac:dyDescent="0.35">
      <c r="A623" s="4"/>
      <c r="B623" s="4"/>
      <c r="C623" s="1"/>
      <c r="H623" s="18" t="s">
        <v>12</v>
      </c>
      <c r="I623" s="18"/>
      <c r="J623" s="4"/>
      <c r="K623" s="18" t="s">
        <v>13</v>
      </c>
      <c r="L623" s="18"/>
      <c r="M623" s="19" t="s">
        <v>14</v>
      </c>
      <c r="O623" s="21" t="s">
        <v>15</v>
      </c>
    </row>
    <row r="624" spans="1:15" x14ac:dyDescent="0.35">
      <c r="A624" s="2" t="s">
        <v>7</v>
      </c>
      <c r="B624" s="6">
        <f>C624*180/PI()</f>
        <v>161.78133019119957</v>
      </c>
      <c r="C624" s="3">
        <f>O618+C617</f>
        <v>2.8236168800925401</v>
      </c>
      <c r="E624" s="11" t="s">
        <v>10</v>
      </c>
      <c r="F624" s="1">
        <f>-B625*COS(t.1)+a*COS(C622)+b*COS(C624)-c.*COS(t.4)</f>
        <v>1.1571832714379472E-3</v>
      </c>
      <c r="H624" s="8" t="s">
        <v>7</v>
      </c>
      <c r="I624" s="8" t="s">
        <v>9</v>
      </c>
      <c r="J624" s="4"/>
      <c r="K624" s="8" t="s">
        <v>7</v>
      </c>
      <c r="L624" s="8" t="s">
        <v>9</v>
      </c>
      <c r="M624" s="20"/>
      <c r="O624" s="22"/>
    </row>
    <row r="625" spans="1:15" x14ac:dyDescent="0.35">
      <c r="A625" s="2" t="s">
        <v>9</v>
      </c>
      <c r="B625" s="6">
        <f>O619+B618</f>
        <v>-8.6348213467193968</v>
      </c>
      <c r="C625" s="3"/>
      <c r="E625" s="11" t="s">
        <v>11</v>
      </c>
      <c r="F625" s="1">
        <f>-B625*SIN(t.1)+a*SIN(C622)+b*SIN(C624)-c.*SIN(t.4)</f>
        <v>-3.9822772204667345E-4</v>
      </c>
      <c r="H625" s="3">
        <f>-b*SIN(C624)</f>
        <v>-1.8758666998246754</v>
      </c>
      <c r="I625" s="3">
        <f>-COS(t.1)</f>
        <v>-1</v>
      </c>
      <c r="J625" s="4"/>
      <c r="K625" s="3" cm="1">
        <f t="array" ref="K625:L626">MINVERSE(H625:I626)</f>
        <v>0</v>
      </c>
      <c r="L625" s="3">
        <v>-0.17546256525492784</v>
      </c>
      <c r="M625" s="3">
        <f>-F624</f>
        <v>-1.1571832714379472E-3</v>
      </c>
      <c r="O625" s="1" cm="1">
        <f t="array" ref="O625:O626">MMULT(K625:L626,M625:M626)</f>
        <v>-6.9874057665935709E-5</v>
      </c>
    </row>
    <row r="626" spans="1:15" x14ac:dyDescent="0.35">
      <c r="H626" s="3">
        <f>b*COS(C624)</f>
        <v>-5.6992213612465417</v>
      </c>
      <c r="I626" s="3">
        <f>-SIN(t.1)</f>
        <v>0</v>
      </c>
      <c r="J626" s="4"/>
      <c r="K626" s="3">
        <v>-1</v>
      </c>
      <c r="L626" s="3">
        <v>0.32914438322753325</v>
      </c>
      <c r="M626" s="3">
        <f>-F625</f>
        <v>3.9822772204667345E-4</v>
      </c>
      <c r="O626" s="1">
        <v>1.2882576893951051E-3</v>
      </c>
    </row>
    <row r="628" spans="1:15" x14ac:dyDescent="0.35">
      <c r="A628" s="9" t="s">
        <v>19</v>
      </c>
      <c r="C628" s="2" t="s">
        <v>4</v>
      </c>
    </row>
    <row r="629" spans="1:15" x14ac:dyDescent="0.35">
      <c r="A629" s="2" t="s">
        <v>5</v>
      </c>
      <c r="B629" s="6">
        <v>168</v>
      </c>
      <c r="C629" s="3">
        <f>B629*PI()/180</f>
        <v>2.9321531433504737</v>
      </c>
    </row>
    <row r="630" spans="1:15" x14ac:dyDescent="0.35">
      <c r="A630" s="4"/>
      <c r="B630" s="4"/>
      <c r="C630" s="1"/>
      <c r="H630" s="18" t="s">
        <v>12</v>
      </c>
      <c r="I630" s="18"/>
      <c r="J630" s="4"/>
      <c r="K630" s="18" t="s">
        <v>13</v>
      </c>
      <c r="L630" s="18"/>
      <c r="M630" s="19" t="s">
        <v>14</v>
      </c>
      <c r="O630" s="21" t="s">
        <v>15</v>
      </c>
    </row>
    <row r="631" spans="1:15" x14ac:dyDescent="0.35">
      <c r="A631" s="2" t="s">
        <v>7</v>
      </c>
      <c r="B631" s="6">
        <f>C631*180/PI()</f>
        <v>161.77732670259786</v>
      </c>
      <c r="C631" s="3">
        <f>O625+C624</f>
        <v>2.823547006034874</v>
      </c>
      <c r="E631" s="11" t="s">
        <v>10</v>
      </c>
      <c r="F631" s="1">
        <f>-B632*COS(t.1)+a*COS(C629)+b*COS(C631)-c.*COS(t.4)</f>
        <v>1.3912787213477603E-8</v>
      </c>
      <c r="H631" s="8" t="s">
        <v>7</v>
      </c>
      <c r="I631" s="8" t="s">
        <v>9</v>
      </c>
      <c r="J631" s="4"/>
      <c r="K631" s="8" t="s">
        <v>7</v>
      </c>
      <c r="L631" s="8" t="s">
        <v>9</v>
      </c>
      <c r="M631" s="20"/>
      <c r="O631" s="22"/>
    </row>
    <row r="632" spans="1:15" x14ac:dyDescent="0.35">
      <c r="A632" s="2" t="s">
        <v>9</v>
      </c>
      <c r="B632" s="6">
        <f>O626+B625</f>
        <v>-8.6335330890300011</v>
      </c>
      <c r="C632" s="3"/>
      <c r="E632" s="11" t="s">
        <v>11</v>
      </c>
      <c r="F632" s="1">
        <f>-B632*SIN(t.1)+a*SIN(C629)+b*SIN(C631)-c.*SIN(t.4)</f>
        <v>-4.5796735292924495E-9</v>
      </c>
      <c r="H632" s="3">
        <f>-b*SIN(C631)</f>
        <v>-1.8762649229670483</v>
      </c>
      <c r="I632" s="3">
        <f>-COS(t.1)</f>
        <v>-1</v>
      </c>
      <c r="J632" s="4"/>
      <c r="K632" s="3" cm="1">
        <f t="array" ref="K632:L633">MINVERSE(H632:I633)</f>
        <v>0</v>
      </c>
      <c r="L632" s="3">
        <v>-0.1754666011788536</v>
      </c>
      <c r="M632" s="3">
        <f>-F631</f>
        <v>-1.3912787213477603E-8</v>
      </c>
      <c r="O632" s="1" cm="1">
        <f t="array" ref="O632:O633">MMULT(K632:L633,M632:M633)</f>
        <v>-8.0357974869371116E-10</v>
      </c>
    </row>
    <row r="633" spans="1:15" x14ac:dyDescent="0.35">
      <c r="H633" s="3">
        <f>b*COS(C631)</f>
        <v>-5.6990902729157966</v>
      </c>
      <c r="I633" s="3">
        <f>-SIN(t.1)</f>
        <v>0</v>
      </c>
      <c r="J633" s="4"/>
      <c r="K633" s="3">
        <v>-1</v>
      </c>
      <c r="L633" s="3">
        <v>0.32922182894413154</v>
      </c>
      <c r="M633" s="3">
        <f>-F632</f>
        <v>4.5796735292924495E-9</v>
      </c>
      <c r="O633" s="1">
        <v>1.542051570875829E-8</v>
      </c>
    </row>
    <row r="635" spans="1:15" x14ac:dyDescent="0.35">
      <c r="A635" s="9" t="s">
        <v>20</v>
      </c>
      <c r="C635" s="2" t="s">
        <v>4</v>
      </c>
    </row>
    <row r="636" spans="1:15" x14ac:dyDescent="0.35">
      <c r="A636" s="2" t="s">
        <v>5</v>
      </c>
      <c r="B636" s="6">
        <v>168</v>
      </c>
      <c r="C636" s="3">
        <f>B636*PI()/180</f>
        <v>2.9321531433504737</v>
      </c>
    </row>
    <row r="637" spans="1:15" x14ac:dyDescent="0.35">
      <c r="A637" s="4"/>
      <c r="B637" s="4"/>
      <c r="C637" s="1"/>
      <c r="H637" s="18" t="s">
        <v>12</v>
      </c>
      <c r="I637" s="18"/>
      <c r="J637" s="4"/>
      <c r="K637" s="18" t="s">
        <v>13</v>
      </c>
      <c r="L637" s="18"/>
      <c r="M637" s="19" t="s">
        <v>14</v>
      </c>
      <c r="O637" s="21" t="s">
        <v>15</v>
      </c>
    </row>
    <row r="638" spans="1:15" x14ac:dyDescent="0.35">
      <c r="A638" s="2" t="s">
        <v>7</v>
      </c>
      <c r="B638" s="6">
        <f>C638*180/PI()</f>
        <v>161.77732665655611</v>
      </c>
      <c r="C638" s="3">
        <f>O632+C631</f>
        <v>2.8235470052312941</v>
      </c>
      <c r="E638" s="11" t="s">
        <v>10</v>
      </c>
      <c r="F638" s="1">
        <f>-B639*COS(t.1)+a*COS(C636)+b*COS(C638)-c.*COS(t.4)</f>
        <v>-1.0413219765637027E-15</v>
      </c>
      <c r="H638" s="8" t="s">
        <v>7</v>
      </c>
      <c r="I638" s="8" t="s">
        <v>9</v>
      </c>
      <c r="J638" s="4"/>
      <c r="K638" s="8" t="s">
        <v>7</v>
      </c>
      <c r="L638" s="8" t="s">
        <v>9</v>
      </c>
      <c r="M638" s="20"/>
      <c r="O638" s="22"/>
    </row>
    <row r="639" spans="1:15" x14ac:dyDescent="0.35">
      <c r="A639" s="2" t="s">
        <v>9</v>
      </c>
      <c r="B639" s="6">
        <f>O633+B632</f>
        <v>-8.6335330736094846</v>
      </c>
      <c r="C639" s="3"/>
      <c r="E639" s="11" t="s">
        <v>11</v>
      </c>
      <c r="F639" s="1">
        <f>-B639*SIN(t.1)+a*SIN(C636)+b*SIN(C638)-c.*SIN(t.4)</f>
        <v>0</v>
      </c>
      <c r="H639" s="3">
        <f>-b*SIN(C638)</f>
        <v>-1.8762649275467225</v>
      </c>
      <c r="I639" s="3">
        <f>-COS(B596)</f>
        <v>0.38104013692936833</v>
      </c>
      <c r="J639" s="4"/>
      <c r="K639" s="3" cm="1">
        <f t="array" ref="K639:L640">MINVERSE(H639:I640)</f>
        <v>2.1163460818828606</v>
      </c>
      <c r="L639" s="3">
        <v>-0.87221393086647825</v>
      </c>
      <c r="M639" s="3">
        <f>-F638</f>
        <v>1.0413219765637027E-15</v>
      </c>
      <c r="O639" s="1" cm="1">
        <f t="array" ref="O639:O640">MMULT(K639:L640,M639:M640)</f>
        <v>2.2037976850791082E-15</v>
      </c>
    </row>
    <row r="640" spans="1:15" x14ac:dyDescent="0.35">
      <c r="H640" s="3">
        <f>b*COS(C638)</f>
        <v>-5.6990902714080685</v>
      </c>
      <c r="I640" s="3">
        <f>-SIN(B596)</f>
        <v>0.92455849682367219</v>
      </c>
      <c r="J640" s="4"/>
      <c r="K640" s="3">
        <v>13.045412926956708</v>
      </c>
      <c r="L640" s="3">
        <v>-4.2948347147633585</v>
      </c>
      <c r="M640" s="3">
        <f>-F639</f>
        <v>0</v>
      </c>
      <c r="O640" s="1">
        <v>1.3584475174188237E-14</v>
      </c>
    </row>
    <row r="642" spans="1:15" x14ac:dyDescent="0.35">
      <c r="A642" s="9" t="s">
        <v>6</v>
      </c>
      <c r="C642" s="2" t="s">
        <v>4</v>
      </c>
    </row>
    <row r="643" spans="1:15" x14ac:dyDescent="0.35">
      <c r="A643" s="2" t="s">
        <v>5</v>
      </c>
      <c r="B643" s="6">
        <v>0</v>
      </c>
      <c r="C643" s="3">
        <f>B643*PI()/180</f>
        <v>0</v>
      </c>
    </row>
    <row r="644" spans="1:15" x14ac:dyDescent="0.35">
      <c r="A644" s="4"/>
      <c r="B644" s="4"/>
      <c r="C644" s="1"/>
      <c r="H644" s="18" t="s">
        <v>12</v>
      </c>
      <c r="I644" s="18"/>
      <c r="J644" s="4"/>
      <c r="K644" s="18" t="s">
        <v>13</v>
      </c>
      <c r="L644" s="18"/>
      <c r="M644" s="19" t="s">
        <v>14</v>
      </c>
      <c r="O644" s="21" t="s">
        <v>15</v>
      </c>
    </row>
    <row r="645" spans="1:15" x14ac:dyDescent="0.35">
      <c r="A645" s="2" t="s">
        <v>7</v>
      </c>
      <c r="B645" s="6">
        <v>110</v>
      </c>
      <c r="C645" s="3">
        <f>B645*PI()/180</f>
        <v>1.9198621771937625</v>
      </c>
      <c r="E645" s="11" t="s">
        <v>10</v>
      </c>
      <c r="F645" s="1">
        <f>-B646*COS(t.1)+a*COS(C643)+b*COS(C645)-c.*COS(t.4)</f>
        <v>-5.0521208599540124</v>
      </c>
      <c r="H645" s="8" t="s">
        <v>7</v>
      </c>
      <c r="I645" s="8" t="s">
        <v>9</v>
      </c>
      <c r="J645" s="4"/>
      <c r="K645" s="8" t="s">
        <v>7</v>
      </c>
      <c r="L645" s="8" t="s">
        <v>9</v>
      </c>
      <c r="M645" s="20"/>
      <c r="O645" s="22"/>
    </row>
    <row r="646" spans="1:15" x14ac:dyDescent="0.35">
      <c r="A646" s="2" t="s">
        <v>9</v>
      </c>
      <c r="B646" s="6">
        <v>6</v>
      </c>
      <c r="C646" s="3"/>
      <c r="E646" s="11" t="s">
        <v>11</v>
      </c>
      <c r="F646" s="1">
        <f>-B646*SIN(t.1)+a*SIN(C643)+b*SIN(C645)-c.*SIN(t.4)</f>
        <v>3.1381557247154506</v>
      </c>
      <c r="H646" s="3">
        <f>-b*SIN(C645)</f>
        <v>-5.6381557247154506</v>
      </c>
      <c r="I646" s="3">
        <f>-COS(t.1)</f>
        <v>-1</v>
      </c>
      <c r="J646" s="4"/>
      <c r="K646" s="3" cm="1">
        <f t="array" ref="K646:L647">MINVERSE(H646:I647)</f>
        <v>0</v>
      </c>
      <c r="L646" s="3">
        <v>-0.48730073336051455</v>
      </c>
      <c r="M646" s="3">
        <f>-F645</f>
        <v>5.0521208599540124</v>
      </c>
      <c r="O646" s="1" cm="1">
        <f t="array" ref="O646:O647">MMULT(K646:L647,M646:M647)</f>
        <v>1.5292255860533361</v>
      </c>
    </row>
    <row r="647" spans="1:15" x14ac:dyDescent="0.35">
      <c r="H647" s="3">
        <f>b*COS(C645)</f>
        <v>-2.0521208599540124</v>
      </c>
      <c r="I647" s="3">
        <f>-SIN(t.1)</f>
        <v>0</v>
      </c>
      <c r="J647" s="4"/>
      <c r="K647" s="3">
        <v>-1</v>
      </c>
      <c r="L647" s="3">
        <v>2.7474774194546225</v>
      </c>
      <c r="M647" s="3">
        <f>-F646</f>
        <v>-3.1381557247154506</v>
      </c>
      <c r="O647" s="1">
        <v>-13.67413285234197</v>
      </c>
    </row>
    <row r="649" spans="1:15" x14ac:dyDescent="0.35">
      <c r="A649" s="9" t="s">
        <v>16</v>
      </c>
      <c r="C649" s="2" t="s">
        <v>4</v>
      </c>
    </row>
    <row r="650" spans="1:15" x14ac:dyDescent="0.35">
      <c r="A650" s="2" t="s">
        <v>5</v>
      </c>
      <c r="B650" s="6">
        <v>180</v>
      </c>
      <c r="C650" s="3">
        <f>B650*PI()/180</f>
        <v>3.1415926535897931</v>
      </c>
    </row>
    <row r="651" spans="1:15" x14ac:dyDescent="0.35">
      <c r="A651" s="4"/>
      <c r="B651" s="4"/>
      <c r="C651" s="1"/>
      <c r="H651" s="18" t="s">
        <v>12</v>
      </c>
      <c r="I651" s="18"/>
      <c r="J651" s="4"/>
      <c r="K651" s="18" t="s">
        <v>13</v>
      </c>
      <c r="L651" s="18"/>
      <c r="M651" s="19" t="s">
        <v>14</v>
      </c>
      <c r="O651" s="21" t="s">
        <v>15</v>
      </c>
    </row>
    <row r="652" spans="1:15" x14ac:dyDescent="0.35">
      <c r="A652" s="2" t="s">
        <v>7</v>
      </c>
      <c r="B652" s="6">
        <f>C652*180/PI()</f>
        <v>197.61817200427606</v>
      </c>
      <c r="C652" s="3">
        <f>O646+C645</f>
        <v>3.4490877632470989</v>
      </c>
      <c r="E652" s="11" t="s">
        <v>10</v>
      </c>
      <c r="F652" s="1">
        <f>-B653*COS(t.1)+a*COS(C650)+b*COS(C652)-c.*COS(t.4)</f>
        <v>-1.0444354666000895</v>
      </c>
      <c r="H652" s="8" t="s">
        <v>7</v>
      </c>
      <c r="I652" s="8" t="s">
        <v>9</v>
      </c>
      <c r="J652" s="4"/>
      <c r="K652" s="8" t="s">
        <v>7</v>
      </c>
      <c r="L652" s="8" t="s">
        <v>9</v>
      </c>
      <c r="M652" s="20"/>
      <c r="O652" s="22"/>
    </row>
    <row r="653" spans="1:15" x14ac:dyDescent="0.35">
      <c r="A653" s="2" t="s">
        <v>9</v>
      </c>
      <c r="B653" s="6">
        <f>O647+B646</f>
        <v>-7.6741328523419696</v>
      </c>
      <c r="C653" s="3"/>
      <c r="E653" s="11" t="s">
        <v>11</v>
      </c>
      <c r="F653" s="1">
        <f>-B653*SIN(t.1)+a*SIN(C650)+b*SIN(C652)-c.*SIN(t.4)</f>
        <v>-4.316033144409043</v>
      </c>
      <c r="H653" s="3">
        <f>-b*SIN(C652)</f>
        <v>1.8160331444090434</v>
      </c>
      <c r="I653" s="3">
        <f>-COS(t.1)</f>
        <v>-1</v>
      </c>
      <c r="J653" s="4"/>
      <c r="K653" s="3" cm="1">
        <f t="array" ref="K653:L654">MINVERSE(H653:I654)</f>
        <v>0</v>
      </c>
      <c r="L653" s="3">
        <v>-0.1748689434534903</v>
      </c>
      <c r="M653" s="3">
        <f>-F652</f>
        <v>1.0444354666000895</v>
      </c>
      <c r="O653" s="1" cm="1">
        <f t="array" ref="O653:O654">MMULT(K653:L654,M653:M654)</f>
        <v>-0.75474015587305487</v>
      </c>
    </row>
    <row r="654" spans="1:15" x14ac:dyDescent="0.35">
      <c r="H654" s="3">
        <f>b*COS(C652)</f>
        <v>-5.7185683189420589</v>
      </c>
      <c r="I654" s="3">
        <f>-SIN(t.1)</f>
        <v>0</v>
      </c>
      <c r="J654" s="4"/>
      <c r="K654" s="3">
        <v>-1</v>
      </c>
      <c r="L654" s="3">
        <v>-0.31756779723932921</v>
      </c>
      <c r="M654" s="3">
        <f>-F653</f>
        <v>4.316033144409043</v>
      </c>
      <c r="O654" s="1">
        <v>-2.4150686050820047</v>
      </c>
    </row>
    <row r="656" spans="1:15" x14ac:dyDescent="0.35">
      <c r="A656" s="9" t="s">
        <v>17</v>
      </c>
      <c r="C656" s="2" t="s">
        <v>4</v>
      </c>
    </row>
    <row r="657" spans="1:15" x14ac:dyDescent="0.35">
      <c r="A657" s="2" t="s">
        <v>5</v>
      </c>
      <c r="B657" s="6">
        <v>180</v>
      </c>
      <c r="C657" s="3">
        <f>B657*PI()/180</f>
        <v>3.1415926535897931</v>
      </c>
    </row>
    <row r="658" spans="1:15" x14ac:dyDescent="0.35">
      <c r="A658" s="4"/>
      <c r="B658" s="4"/>
      <c r="C658" s="1"/>
      <c r="H658" s="18" t="s">
        <v>12</v>
      </c>
      <c r="I658" s="18"/>
      <c r="J658" s="4"/>
      <c r="K658" s="18" t="s">
        <v>13</v>
      </c>
      <c r="L658" s="18"/>
      <c r="M658" s="19" t="s">
        <v>14</v>
      </c>
      <c r="O658" s="21" t="s">
        <v>15</v>
      </c>
    </row>
    <row r="659" spans="1:15" x14ac:dyDescent="0.35">
      <c r="A659" s="2" t="s">
        <v>7</v>
      </c>
      <c r="B659" s="6">
        <f>C659*180/PI()</f>
        <v>154.37474644370411</v>
      </c>
      <c r="C659" s="3">
        <f>O653+C652</f>
        <v>2.694347607374044</v>
      </c>
      <c r="E659" s="11" t="s">
        <v>10</v>
      </c>
      <c r="F659" s="1">
        <f>-B660*COS(t.1)+a*COS(C657)+b*COS(C659)-c.*COS(t.4)</f>
        <v>1.6793494952846959</v>
      </c>
      <c r="H659" s="8" t="s">
        <v>7</v>
      </c>
      <c r="I659" s="8" t="s">
        <v>9</v>
      </c>
      <c r="J659" s="4"/>
      <c r="K659" s="8" t="s">
        <v>7</v>
      </c>
      <c r="L659" s="8" t="s">
        <v>9</v>
      </c>
      <c r="M659" s="20"/>
      <c r="O659" s="22"/>
    </row>
    <row r="660" spans="1:15" x14ac:dyDescent="0.35">
      <c r="A660" s="2" t="s">
        <v>9</v>
      </c>
      <c r="B660" s="6">
        <f>O654+B653</f>
        <v>-10.089201457423975</v>
      </c>
      <c r="C660" s="3"/>
      <c r="E660" s="11" t="s">
        <v>11</v>
      </c>
      <c r="F660" s="1">
        <f>-B660*SIN(t.1)+a*SIN(C657)+b*SIN(C659)-c.*SIN(t.4)</f>
        <v>9.4899178723095723E-2</v>
      </c>
      <c r="H660" s="3">
        <f>-b*SIN(C659)</f>
        <v>-2.5948991787230953</v>
      </c>
      <c r="I660" s="3">
        <f>-COS(t.1)</f>
        <v>-1</v>
      </c>
      <c r="J660" s="4"/>
      <c r="K660" s="3" cm="1">
        <f t="array" ref="K660:L661">MINVERSE(H660:I661)</f>
        <v>0</v>
      </c>
      <c r="L660" s="3">
        <v>-0.18484794168093255</v>
      </c>
      <c r="M660" s="3">
        <f>-F659</f>
        <v>-1.6793494952846959</v>
      </c>
      <c r="O660" s="1" cm="1">
        <f t="array" ref="O660:O661">MMULT(K660:L661,M660:M661)</f>
        <v>1.7541917854175193E-2</v>
      </c>
    </row>
    <row r="661" spans="1:15" x14ac:dyDescent="0.35">
      <c r="H661" s="3">
        <f>b*COS(C659)</f>
        <v>-5.4098519621392791</v>
      </c>
      <c r="I661" s="3">
        <f>-SIN(t.1)</f>
        <v>0</v>
      </c>
      <c r="J661" s="4"/>
      <c r="K661" s="3">
        <v>-1</v>
      </c>
      <c r="L661" s="3">
        <v>0.47966177205650651</v>
      </c>
      <c r="M661" s="3">
        <f>-F660</f>
        <v>-9.4899178723095723E-2</v>
      </c>
      <c r="O661" s="1">
        <v>1.6338299870516686</v>
      </c>
    </row>
    <row r="663" spans="1:15" x14ac:dyDescent="0.35">
      <c r="A663" s="9" t="s">
        <v>18</v>
      </c>
      <c r="C663" s="2" t="s">
        <v>4</v>
      </c>
    </row>
    <row r="664" spans="1:15" x14ac:dyDescent="0.35">
      <c r="A664" s="2" t="s">
        <v>5</v>
      </c>
      <c r="B664" s="6">
        <v>180</v>
      </c>
      <c r="C664" s="3">
        <f>B664*PI()/180</f>
        <v>3.1415926535897931</v>
      </c>
    </row>
    <row r="665" spans="1:15" x14ac:dyDescent="0.35">
      <c r="A665" s="4"/>
      <c r="B665" s="4"/>
      <c r="C665" s="1"/>
      <c r="H665" s="18" t="s">
        <v>12</v>
      </c>
      <c r="I665" s="18"/>
      <c r="J665" s="4"/>
      <c r="K665" s="18" t="s">
        <v>13</v>
      </c>
      <c r="L665" s="18"/>
      <c r="M665" s="19" t="s">
        <v>14</v>
      </c>
      <c r="O665" s="21" t="s">
        <v>15</v>
      </c>
    </row>
    <row r="666" spans="1:15" x14ac:dyDescent="0.35">
      <c r="A666" s="2" t="s">
        <v>7</v>
      </c>
      <c r="B666" s="6">
        <f>C666*180/PI()</f>
        <v>155.37982430131356</v>
      </c>
      <c r="C666" s="3">
        <f>O660+C659</f>
        <v>2.7118895252282194</v>
      </c>
      <c r="E666" s="11" t="s">
        <v>10</v>
      </c>
      <c r="F666" s="1">
        <f>-B667*COS(t.1)+a*COS(C664)+b*COS(C666)-c.*COS(t.4)</f>
        <v>8.346699541331294E-4</v>
      </c>
      <c r="H666" s="8" t="s">
        <v>7</v>
      </c>
      <c r="I666" s="8" t="s">
        <v>9</v>
      </c>
      <c r="J666" s="4"/>
      <c r="K666" s="8" t="s">
        <v>7</v>
      </c>
      <c r="L666" s="8" t="s">
        <v>9</v>
      </c>
      <c r="M666" s="20"/>
      <c r="O666" s="22"/>
    </row>
    <row r="667" spans="1:15" x14ac:dyDescent="0.35">
      <c r="A667" s="2" t="s">
        <v>9</v>
      </c>
      <c r="B667" s="6">
        <f>O661+B660</f>
        <v>-8.455371470372306</v>
      </c>
      <c r="C667" s="3"/>
      <c r="E667" s="11" t="s">
        <v>11</v>
      </c>
      <c r="F667" s="1">
        <f>-B667*SIN(t.1)+a*SIN(C664)+b*SIN(C666)-c.*SIN(t.4)</f>
        <v>-3.9437252916263432E-4</v>
      </c>
      <c r="H667" s="3">
        <f>-b*SIN(C666)</f>
        <v>-2.4996056274708369</v>
      </c>
      <c r="I667" s="3">
        <f>-COS(t.1)</f>
        <v>-1</v>
      </c>
      <c r="J667" s="4"/>
      <c r="K667" s="3" cm="1">
        <f t="array" ref="K667:L668">MINVERSE(H667:I668)</f>
        <v>0</v>
      </c>
      <c r="L667" s="3">
        <v>-0.18333362420862848</v>
      </c>
      <c r="M667" s="3">
        <f>-F666</f>
        <v>-8.346699541331294E-4</v>
      </c>
      <c r="O667" s="1" cm="1">
        <f t="array" ref="O667:O668">MMULT(K667:L668,M667:M668)</f>
        <v>-7.2301745059708778E-5</v>
      </c>
    </row>
    <row r="668" spans="1:15" x14ac:dyDescent="0.35">
      <c r="H668" s="3">
        <f>b*COS(C666)</f>
        <v>-5.4545368004181727</v>
      </c>
      <c r="I668" s="3">
        <f>-SIN(t.1)</f>
        <v>0</v>
      </c>
      <c r="J668" s="4"/>
      <c r="K668" s="3">
        <v>-1</v>
      </c>
      <c r="L668" s="3">
        <v>0.45826175877651137</v>
      </c>
      <c r="M668" s="3">
        <f>-F667</f>
        <v>3.9437252916263432E-4</v>
      </c>
      <c r="O668" s="1">
        <v>1.0153958029603392E-3</v>
      </c>
    </row>
    <row r="670" spans="1:15" x14ac:dyDescent="0.35">
      <c r="A670" s="9" t="s">
        <v>19</v>
      </c>
      <c r="C670" s="2" t="s">
        <v>4</v>
      </c>
    </row>
    <row r="671" spans="1:15" x14ac:dyDescent="0.35">
      <c r="A671" s="2" t="s">
        <v>5</v>
      </c>
      <c r="B671" s="6">
        <v>180</v>
      </c>
      <c r="C671" s="3">
        <f>B671*PI()/180</f>
        <v>3.1415926535897931</v>
      </c>
    </row>
    <row r="672" spans="1:15" x14ac:dyDescent="0.35">
      <c r="A672" s="4"/>
      <c r="B672" s="4"/>
      <c r="C672" s="1"/>
      <c r="H672" s="18" t="s">
        <v>12</v>
      </c>
      <c r="I672" s="18"/>
      <c r="J672" s="4"/>
      <c r="K672" s="18" t="s">
        <v>13</v>
      </c>
      <c r="L672" s="18"/>
      <c r="M672" s="19" t="s">
        <v>14</v>
      </c>
      <c r="O672" s="21" t="s">
        <v>15</v>
      </c>
    </row>
    <row r="673" spans="1:15" x14ac:dyDescent="0.35">
      <c r="A673" s="2" t="s">
        <v>7</v>
      </c>
      <c r="B673" s="6">
        <f>C673*180/PI()</f>
        <v>155.37568171647018</v>
      </c>
      <c r="C673" s="3">
        <f>O667+C666</f>
        <v>2.7118172234831595</v>
      </c>
      <c r="E673" s="11" t="s">
        <v>10</v>
      </c>
      <c r="F673" s="1">
        <f>-B674*COS(t.1)+a*COS(C671)+b*COS(C673)-c.*COS(t.4)</f>
        <v>1.425675295825329E-8</v>
      </c>
      <c r="H673" s="8" t="s">
        <v>7</v>
      </c>
      <c r="I673" s="8" t="s">
        <v>9</v>
      </c>
      <c r="J673" s="4"/>
      <c r="K673" s="8" t="s">
        <v>7</v>
      </c>
      <c r="L673" s="8" t="s">
        <v>9</v>
      </c>
      <c r="M673" s="20"/>
      <c r="O673" s="22"/>
    </row>
    <row r="674" spans="1:15" x14ac:dyDescent="0.35">
      <c r="A674" s="2" t="s">
        <v>9</v>
      </c>
      <c r="B674" s="6">
        <f>O668+B667</f>
        <v>-8.4543560745693451</v>
      </c>
      <c r="C674" s="3"/>
      <c r="E674" s="11" t="s">
        <v>11</v>
      </c>
      <c r="F674" s="1">
        <f>-B674*SIN(t.1)+a*SIN(C671)+b*SIN(C673)-c.*SIN(t.4)</f>
        <v>-6.5337393273523503E-9</v>
      </c>
      <c r="H674" s="3">
        <f>-b*SIN(C673)</f>
        <v>-2.4999999934662602</v>
      </c>
      <c r="I674" s="3">
        <f>-COS(t.1)</f>
        <v>-1</v>
      </c>
      <c r="J674" s="4"/>
      <c r="K674" s="3" cm="1">
        <f t="array" ref="K674:L675">MINVERSE(H674:I675)</f>
        <v>0</v>
      </c>
      <c r="L674" s="3">
        <v>-0.1833396993049789</v>
      </c>
      <c r="M674" s="3">
        <f>-F673</f>
        <v>-1.425675295825329E-8</v>
      </c>
      <c r="O674" s="1" cm="1">
        <f t="array" ref="O674:O675">MMULT(K674:L675,M674:M675)</f>
        <v>-1.1978938036138951E-9</v>
      </c>
    </row>
    <row r="675" spans="1:15" x14ac:dyDescent="0.35">
      <c r="H675" s="3">
        <f>b*COS(C673)</f>
        <v>-5.454356060312592</v>
      </c>
      <c r="I675" s="3">
        <f>-SIN(t.1)</f>
        <v>0</v>
      </c>
      <c r="J675" s="4"/>
      <c r="K675" s="3">
        <v>-1</v>
      </c>
      <c r="L675" s="3">
        <v>0.45834924706455338</v>
      </c>
      <c r="M675" s="3">
        <f>-F674</f>
        <v>6.5337393273523503E-9</v>
      </c>
      <c r="O675" s="1">
        <v>1.7251487459461303E-8</v>
      </c>
    </row>
    <row r="677" spans="1:15" x14ac:dyDescent="0.35">
      <c r="A677" s="9" t="s">
        <v>20</v>
      </c>
      <c r="C677" s="2" t="s">
        <v>4</v>
      </c>
    </row>
    <row r="678" spans="1:15" x14ac:dyDescent="0.35">
      <c r="A678" s="2" t="s">
        <v>5</v>
      </c>
      <c r="B678" s="6">
        <v>180</v>
      </c>
      <c r="C678" s="3">
        <f>B678*PI()/180</f>
        <v>3.1415926535897931</v>
      </c>
    </row>
    <row r="679" spans="1:15" x14ac:dyDescent="0.35">
      <c r="A679" s="4"/>
      <c r="B679" s="4"/>
      <c r="C679" s="1"/>
      <c r="H679" s="18" t="s">
        <v>12</v>
      </c>
      <c r="I679" s="18"/>
      <c r="J679" s="4"/>
      <c r="K679" s="18" t="s">
        <v>13</v>
      </c>
      <c r="L679" s="18"/>
      <c r="M679" s="19" t="s">
        <v>14</v>
      </c>
      <c r="O679" s="21" t="s">
        <v>15</v>
      </c>
    </row>
    <row r="680" spans="1:15" x14ac:dyDescent="0.35">
      <c r="A680" s="2" t="s">
        <v>7</v>
      </c>
      <c r="B680" s="6">
        <f>C680*180/PI()</f>
        <v>155.37568164783593</v>
      </c>
      <c r="C680" s="3">
        <f>O674+C673</f>
        <v>2.7118172222852657</v>
      </c>
      <c r="E680" s="11" t="s">
        <v>10</v>
      </c>
      <c r="F680" s="1">
        <f>-B681*COS(t.1)+a*COS(C678)+b*COS(C680)-c.*COS(t.4)</f>
        <v>-1.531435568635775E-16</v>
      </c>
      <c r="H680" s="8" t="s">
        <v>7</v>
      </c>
      <c r="I680" s="8" t="s">
        <v>9</v>
      </c>
      <c r="J680" s="4"/>
      <c r="K680" s="8" t="s">
        <v>7</v>
      </c>
      <c r="L680" s="8" t="s">
        <v>9</v>
      </c>
      <c r="M680" s="20"/>
      <c r="O680" s="22"/>
    </row>
    <row r="681" spans="1:15" x14ac:dyDescent="0.35">
      <c r="A681" s="2" t="s">
        <v>9</v>
      </c>
      <c r="B681" s="6">
        <f>O675+B674</f>
        <v>-8.4543560573178578</v>
      </c>
      <c r="C681" s="3"/>
      <c r="E681" s="11" t="s">
        <v>11</v>
      </c>
      <c r="F681" s="1">
        <f>-B681*SIN(t.1)+a*SIN(C678)+b*SIN(C680)-c.*SIN(t.4)</f>
        <v>0</v>
      </c>
      <c r="H681" s="3">
        <f>-b*SIN(C680)</f>
        <v>-2.4999999999999996</v>
      </c>
      <c r="I681" s="3">
        <f>-COS(B638)</f>
        <v>1.4694474443132165E-2</v>
      </c>
      <c r="J681" s="4"/>
      <c r="K681" s="3" cm="1">
        <f t="array" ref="K681:L682">MINVERSE(H681:I682)</f>
        <v>-0.41325004448566277</v>
      </c>
      <c r="L681" s="3">
        <v>6.0731479327819846E-3</v>
      </c>
      <c r="M681" s="3">
        <f>-F680</f>
        <v>1.531435568635775E-16</v>
      </c>
      <c r="O681" s="1" cm="1">
        <f t="array" ref="O681:O682">MMULT(K681:L682,M681:M682)</f>
        <v>-6.3286581686566029E-17</v>
      </c>
    </row>
    <row r="682" spans="1:15" x14ac:dyDescent="0.35">
      <c r="H682" s="3">
        <f>b*COS(C680)</f>
        <v>-5.4543560573178578</v>
      </c>
      <c r="I682" s="3">
        <f>-SIN(B638)</f>
        <v>0.99989203038170082</v>
      </c>
      <c r="J682" s="4"/>
      <c r="K682" s="3">
        <v>-2.2542562745167571</v>
      </c>
      <c r="L682" s="3">
        <v>1.0332366693829629</v>
      </c>
      <c r="M682" s="3">
        <f>-F681</f>
        <v>0</v>
      </c>
      <c r="O682" s="1">
        <v>-3.4522482396153338E-16</v>
      </c>
    </row>
    <row r="684" spans="1:15" x14ac:dyDescent="0.35">
      <c r="A684" s="9" t="s">
        <v>6</v>
      </c>
      <c r="C684" s="2" t="s">
        <v>4</v>
      </c>
    </row>
    <row r="685" spans="1:15" x14ac:dyDescent="0.35">
      <c r="A685" s="2" t="s">
        <v>5</v>
      </c>
      <c r="B685" s="6">
        <v>0</v>
      </c>
      <c r="C685" s="3">
        <f>B685*PI()/180</f>
        <v>0</v>
      </c>
    </row>
    <row r="686" spans="1:15" x14ac:dyDescent="0.35">
      <c r="A686" s="4"/>
      <c r="B686" s="4"/>
      <c r="C686" s="1"/>
      <c r="H686" s="18" t="s">
        <v>12</v>
      </c>
      <c r="I686" s="18"/>
      <c r="J686" s="4"/>
      <c r="K686" s="18" t="s">
        <v>13</v>
      </c>
      <c r="L686" s="18"/>
      <c r="M686" s="19" t="s">
        <v>14</v>
      </c>
      <c r="O686" s="21" t="s">
        <v>15</v>
      </c>
    </row>
    <row r="687" spans="1:15" x14ac:dyDescent="0.35">
      <c r="A687" s="2" t="s">
        <v>7</v>
      </c>
      <c r="B687" s="6">
        <v>110</v>
      </c>
      <c r="C687" s="3">
        <f>B687*PI()/180</f>
        <v>1.9198621771937625</v>
      </c>
      <c r="E687" s="11" t="s">
        <v>10</v>
      </c>
      <c r="F687" s="1">
        <f>-B688*COS(t.1)+a*COS(C685)+b*COS(C687)-c.*COS(t.4)</f>
        <v>-5.0521208599540124</v>
      </c>
      <c r="H687" s="8" t="s">
        <v>7</v>
      </c>
      <c r="I687" s="8" t="s">
        <v>9</v>
      </c>
      <c r="J687" s="4"/>
      <c r="K687" s="8" t="s">
        <v>7</v>
      </c>
      <c r="L687" s="8" t="s">
        <v>9</v>
      </c>
      <c r="M687" s="20"/>
      <c r="O687" s="22"/>
    </row>
    <row r="688" spans="1:15" x14ac:dyDescent="0.35">
      <c r="A688" s="2" t="s">
        <v>9</v>
      </c>
      <c r="B688" s="6">
        <v>6</v>
      </c>
      <c r="C688" s="3"/>
      <c r="E688" s="11" t="s">
        <v>11</v>
      </c>
      <c r="F688" s="1">
        <f>-B688*SIN(t.1)+a*SIN(C685)+b*SIN(C687)-c.*SIN(t.4)</f>
        <v>3.1381557247154506</v>
      </c>
      <c r="H688" s="3">
        <f>-b*SIN(C687)</f>
        <v>-5.6381557247154506</v>
      </c>
      <c r="I688" s="3">
        <f>-COS(t.1)</f>
        <v>-1</v>
      </c>
      <c r="J688" s="4"/>
      <c r="K688" s="3" cm="1">
        <f t="array" ref="K688:L689">MINVERSE(H688:I689)</f>
        <v>0</v>
      </c>
      <c r="L688" s="3">
        <v>-0.48730073336051455</v>
      </c>
      <c r="M688" s="3">
        <f>-F687</f>
        <v>5.0521208599540124</v>
      </c>
      <c r="O688" s="1" cm="1">
        <f t="array" ref="O688:O689">MMULT(K688:L689,M688:M689)</f>
        <v>1.5292255860533361</v>
      </c>
    </row>
    <row r="689" spans="1:15" x14ac:dyDescent="0.35">
      <c r="H689" s="3">
        <f>b*COS(C687)</f>
        <v>-2.0521208599540124</v>
      </c>
      <c r="I689" s="3">
        <f>-SIN(t.1)</f>
        <v>0</v>
      </c>
      <c r="J689" s="4"/>
      <c r="K689" s="3">
        <v>-1</v>
      </c>
      <c r="L689" s="3">
        <v>2.7474774194546225</v>
      </c>
      <c r="M689" s="3">
        <f>-F688</f>
        <v>-3.1381557247154506</v>
      </c>
      <c r="O689" s="1">
        <v>-13.67413285234197</v>
      </c>
    </row>
    <row r="691" spans="1:15" x14ac:dyDescent="0.35">
      <c r="A691" s="9" t="s">
        <v>16</v>
      </c>
      <c r="C691" s="2" t="s">
        <v>4</v>
      </c>
    </row>
    <row r="692" spans="1:15" x14ac:dyDescent="0.35">
      <c r="A692" s="2" t="s">
        <v>5</v>
      </c>
      <c r="B692" s="6">
        <v>192</v>
      </c>
      <c r="C692" s="3">
        <f>B692*PI()/180</f>
        <v>3.3510321638291125</v>
      </c>
    </row>
    <row r="693" spans="1:15" x14ac:dyDescent="0.35">
      <c r="A693" s="4"/>
      <c r="B693" s="4"/>
      <c r="C693" s="1"/>
      <c r="H693" s="18" t="s">
        <v>12</v>
      </c>
      <c r="I693" s="18"/>
      <c r="J693" s="4"/>
      <c r="K693" s="18" t="s">
        <v>13</v>
      </c>
      <c r="L693" s="18"/>
      <c r="M693" s="19" t="s">
        <v>14</v>
      </c>
      <c r="O693" s="21" t="s">
        <v>15</v>
      </c>
    </row>
    <row r="694" spans="1:15" x14ac:dyDescent="0.35">
      <c r="A694" s="2" t="s">
        <v>7</v>
      </c>
      <c r="B694" s="6">
        <f>C694*180/PI()</f>
        <v>197.61817200427606</v>
      </c>
      <c r="C694" s="3">
        <f>O688+C687</f>
        <v>3.4490877632470989</v>
      </c>
      <c r="E694" s="11" t="s">
        <v>10</v>
      </c>
      <c r="F694" s="1">
        <f>-B695*COS(t.1)+a*COS(C692)+b*COS(C694)-c.*COS(t.4)</f>
        <v>-0.97887826880150641</v>
      </c>
      <c r="H694" s="8" t="s">
        <v>7</v>
      </c>
      <c r="I694" s="8" t="s">
        <v>9</v>
      </c>
      <c r="J694" s="4"/>
      <c r="K694" s="8" t="s">
        <v>7</v>
      </c>
      <c r="L694" s="8" t="s">
        <v>9</v>
      </c>
      <c r="M694" s="20"/>
      <c r="O694" s="22"/>
    </row>
    <row r="695" spans="1:15" x14ac:dyDescent="0.35">
      <c r="A695" s="2" t="s">
        <v>9</v>
      </c>
      <c r="B695" s="6">
        <f>O689+B688</f>
        <v>-7.6741328523419696</v>
      </c>
      <c r="C695" s="3"/>
      <c r="E695" s="11" t="s">
        <v>11</v>
      </c>
      <c r="F695" s="1">
        <f>-B695*SIN(t.1)+a*SIN(C692)+b*SIN(C694)-c.*SIN(t.4)</f>
        <v>-4.9397682168623209</v>
      </c>
      <c r="H695" s="3">
        <f>-b*SIN(C694)</f>
        <v>1.8160331444090434</v>
      </c>
      <c r="I695" s="3">
        <f>-COS(t.1)</f>
        <v>-1</v>
      </c>
      <c r="J695" s="4"/>
      <c r="K695" s="3" cm="1">
        <f t="array" ref="K695:L696">MINVERSE(H695:I696)</f>
        <v>0</v>
      </c>
      <c r="L695" s="3">
        <v>-0.1748689434534903</v>
      </c>
      <c r="M695" s="3">
        <f>-F694</f>
        <v>0.97887826880150641</v>
      </c>
      <c r="O695" s="1" cm="1">
        <f t="array" ref="O695:O696">MMULT(K695:L696,M695:M696)</f>
        <v>-0.8638120489878458</v>
      </c>
    </row>
    <row r="696" spans="1:15" x14ac:dyDescent="0.35">
      <c r="H696" s="3">
        <f>b*COS(C694)</f>
        <v>-5.7185683189420589</v>
      </c>
      <c r="I696" s="3">
        <f>-SIN(t.1)</f>
        <v>0</v>
      </c>
      <c r="J696" s="4"/>
      <c r="K696" s="3">
        <v>-1</v>
      </c>
      <c r="L696" s="3">
        <v>-0.31756779723932921</v>
      </c>
      <c r="M696" s="3">
        <f>-F695</f>
        <v>4.9397682168623209</v>
      </c>
      <c r="O696" s="1">
        <v>-2.5475895803033226</v>
      </c>
    </row>
    <row r="698" spans="1:15" x14ac:dyDescent="0.35">
      <c r="A698" s="9" t="s">
        <v>17</v>
      </c>
      <c r="C698" s="2" t="s">
        <v>4</v>
      </c>
    </row>
    <row r="699" spans="1:15" x14ac:dyDescent="0.35">
      <c r="A699" s="2" t="s">
        <v>5</v>
      </c>
      <c r="B699" s="6">
        <v>192</v>
      </c>
      <c r="C699" s="3">
        <f>B699*PI()/180</f>
        <v>3.3510321638291125</v>
      </c>
    </row>
    <row r="700" spans="1:15" x14ac:dyDescent="0.35">
      <c r="A700" s="4"/>
      <c r="B700" s="4"/>
      <c r="C700" s="1"/>
      <c r="H700" s="18" t="s">
        <v>12</v>
      </c>
      <c r="I700" s="18"/>
      <c r="J700" s="4"/>
      <c r="K700" s="18" t="s">
        <v>13</v>
      </c>
      <c r="L700" s="18"/>
      <c r="M700" s="19" t="s">
        <v>14</v>
      </c>
      <c r="O700" s="21" t="s">
        <v>15</v>
      </c>
    </row>
    <row r="701" spans="1:15" x14ac:dyDescent="0.35">
      <c r="A701" s="2" t="s">
        <v>7</v>
      </c>
      <c r="B701" s="6">
        <f>C701*180/PI()</f>
        <v>148.12538730472457</v>
      </c>
      <c r="C701" s="3">
        <f>O695+C694</f>
        <v>2.5852757142592528</v>
      </c>
      <c r="E701" s="11" t="s">
        <v>10</v>
      </c>
      <c r="F701" s="1">
        <f>-B702*COS(t.1)+a*COS(C699)+b*COS(C701)-c.*COS(t.4)</f>
        <v>2.1920451237841725</v>
      </c>
      <c r="H701" s="8" t="s">
        <v>7</v>
      </c>
      <c r="I701" s="8" t="s">
        <v>9</v>
      </c>
      <c r="J701" s="4"/>
      <c r="K701" s="8" t="s">
        <v>7</v>
      </c>
      <c r="L701" s="8" t="s">
        <v>9</v>
      </c>
      <c r="M701" s="20"/>
      <c r="O701" s="22"/>
    </row>
    <row r="702" spans="1:15" x14ac:dyDescent="0.35">
      <c r="A702" s="2" t="s">
        <v>9</v>
      </c>
      <c r="B702" s="6">
        <f>O696+B695</f>
        <v>-10.221722432645292</v>
      </c>
      <c r="C702" s="3"/>
      <c r="E702" s="11" t="s">
        <v>11</v>
      </c>
      <c r="F702" s="1">
        <f>-B702*SIN(t.1)+a*SIN(C699)+b*SIN(C701)-c.*SIN(t.4)</f>
        <v>4.4637589047301418E-2</v>
      </c>
      <c r="H702" s="3">
        <f>-b*SIN(C701)</f>
        <v>-3.1683726615005785</v>
      </c>
      <c r="I702" s="3">
        <f>-COS(t.1)</f>
        <v>-1</v>
      </c>
      <c r="J702" s="4"/>
      <c r="K702" s="3" cm="1">
        <f t="array" ref="K702:L703">MINVERSE(H702:I703)</f>
        <v>0</v>
      </c>
      <c r="L702" s="3">
        <v>-0.19626182047027566</v>
      </c>
      <c r="M702" s="3">
        <f>-F701</f>
        <v>-2.1920451237841725</v>
      </c>
      <c r="O702" s="1" cm="1">
        <f t="array" ref="O702:O703">MMULT(K702:L703,M702:M703)</f>
        <v>8.7606544878274135E-3</v>
      </c>
    </row>
    <row r="703" spans="1:15" x14ac:dyDescent="0.35">
      <c r="H703" s="3">
        <f>b*COS(C701)</f>
        <v>-5.0952345066597022</v>
      </c>
      <c r="I703" s="3">
        <f>-SIN(t.1)</f>
        <v>0</v>
      </c>
      <c r="J703" s="4"/>
      <c r="K703" s="3">
        <v>-1</v>
      </c>
      <c r="L703" s="3">
        <v>0.62183058647435596</v>
      </c>
      <c r="M703" s="3">
        <f>-F702</f>
        <v>-4.4637589047301418E-2</v>
      </c>
      <c r="O703" s="1">
        <v>2.1642881056080876</v>
      </c>
    </row>
    <row r="705" spans="1:15" x14ac:dyDescent="0.35">
      <c r="A705" s="9" t="s">
        <v>18</v>
      </c>
      <c r="C705" s="2" t="s">
        <v>4</v>
      </c>
    </row>
    <row r="706" spans="1:15" x14ac:dyDescent="0.35">
      <c r="A706" s="2" t="s">
        <v>5</v>
      </c>
      <c r="B706" s="6">
        <v>192</v>
      </c>
      <c r="C706" s="3">
        <f>B706*PI()/180</f>
        <v>3.3510321638291125</v>
      </c>
    </row>
    <row r="707" spans="1:15" x14ac:dyDescent="0.35">
      <c r="A707" s="4"/>
      <c r="B707" s="4"/>
      <c r="C707" s="1"/>
      <c r="H707" s="18" t="s">
        <v>12</v>
      </c>
      <c r="I707" s="18"/>
      <c r="J707" s="4"/>
      <c r="K707" s="18" t="s">
        <v>13</v>
      </c>
      <c r="L707" s="18"/>
      <c r="M707" s="19" t="s">
        <v>14</v>
      </c>
      <c r="O707" s="21" t="s">
        <v>15</v>
      </c>
    </row>
    <row r="708" spans="1:15" x14ac:dyDescent="0.35">
      <c r="A708" s="2" t="s">
        <v>7</v>
      </c>
      <c r="B708" s="6">
        <f>C708*180/PI()</f>
        <v>148.62733583264944</v>
      </c>
      <c r="C708" s="3">
        <f>O702+C701</f>
        <v>2.5940363687470804</v>
      </c>
      <c r="E708" s="11" t="s">
        <v>10</v>
      </c>
      <c r="F708" s="1">
        <f>-B709*COS(t.1)+a*COS(C706)+b*COS(C708)-c.*COS(t.4)</f>
        <v>1.9588104970920346E-4</v>
      </c>
      <c r="H708" s="8" t="s">
        <v>7</v>
      </c>
      <c r="I708" s="8" t="s">
        <v>9</v>
      </c>
      <c r="J708" s="4"/>
      <c r="K708" s="8" t="s">
        <v>7</v>
      </c>
      <c r="L708" s="8" t="s">
        <v>9</v>
      </c>
      <c r="M708" s="20"/>
      <c r="O708" s="22"/>
    </row>
    <row r="709" spans="1:15" x14ac:dyDescent="0.35">
      <c r="A709" s="2" t="s">
        <v>9</v>
      </c>
      <c r="B709" s="6">
        <f>O703+B702</f>
        <v>-8.0574343270372033</v>
      </c>
      <c r="C709" s="3"/>
      <c r="E709" s="11" t="s">
        <v>11</v>
      </c>
      <c r="F709" s="1">
        <f>-B709*SIN(t.1)+a*SIN(C706)+b*SIN(C708)-c.*SIN(t.4)</f>
        <v>-1.2101306527423361E-4</v>
      </c>
      <c r="H709" s="3">
        <f>-b*SIN(C708)</f>
        <v>-3.1236140593880029</v>
      </c>
      <c r="I709" s="3">
        <f>-COS(t.1)</f>
        <v>-1</v>
      </c>
      <c r="J709" s="4"/>
      <c r="K709" s="3" cm="1">
        <f t="array" ref="K709:L710">MINVERSE(H709:I710)</f>
        <v>0</v>
      </c>
      <c r="L709" s="3">
        <v>-0.19520591285209563</v>
      </c>
      <c r="M709" s="3">
        <f>-F708</f>
        <v>-1.9588104970920346E-4</v>
      </c>
      <c r="O709" s="1" cm="1">
        <f t="array" ref="O709:O710">MMULT(K709:L710,M709:M710)</f>
        <v>-2.3622465873887006E-5</v>
      </c>
    </row>
    <row r="710" spans="1:15" x14ac:dyDescent="0.35">
      <c r="H710" s="3">
        <f>b*COS(C708)</f>
        <v>-5.1227956437860769</v>
      </c>
      <c r="I710" s="3">
        <f>-SIN(t.1)</f>
        <v>0</v>
      </c>
      <c r="J710" s="4"/>
      <c r="K710" s="3">
        <v>-1</v>
      </c>
      <c r="L710" s="3">
        <v>0.6097479338604751</v>
      </c>
      <c r="M710" s="3">
        <f>-F709</f>
        <v>1.2101306527423361E-4</v>
      </c>
      <c r="O710" s="1">
        <v>2.6966851623029021E-4</v>
      </c>
    </row>
    <row r="712" spans="1:15" x14ac:dyDescent="0.35">
      <c r="A712" s="9" t="s">
        <v>19</v>
      </c>
      <c r="C712" s="2" t="s">
        <v>4</v>
      </c>
    </row>
    <row r="713" spans="1:15" x14ac:dyDescent="0.35">
      <c r="A713" s="2" t="s">
        <v>5</v>
      </c>
      <c r="B713" s="6">
        <v>192</v>
      </c>
      <c r="C713" s="3">
        <f>B713*PI()/180</f>
        <v>3.3510321638291125</v>
      </c>
    </row>
    <row r="714" spans="1:15" x14ac:dyDescent="0.35">
      <c r="A714" s="4"/>
      <c r="B714" s="4"/>
      <c r="C714" s="1"/>
      <c r="H714" s="18" t="s">
        <v>12</v>
      </c>
      <c r="I714" s="18"/>
      <c r="J714" s="4"/>
      <c r="K714" s="18" t="s">
        <v>13</v>
      </c>
      <c r="L714" s="18"/>
      <c r="M714" s="19" t="s">
        <v>14</v>
      </c>
      <c r="O714" s="21" t="s">
        <v>15</v>
      </c>
    </row>
    <row r="715" spans="1:15" x14ac:dyDescent="0.35">
      <c r="A715" s="2" t="s">
        <v>7</v>
      </c>
      <c r="B715" s="6">
        <f>C715*180/PI()</f>
        <v>148.62598236505315</v>
      </c>
      <c r="C715" s="3">
        <f>O709+C708</f>
        <v>2.5940127462812064</v>
      </c>
      <c r="E715" s="11" t="s">
        <v>10</v>
      </c>
      <c r="F715" s="1">
        <f>-B716*COS(t.1)+a*COS(C713)+b*COS(C715)-c.*COS(t.4)</f>
        <v>1.4293080741862273E-9</v>
      </c>
      <c r="H715" s="8" t="s">
        <v>7</v>
      </c>
      <c r="I715" s="8" t="s">
        <v>9</v>
      </c>
      <c r="J715" s="4"/>
      <c r="K715" s="8" t="s">
        <v>7</v>
      </c>
      <c r="L715" s="8" t="s">
        <v>9</v>
      </c>
      <c r="M715" s="20"/>
      <c r="O715" s="22"/>
    </row>
    <row r="716" spans="1:15" x14ac:dyDescent="0.35">
      <c r="A716" s="2" t="s">
        <v>9</v>
      </c>
      <c r="B716" s="6">
        <f>O710+B709</f>
        <v>-8.0571646585209731</v>
      </c>
      <c r="C716" s="3"/>
      <c r="E716" s="11" t="s">
        <v>11</v>
      </c>
      <c r="F716" s="1">
        <f>-B716*SIN(t.1)+a*SIN(C713)+b*SIN(C715)-c.*SIN(t.4)</f>
        <v>-8.7153129157968579E-10</v>
      </c>
      <c r="H716" s="3">
        <f>-b*SIN(C715)</f>
        <v>-3.1237350715817458</v>
      </c>
      <c r="I716" s="3">
        <f>-COS(t.1)</f>
        <v>-1</v>
      </c>
      <c r="J716" s="4"/>
      <c r="K716" s="3" cm="1">
        <f t="array" ref="K716:L717">MINVERSE(H716:I717)</f>
        <v>0</v>
      </c>
      <c r="L716" s="3">
        <v>-0.19520872464418129</v>
      </c>
      <c r="M716" s="3">
        <f>-F715</f>
        <v>-1.4293080741862273E-9</v>
      </c>
      <c r="O716" s="1" cm="1">
        <f t="array" ref="O716:O717">MMULT(K716:L717,M716:M717)</f>
        <v>-1.7013051191676655E-10</v>
      </c>
    </row>
    <row r="717" spans="1:15" x14ac:dyDescent="0.35">
      <c r="H717" s="3">
        <f>b*COS(C715)</f>
        <v>-5.1227218548902478</v>
      </c>
      <c r="I717" s="3">
        <f>-SIN(t.1)</f>
        <v>0</v>
      </c>
      <c r="J717" s="4"/>
      <c r="K717" s="3">
        <v>-1</v>
      </c>
      <c r="L717" s="3">
        <v>0.60978033944977295</v>
      </c>
      <c r="M717" s="3">
        <f>-F716</f>
        <v>8.7153129157968579E-10</v>
      </c>
      <c r="O717" s="1">
        <v>1.9607507210067869E-9</v>
      </c>
    </row>
    <row r="719" spans="1:15" x14ac:dyDescent="0.35">
      <c r="A719" s="9" t="s">
        <v>20</v>
      </c>
      <c r="C719" s="2" t="s">
        <v>4</v>
      </c>
    </row>
    <row r="720" spans="1:15" x14ac:dyDescent="0.35">
      <c r="A720" s="2" t="s">
        <v>5</v>
      </c>
      <c r="B720" s="6">
        <v>192</v>
      </c>
      <c r="C720" s="3">
        <f>B720*PI()/180</f>
        <v>3.3510321638291125</v>
      </c>
    </row>
    <row r="721" spans="1:15" x14ac:dyDescent="0.35">
      <c r="A721" s="4"/>
      <c r="B721" s="4"/>
      <c r="C721" s="1"/>
      <c r="H721" s="18" t="s">
        <v>12</v>
      </c>
      <c r="I721" s="18"/>
      <c r="J721" s="4"/>
      <c r="K721" s="18" t="s">
        <v>13</v>
      </c>
      <c r="L721" s="18"/>
      <c r="M721" s="19" t="s">
        <v>14</v>
      </c>
      <c r="O721" s="21" t="s">
        <v>15</v>
      </c>
    </row>
    <row r="722" spans="1:15" x14ac:dyDescent="0.35">
      <c r="A722" s="2" t="s">
        <v>7</v>
      </c>
      <c r="B722" s="6">
        <f>C722*180/PI()</f>
        <v>148.62598235530541</v>
      </c>
      <c r="C722" s="3">
        <f>O716+C715</f>
        <v>2.5940127461110758</v>
      </c>
      <c r="E722" s="11" t="s">
        <v>10</v>
      </c>
      <c r="F722" s="1">
        <f>-B723*COS(t.1)+a*COS(C720)+b*COS(C722)-c.*COS(t.4)</f>
        <v>-1.0413219765637027E-15</v>
      </c>
      <c r="H722" s="8" t="s">
        <v>7</v>
      </c>
      <c r="I722" s="8" t="s">
        <v>9</v>
      </c>
      <c r="J722" s="4"/>
      <c r="K722" s="8" t="s">
        <v>7</v>
      </c>
      <c r="L722" s="8" t="s">
        <v>9</v>
      </c>
      <c r="M722" s="20"/>
      <c r="O722" s="22"/>
    </row>
    <row r="723" spans="1:15" x14ac:dyDescent="0.35">
      <c r="A723" s="2" t="s">
        <v>9</v>
      </c>
      <c r="B723" s="6">
        <f>O717+B716</f>
        <v>-8.0571646565602215</v>
      </c>
      <c r="C723" s="3"/>
      <c r="E723" s="11" t="s">
        <v>11</v>
      </c>
      <c r="F723" s="1">
        <f>-B723*SIN(t.1)+a*SIN(C720)+b*SIN(C722)-c.*SIN(t.4)</f>
        <v>0</v>
      </c>
      <c r="H723" s="3">
        <f>-b*SIN(C722)</f>
        <v>-3.1237350724532771</v>
      </c>
      <c r="I723" s="3">
        <f>-COS(B680)</f>
        <v>0.13276157748559003</v>
      </c>
      <c r="J723" s="4"/>
      <c r="K723" s="3" cm="1">
        <f t="array" ref="K723:L724">MINVERSE(H723:I724)</f>
        <v>-0.41024624086305528</v>
      </c>
      <c r="L723" s="3">
        <v>5.4951367442782048E-2</v>
      </c>
      <c r="M723" s="3">
        <f>-F722</f>
        <v>1.0413219765637027E-15</v>
      </c>
      <c r="O723" s="1" cm="1">
        <f t="array" ref="O723:O724">MMULT(K723:L724,M723:M724)</f>
        <v>-4.2719842641334559E-16</v>
      </c>
    </row>
    <row r="724" spans="1:15" x14ac:dyDescent="0.35">
      <c r="H724" s="3">
        <f>b*COS(C722)</f>
        <v>-5.1227218543588053</v>
      </c>
      <c r="I724" s="3">
        <f>-SIN(B680)</f>
        <v>0.9911480028449523</v>
      </c>
      <c r="J724" s="4"/>
      <c r="K724" s="3">
        <v>-2.1203466865749965</v>
      </c>
      <c r="L724" s="3">
        <v>1.2929457227857712</v>
      </c>
      <c r="M724" s="3">
        <f>-F723</f>
        <v>0</v>
      </c>
      <c r="O724" s="1">
        <v>-2.2079636026645732E-15</v>
      </c>
    </row>
    <row r="726" spans="1:15" x14ac:dyDescent="0.35">
      <c r="A726" s="9" t="s">
        <v>6</v>
      </c>
      <c r="C726" s="2" t="s">
        <v>4</v>
      </c>
    </row>
    <row r="727" spans="1:15" x14ac:dyDescent="0.35">
      <c r="A727" s="2" t="s">
        <v>5</v>
      </c>
      <c r="B727" s="6">
        <v>0</v>
      </c>
      <c r="C727" s="3">
        <f>B727*PI()/180</f>
        <v>0</v>
      </c>
    </row>
    <row r="728" spans="1:15" x14ac:dyDescent="0.35">
      <c r="A728" s="4"/>
      <c r="B728" s="4"/>
      <c r="C728" s="1"/>
      <c r="H728" s="18" t="s">
        <v>12</v>
      </c>
      <c r="I728" s="18"/>
      <c r="J728" s="4"/>
      <c r="K728" s="18" t="s">
        <v>13</v>
      </c>
      <c r="L728" s="18"/>
      <c r="M728" s="19" t="s">
        <v>14</v>
      </c>
      <c r="O728" s="21" t="s">
        <v>15</v>
      </c>
    </row>
    <row r="729" spans="1:15" x14ac:dyDescent="0.35">
      <c r="A729" s="2" t="s">
        <v>7</v>
      </c>
      <c r="B729" s="6">
        <v>110</v>
      </c>
      <c r="C729" s="3">
        <f>B729*PI()/180</f>
        <v>1.9198621771937625</v>
      </c>
      <c r="E729" s="11" t="s">
        <v>10</v>
      </c>
      <c r="F729" s="1">
        <f>-B730*COS(t.1)+a*COS(C727)+b*COS(C729)-c.*COS(t.4)</f>
        <v>-5.0521208599540124</v>
      </c>
      <c r="H729" s="8" t="s">
        <v>7</v>
      </c>
      <c r="I729" s="8" t="s">
        <v>9</v>
      </c>
      <c r="J729" s="4"/>
      <c r="K729" s="8" t="s">
        <v>7</v>
      </c>
      <c r="L729" s="8" t="s">
        <v>9</v>
      </c>
      <c r="M729" s="20"/>
      <c r="O729" s="22"/>
    </row>
    <row r="730" spans="1:15" x14ac:dyDescent="0.35">
      <c r="A730" s="2" t="s">
        <v>9</v>
      </c>
      <c r="B730" s="6">
        <v>6</v>
      </c>
      <c r="C730" s="3"/>
      <c r="E730" s="11" t="s">
        <v>11</v>
      </c>
      <c r="F730" s="1">
        <f>-B730*SIN(t.1)+a*SIN(C727)+b*SIN(C729)-c.*SIN(t.4)</f>
        <v>3.1381557247154506</v>
      </c>
      <c r="H730" s="3">
        <f>-b*SIN(C729)</f>
        <v>-5.6381557247154506</v>
      </c>
      <c r="I730" s="3">
        <f>-COS(t.1)</f>
        <v>-1</v>
      </c>
      <c r="J730" s="4"/>
      <c r="K730" s="3" cm="1">
        <f t="array" ref="K730:L731">MINVERSE(H730:I731)</f>
        <v>0</v>
      </c>
      <c r="L730" s="3">
        <v>-0.48730073336051455</v>
      </c>
      <c r="M730" s="3">
        <f>-F729</f>
        <v>5.0521208599540124</v>
      </c>
      <c r="O730" s="1" cm="1">
        <f t="array" ref="O730:O731">MMULT(K730:L731,M730:M731)</f>
        <v>1.5292255860533361</v>
      </c>
    </row>
    <row r="731" spans="1:15" x14ac:dyDescent="0.35">
      <c r="H731" s="3">
        <f>b*COS(C729)</f>
        <v>-2.0521208599540124</v>
      </c>
      <c r="I731" s="3">
        <f>-SIN(t.1)</f>
        <v>0</v>
      </c>
      <c r="J731" s="4"/>
      <c r="K731" s="3">
        <v>-1</v>
      </c>
      <c r="L731" s="3">
        <v>2.7474774194546225</v>
      </c>
      <c r="M731" s="3">
        <f>-F730</f>
        <v>-3.1381557247154506</v>
      </c>
      <c r="O731" s="1">
        <v>-13.67413285234197</v>
      </c>
    </row>
    <row r="733" spans="1:15" x14ac:dyDescent="0.35">
      <c r="A733" s="9" t="s">
        <v>16</v>
      </c>
      <c r="C733" s="2" t="s">
        <v>4</v>
      </c>
    </row>
    <row r="734" spans="1:15" x14ac:dyDescent="0.35">
      <c r="A734" s="2" t="s">
        <v>5</v>
      </c>
      <c r="B734" s="6">
        <v>204</v>
      </c>
      <c r="C734" s="3">
        <f>B734*PI()/180</f>
        <v>3.5604716740684319</v>
      </c>
    </row>
    <row r="735" spans="1:15" x14ac:dyDescent="0.35">
      <c r="A735" s="4"/>
      <c r="B735" s="4"/>
      <c r="C735" s="1"/>
      <c r="H735" s="18" t="s">
        <v>12</v>
      </c>
      <c r="I735" s="18"/>
      <c r="J735" s="4"/>
      <c r="K735" s="18" t="s">
        <v>13</v>
      </c>
      <c r="L735" s="18"/>
      <c r="M735" s="19" t="s">
        <v>14</v>
      </c>
      <c r="O735" s="21" t="s">
        <v>15</v>
      </c>
    </row>
    <row r="736" spans="1:15" x14ac:dyDescent="0.35">
      <c r="A736" s="2" t="s">
        <v>7</v>
      </c>
      <c r="B736" s="6">
        <f>C736*180/PI()</f>
        <v>197.61817200427606</v>
      </c>
      <c r="C736" s="3">
        <f>O730+C729</f>
        <v>3.4490877632470989</v>
      </c>
      <c r="E736" s="11" t="s">
        <v>10</v>
      </c>
      <c r="F736" s="1">
        <f>-B737*COS(t.1)+a*COS(C734)+b*COS(C736)-c.*COS(t.4)</f>
        <v>-0.78507183952789206</v>
      </c>
      <c r="H736" s="8" t="s">
        <v>7</v>
      </c>
      <c r="I736" s="8" t="s">
        <v>9</v>
      </c>
      <c r="J736" s="4"/>
      <c r="K736" s="8" t="s">
        <v>7</v>
      </c>
      <c r="L736" s="8" t="s">
        <v>9</v>
      </c>
      <c r="M736" s="20"/>
      <c r="O736" s="22"/>
    </row>
    <row r="737" spans="1:15" x14ac:dyDescent="0.35">
      <c r="A737" s="2" t="s">
        <v>9</v>
      </c>
      <c r="B737" s="6">
        <f>O731+B730</f>
        <v>-7.6741328523419696</v>
      </c>
      <c r="C737" s="3"/>
      <c r="E737" s="11" t="s">
        <v>11</v>
      </c>
      <c r="F737" s="1">
        <f>-B737*SIN(t.1)+a*SIN(C734)+b*SIN(C736)-c.*SIN(t.4)</f>
        <v>-5.5362430736364434</v>
      </c>
      <c r="H737" s="3">
        <f>-b*SIN(C736)</f>
        <v>1.8160331444090434</v>
      </c>
      <c r="I737" s="3">
        <f>-COS(t.1)</f>
        <v>-1</v>
      </c>
      <c r="J737" s="4"/>
      <c r="K737" s="3" cm="1">
        <f t="array" ref="K737:L738">MINVERSE(H737:I738)</f>
        <v>0</v>
      </c>
      <c r="L737" s="3">
        <v>-0.1748689434534903</v>
      </c>
      <c r="M737" s="3">
        <f>-F736</f>
        <v>0.78507183952789206</v>
      </c>
      <c r="O737" s="1" cm="1">
        <f t="array" ref="O737:O738">MMULT(K737:L738,M737:M738)</f>
        <v>-0.96811697698850852</v>
      </c>
    </row>
    <row r="738" spans="1:15" x14ac:dyDescent="0.35">
      <c r="H738" s="3">
        <f>b*COS(C736)</f>
        <v>-5.7185683189420589</v>
      </c>
      <c r="I738" s="3">
        <f>-SIN(t.1)</f>
        <v>0</v>
      </c>
      <c r="J738" s="4"/>
      <c r="K738" s="3">
        <v>-1</v>
      </c>
      <c r="L738" s="3">
        <v>-0.31756779723932921</v>
      </c>
      <c r="M738" s="3">
        <f>-F737</f>
        <v>5.5362430736364434</v>
      </c>
      <c r="O738" s="1">
        <v>-2.543204357404111</v>
      </c>
    </row>
    <row r="740" spans="1:15" x14ac:dyDescent="0.35">
      <c r="A740" s="9" t="s">
        <v>17</v>
      </c>
      <c r="C740" s="2" t="s">
        <v>4</v>
      </c>
    </row>
    <row r="741" spans="1:15" x14ac:dyDescent="0.35">
      <c r="A741" s="2" t="s">
        <v>5</v>
      </c>
      <c r="B741" s="6">
        <v>204</v>
      </c>
      <c r="C741" s="3">
        <f>B741*PI()/180</f>
        <v>3.5604716740684319</v>
      </c>
    </row>
    <row r="742" spans="1:15" x14ac:dyDescent="0.35">
      <c r="A742" s="4"/>
      <c r="B742" s="4"/>
      <c r="C742" s="1"/>
      <c r="H742" s="18" t="s">
        <v>12</v>
      </c>
      <c r="I742" s="18"/>
      <c r="J742" s="4"/>
      <c r="K742" s="18" t="s">
        <v>13</v>
      </c>
      <c r="L742" s="18"/>
      <c r="M742" s="19" t="s">
        <v>14</v>
      </c>
      <c r="O742" s="21" t="s">
        <v>15</v>
      </c>
    </row>
    <row r="743" spans="1:15" x14ac:dyDescent="0.35">
      <c r="A743" s="2" t="s">
        <v>7</v>
      </c>
      <c r="B743" s="6">
        <f>C743*180/PI()</f>
        <v>142.14915514787069</v>
      </c>
      <c r="C743" s="3">
        <f>O737+C736</f>
        <v>2.4809707862585904</v>
      </c>
      <c r="E743" s="11" t="s">
        <v>10</v>
      </c>
      <c r="F743" s="1">
        <f>-B744*COS(t.1)+a*COS(C741)+b*COS(C743)-c.*COS(t.4)</f>
        <v>2.7390360282442883</v>
      </c>
      <c r="H743" s="8" t="s">
        <v>7</v>
      </c>
      <c r="I743" s="8" t="s">
        <v>9</v>
      </c>
      <c r="J743" s="4"/>
      <c r="K743" s="8" t="s">
        <v>7</v>
      </c>
      <c r="L743" s="8" t="s">
        <v>9</v>
      </c>
      <c r="M743" s="20"/>
      <c r="O743" s="22"/>
    </row>
    <row r="744" spans="1:15" x14ac:dyDescent="0.35">
      <c r="A744" s="2" t="s">
        <v>9</v>
      </c>
      <c r="B744" s="6">
        <f>O738+B737</f>
        <v>-10.217337209746081</v>
      </c>
      <c r="C744" s="3"/>
      <c r="E744" s="11" t="s">
        <v>11</v>
      </c>
      <c r="F744" s="1">
        <f>-B744*SIN(t.1)+a*SIN(C741)+b*SIN(C743)-c.*SIN(t.4)</f>
        <v>-3.8561906724490669E-2</v>
      </c>
      <c r="H744" s="3">
        <f>-b*SIN(C743)</f>
        <v>-3.6816480225029089</v>
      </c>
      <c r="I744" s="3">
        <f>-COS(t.1)</f>
        <v>-1</v>
      </c>
      <c r="J744" s="4"/>
      <c r="K744" s="3" cm="1">
        <f t="array" ref="K744:L745">MINVERSE(H744:I745)</f>
        <v>0</v>
      </c>
      <c r="L744" s="3">
        <v>-0.21107445131834776</v>
      </c>
      <c r="M744" s="3">
        <f>-F743</f>
        <v>-2.7390360282442883</v>
      </c>
      <c r="O744" s="1" cm="1">
        <f t="array" ref="O744:O745">MMULT(K744:L745,M744:M745)</f>
        <v>-8.1394333036611723E-3</v>
      </c>
    </row>
    <row r="745" spans="1:15" x14ac:dyDescent="0.35">
      <c r="H745" s="3">
        <f>b*COS(C743)</f>
        <v>-4.7376648085739896</v>
      </c>
      <c r="I745" s="3">
        <f>-SIN(t.1)</f>
        <v>0</v>
      </c>
      <c r="J745" s="4"/>
      <c r="K745" s="3">
        <v>-1</v>
      </c>
      <c r="L745" s="3">
        <v>0.77710183629708163</v>
      </c>
      <c r="M745" s="3">
        <f>-F744</f>
        <v>3.8561906724490669E-2</v>
      </c>
      <c r="O745" s="1">
        <v>2.7690025567710066</v>
      </c>
    </row>
    <row r="747" spans="1:15" x14ac:dyDescent="0.35">
      <c r="A747" s="9" t="s">
        <v>18</v>
      </c>
      <c r="C747" s="2" t="s">
        <v>4</v>
      </c>
    </row>
    <row r="748" spans="1:15" x14ac:dyDescent="0.35">
      <c r="A748" s="2" t="s">
        <v>5</v>
      </c>
      <c r="B748" s="6">
        <v>204</v>
      </c>
      <c r="C748" s="3">
        <f>B748*PI()/180</f>
        <v>3.5604716740684319</v>
      </c>
    </row>
    <row r="749" spans="1:15" x14ac:dyDescent="0.35">
      <c r="A749" s="4"/>
      <c r="B749" s="4"/>
      <c r="C749" s="1"/>
      <c r="H749" s="18" t="s">
        <v>12</v>
      </c>
      <c r="I749" s="18"/>
      <c r="J749" s="4"/>
      <c r="K749" s="18" t="s">
        <v>13</v>
      </c>
      <c r="L749" s="18"/>
      <c r="M749" s="19" t="s">
        <v>14</v>
      </c>
      <c r="O749" s="21" t="s">
        <v>15</v>
      </c>
    </row>
    <row r="750" spans="1:15" x14ac:dyDescent="0.35">
      <c r="A750" s="2" t="s">
        <v>7</v>
      </c>
      <c r="B750" s="6">
        <f>C750*180/PI()</f>
        <v>141.68279997194267</v>
      </c>
      <c r="C750" s="3">
        <f>O744+C743</f>
        <v>2.4728313529549291</v>
      </c>
      <c r="E750" s="11" t="s">
        <v>10</v>
      </c>
      <c r="F750" s="1">
        <f>-B751*COS(t.1)+a*COS(C748)+b*COS(C750)-c.*COS(t.4)</f>
        <v>1.5660428630932761E-4</v>
      </c>
      <c r="H750" s="8" t="s">
        <v>7</v>
      </c>
      <c r="I750" s="8" t="s">
        <v>9</v>
      </c>
      <c r="J750" s="4"/>
      <c r="K750" s="8" t="s">
        <v>7</v>
      </c>
      <c r="L750" s="8" t="s">
        <v>9</v>
      </c>
      <c r="M750" s="20"/>
      <c r="O750" s="22"/>
    </row>
    <row r="751" spans="1:15" x14ac:dyDescent="0.35">
      <c r="A751" s="2" t="s">
        <v>9</v>
      </c>
      <c r="B751" s="6">
        <f>O745+B744</f>
        <v>-7.448334652975074</v>
      </c>
      <c r="C751" s="3"/>
      <c r="E751" s="11" t="s">
        <v>11</v>
      </c>
      <c r="F751" s="1">
        <f>-B751*SIN(t.1)+a*SIN(C748)+b*SIN(C750)-c.*SIN(t.4)</f>
        <v>-1.2238039556144997E-4</v>
      </c>
      <c r="H751" s="3">
        <f>-b*SIN(C750)</f>
        <v>-3.7200875488318381</v>
      </c>
      <c r="I751" s="3">
        <f>-COS(t.1)</f>
        <v>-1</v>
      </c>
      <c r="J751" s="4"/>
      <c r="K751" s="3" cm="1">
        <f t="array" ref="K751:L752">MINVERSE(H751:I752)</f>
        <v>0</v>
      </c>
      <c r="L751" s="3">
        <v>-0.21242509761495687</v>
      </c>
      <c r="M751" s="3">
        <f>-F750</f>
        <v>-1.5660428630932761E-4</v>
      </c>
      <c r="O751" s="1" cm="1">
        <f t="array" ref="O751:O752">MMULT(K751:L752,M751:M752)</f>
        <v>-2.5996667473298044E-5</v>
      </c>
    </row>
    <row r="752" spans="1:15" x14ac:dyDescent="0.35">
      <c r="H752" s="3">
        <f>b*COS(C750)</f>
        <v>-4.7075416757609618</v>
      </c>
      <c r="I752" s="3">
        <f>-SIN(t.1)</f>
        <v>0</v>
      </c>
      <c r="J752" s="4"/>
      <c r="K752" s="3">
        <v>-1</v>
      </c>
      <c r="L752" s="3">
        <v>0.79023996069678892</v>
      </c>
      <c r="M752" s="3">
        <f>-F751</f>
        <v>1.2238039556144997E-4</v>
      </c>
      <c r="O752" s="1">
        <v>2.5331416528786535E-4</v>
      </c>
    </row>
    <row r="754" spans="1:15" x14ac:dyDescent="0.35">
      <c r="A754" s="9" t="s">
        <v>19</v>
      </c>
      <c r="C754" s="2" t="s">
        <v>4</v>
      </c>
    </row>
    <row r="755" spans="1:15" x14ac:dyDescent="0.35">
      <c r="A755" s="2" t="s">
        <v>5</v>
      </c>
      <c r="B755" s="6">
        <v>204</v>
      </c>
      <c r="C755" s="3">
        <f>B755*PI()/180</f>
        <v>3.5604716740684319</v>
      </c>
    </row>
    <row r="756" spans="1:15" x14ac:dyDescent="0.35">
      <c r="A756" s="4"/>
      <c r="B756" s="4"/>
      <c r="C756" s="1"/>
      <c r="H756" s="18" t="s">
        <v>12</v>
      </c>
      <c r="I756" s="18"/>
      <c r="J756" s="4"/>
      <c r="K756" s="18" t="s">
        <v>13</v>
      </c>
      <c r="L756" s="18"/>
      <c r="M756" s="19" t="s">
        <v>14</v>
      </c>
      <c r="O756" s="21" t="s">
        <v>15</v>
      </c>
    </row>
    <row r="757" spans="1:15" x14ac:dyDescent="0.35">
      <c r="A757" s="2" t="s">
        <v>7</v>
      </c>
      <c r="B757" s="6">
        <f>C757*180/PI()</f>
        <v>141.68131047261502</v>
      </c>
      <c r="C757" s="3">
        <f>O751+C750</f>
        <v>2.4728053562874557</v>
      </c>
      <c r="E757" s="11" t="s">
        <v>10</v>
      </c>
      <c r="F757" s="1">
        <f>-B758*COS(t.1)+a*COS(C755)+b*COS(C757)-c.*COS(t.4)</f>
        <v>1.5907300610746265E-9</v>
      </c>
      <c r="H757" s="8" t="s">
        <v>7</v>
      </c>
      <c r="I757" s="8" t="s">
        <v>9</v>
      </c>
      <c r="J757" s="4"/>
      <c r="K757" s="8" t="s">
        <v>7</v>
      </c>
      <c r="L757" s="8" t="s">
        <v>9</v>
      </c>
      <c r="M757" s="20"/>
      <c r="O757" s="22"/>
    </row>
    <row r="758" spans="1:15" x14ac:dyDescent="0.35">
      <c r="A758" s="2" t="s">
        <v>9</v>
      </c>
      <c r="B758" s="6">
        <f>O752+B751</f>
        <v>-7.4480813388097857</v>
      </c>
      <c r="C758" s="3"/>
      <c r="E758" s="11" t="s">
        <v>11</v>
      </c>
      <c r="F758" s="1">
        <f>-B758*SIN(t.1)+a*SIN(C755)+b*SIN(C757)-c.*SIN(t.4)</f>
        <v>-1.2570806617873131E-9</v>
      </c>
      <c r="H758" s="3">
        <f>-b*SIN(C757)</f>
        <v>-3.7202099279703189</v>
      </c>
      <c r="I758" s="3">
        <f>-COS(t.1)</f>
        <v>-1</v>
      </c>
      <c r="J758" s="4"/>
      <c r="K758" s="3" cm="1">
        <f t="array" ref="K758:L759">MINVERSE(H758:I759)</f>
        <v>0</v>
      </c>
      <c r="L758" s="3">
        <v>-0.21242946175379424</v>
      </c>
      <c r="M758" s="3">
        <f>-F757</f>
        <v>-1.5907300610746265E-9</v>
      </c>
      <c r="O758" s="1" cm="1">
        <f t="array" ref="O758:O759">MMULT(K758:L759,M758:M759)</f>
        <v>-2.6704096836458237E-10</v>
      </c>
    </row>
    <row r="759" spans="1:15" x14ac:dyDescent="0.35">
      <c r="H759" s="3">
        <f>b*COS(C757)</f>
        <v>-4.7074449642912528</v>
      </c>
      <c r="I759" s="3">
        <f>-SIN(t.1)</f>
        <v>0</v>
      </c>
      <c r="J759" s="4"/>
      <c r="K759" s="3">
        <v>-1</v>
      </c>
      <c r="L759" s="3">
        <v>0.79028219260985655</v>
      </c>
      <c r="M759" s="3">
        <f>-F758</f>
        <v>1.2570806617873131E-9</v>
      </c>
      <c r="O759" s="1">
        <v>2.5841785227593538E-9</v>
      </c>
    </row>
    <row r="761" spans="1:15" x14ac:dyDescent="0.35">
      <c r="A761" s="9" t="s">
        <v>20</v>
      </c>
      <c r="C761" s="2" t="s">
        <v>4</v>
      </c>
    </row>
    <row r="762" spans="1:15" x14ac:dyDescent="0.35">
      <c r="A762" s="2" t="s">
        <v>5</v>
      </c>
      <c r="B762" s="6">
        <v>204</v>
      </c>
      <c r="C762" s="3">
        <f>B762*PI()/180</f>
        <v>3.5604716740684319</v>
      </c>
    </row>
    <row r="763" spans="1:15" x14ac:dyDescent="0.35">
      <c r="A763" s="4"/>
      <c r="B763" s="4"/>
      <c r="C763" s="1"/>
      <c r="H763" s="18" t="s">
        <v>12</v>
      </c>
      <c r="I763" s="18"/>
      <c r="J763" s="4"/>
      <c r="K763" s="18" t="s">
        <v>13</v>
      </c>
      <c r="L763" s="18"/>
      <c r="M763" s="19" t="s">
        <v>14</v>
      </c>
      <c r="O763" s="21" t="s">
        <v>15</v>
      </c>
    </row>
    <row r="764" spans="1:15" x14ac:dyDescent="0.35">
      <c r="A764" s="2" t="s">
        <v>7</v>
      </c>
      <c r="B764" s="6">
        <f>C764*180/PI()</f>
        <v>141.68131045731471</v>
      </c>
      <c r="C764" s="3">
        <f>O758+C757</f>
        <v>2.4728053560204146</v>
      </c>
      <c r="E764" s="11" t="s">
        <v>10</v>
      </c>
      <c r="F764" s="1">
        <f>-B765*COS(t.1)+a*COS(C762)+b*COS(C764)-c.*COS(t.4)</f>
        <v>7.3503486283654773E-16</v>
      </c>
      <c r="H764" s="8" t="s">
        <v>7</v>
      </c>
      <c r="I764" s="8" t="s">
        <v>9</v>
      </c>
      <c r="J764" s="4"/>
      <c r="K764" s="8" t="s">
        <v>7</v>
      </c>
      <c r="L764" s="8" t="s">
        <v>9</v>
      </c>
      <c r="M764" s="20"/>
      <c r="O764" s="22"/>
    </row>
    <row r="765" spans="1:15" x14ac:dyDescent="0.35">
      <c r="A765" s="2" t="s">
        <v>9</v>
      </c>
      <c r="B765" s="6">
        <f>O759+B758</f>
        <v>-7.4480813362256075</v>
      </c>
      <c r="C765" s="3"/>
      <c r="E765" s="11" t="s">
        <v>11</v>
      </c>
      <c r="F765" s="1">
        <f>-B765*SIN(t.1)+a*SIN(C762)+b*SIN(C764)-c.*SIN(t.4)</f>
        <v>0</v>
      </c>
      <c r="H765" s="3">
        <f>-b*SIN(C764)</f>
        <v>-3.7202099292274005</v>
      </c>
      <c r="I765" s="3">
        <f>-COS(B722)</f>
        <v>0.56436900064126883</v>
      </c>
      <c r="J765" s="4"/>
      <c r="K765" s="3" cm="1">
        <f t="array" ref="K765:L766">MINVERSE(H765:I766)</f>
        <v>-1.9921801702966577</v>
      </c>
      <c r="L765" s="3">
        <v>1.3619550521215438</v>
      </c>
      <c r="M765" s="3">
        <f>-F764</f>
        <v>-7.3503486283654773E-16</v>
      </c>
      <c r="O765" s="1" cm="1">
        <f t="array" ref="O765:O766">MMULT(K765:L766,M765:M766)</f>
        <v>1.4643218782196941E-15</v>
      </c>
    </row>
    <row r="766" spans="1:15" x14ac:dyDescent="0.35">
      <c r="H766" s="3">
        <f>b*COS(C764)</f>
        <v>-4.7074449632978039</v>
      </c>
      <c r="I766" s="3">
        <f>-SIN(B722)</f>
        <v>0.82552264118870511</v>
      </c>
      <c r="J766" s="4"/>
      <c r="K766" s="3">
        <v>-11.360171170037043</v>
      </c>
      <c r="L766" s="3">
        <v>8.9777409856084294</v>
      </c>
      <c r="M766" s="3">
        <f>-F765</f>
        <v>0</v>
      </c>
      <c r="O766" s="1">
        <v>8.3501218577678823E-15</v>
      </c>
    </row>
    <row r="768" spans="1:15" x14ac:dyDescent="0.35">
      <c r="A768" s="9" t="s">
        <v>6</v>
      </c>
      <c r="C768" s="2" t="s">
        <v>4</v>
      </c>
    </row>
    <row r="769" spans="1:15" x14ac:dyDescent="0.35">
      <c r="A769" s="2" t="s">
        <v>5</v>
      </c>
      <c r="B769" s="6">
        <v>0</v>
      </c>
      <c r="C769" s="3">
        <f>B769*PI()/180</f>
        <v>0</v>
      </c>
    </row>
    <row r="770" spans="1:15" x14ac:dyDescent="0.35">
      <c r="A770" s="4"/>
      <c r="B770" s="4"/>
      <c r="C770" s="1"/>
      <c r="H770" s="18" t="s">
        <v>12</v>
      </c>
      <c r="I770" s="18"/>
      <c r="J770" s="4"/>
      <c r="K770" s="18" t="s">
        <v>13</v>
      </c>
      <c r="L770" s="18"/>
      <c r="M770" s="19" t="s">
        <v>14</v>
      </c>
      <c r="O770" s="21" t="s">
        <v>15</v>
      </c>
    </row>
    <row r="771" spans="1:15" x14ac:dyDescent="0.35">
      <c r="A771" s="2" t="s">
        <v>7</v>
      </c>
      <c r="B771" s="6">
        <v>110</v>
      </c>
      <c r="C771" s="3">
        <f>B771*PI()/180</f>
        <v>1.9198621771937625</v>
      </c>
      <c r="E771" s="11" t="s">
        <v>10</v>
      </c>
      <c r="F771" s="1">
        <f>-B772*COS(t.1)+a*COS(C769)+b*COS(C771)-c.*COS(t.4)</f>
        <v>-5.0521208599540124</v>
      </c>
      <c r="H771" s="8" t="s">
        <v>7</v>
      </c>
      <c r="I771" s="8" t="s">
        <v>9</v>
      </c>
      <c r="J771" s="4"/>
      <c r="K771" s="8" t="s">
        <v>7</v>
      </c>
      <c r="L771" s="8" t="s">
        <v>9</v>
      </c>
      <c r="M771" s="20"/>
      <c r="O771" s="22"/>
    </row>
    <row r="772" spans="1:15" x14ac:dyDescent="0.35">
      <c r="A772" s="2" t="s">
        <v>9</v>
      </c>
      <c r="B772" s="6">
        <v>6</v>
      </c>
      <c r="C772" s="3"/>
      <c r="E772" s="11" t="s">
        <v>11</v>
      </c>
      <c r="F772" s="1">
        <f>-B772*SIN(t.1)+a*SIN(C769)+b*SIN(C771)-c.*SIN(t.4)</f>
        <v>3.1381557247154506</v>
      </c>
      <c r="H772" s="3">
        <f>-b*SIN(C771)</f>
        <v>-5.6381557247154506</v>
      </c>
      <c r="I772" s="3">
        <f>-COS(t.1)</f>
        <v>-1</v>
      </c>
      <c r="J772" s="4"/>
      <c r="K772" s="3" cm="1">
        <f t="array" ref="K772:L773">MINVERSE(H772:I773)</f>
        <v>0</v>
      </c>
      <c r="L772" s="3">
        <v>-0.48730073336051455</v>
      </c>
      <c r="M772" s="3">
        <f>-F771</f>
        <v>5.0521208599540124</v>
      </c>
      <c r="O772" s="1" cm="1">
        <f t="array" ref="O772:O773">MMULT(K772:L773,M772:M773)</f>
        <v>1.5292255860533361</v>
      </c>
    </row>
    <row r="773" spans="1:15" x14ac:dyDescent="0.35">
      <c r="H773" s="3">
        <f>b*COS(C771)</f>
        <v>-2.0521208599540124</v>
      </c>
      <c r="I773" s="3">
        <f>-SIN(t.1)</f>
        <v>0</v>
      </c>
      <c r="J773" s="4"/>
      <c r="K773" s="3">
        <v>-1</v>
      </c>
      <c r="L773" s="3">
        <v>2.7474774194546225</v>
      </c>
      <c r="M773" s="3">
        <f>-F772</f>
        <v>-3.1381557247154506</v>
      </c>
      <c r="O773" s="1">
        <v>-13.67413285234197</v>
      </c>
    </row>
    <row r="775" spans="1:15" x14ac:dyDescent="0.35">
      <c r="A775" s="9" t="s">
        <v>16</v>
      </c>
      <c r="C775" s="2" t="s">
        <v>4</v>
      </c>
    </row>
    <row r="776" spans="1:15" x14ac:dyDescent="0.35">
      <c r="A776" s="2" t="s">
        <v>5</v>
      </c>
      <c r="B776" s="6">
        <v>216</v>
      </c>
      <c r="C776" s="3">
        <f>B776*PI()/180</f>
        <v>3.7699111843077517</v>
      </c>
    </row>
    <row r="777" spans="1:15" x14ac:dyDescent="0.35">
      <c r="A777" s="4"/>
      <c r="B777" s="4"/>
      <c r="C777" s="1"/>
      <c r="H777" s="18" t="s">
        <v>12</v>
      </c>
      <c r="I777" s="18"/>
      <c r="J777" s="4"/>
      <c r="K777" s="18" t="s">
        <v>13</v>
      </c>
      <c r="L777" s="18"/>
      <c r="M777" s="19" t="s">
        <v>14</v>
      </c>
      <c r="O777" s="21" t="s">
        <v>15</v>
      </c>
    </row>
    <row r="778" spans="1:15" x14ac:dyDescent="0.35">
      <c r="A778" s="2" t="s">
        <v>7</v>
      </c>
      <c r="B778" s="6">
        <f>C778*180/PI()</f>
        <v>197.61817200427606</v>
      </c>
      <c r="C778" s="3">
        <f>O772+C771</f>
        <v>3.4490877632470989</v>
      </c>
      <c r="E778" s="11" t="s">
        <v>10</v>
      </c>
      <c r="F778" s="1">
        <f>-B779*COS(t.1)+a*COS(C776)+b*COS(C778)-c.*COS(t.4)</f>
        <v>-0.47148644972493264</v>
      </c>
      <c r="H778" s="8" t="s">
        <v>7</v>
      </c>
      <c r="I778" s="8" t="s">
        <v>9</v>
      </c>
      <c r="J778" s="4"/>
      <c r="K778" s="8" t="s">
        <v>7</v>
      </c>
      <c r="L778" s="8" t="s">
        <v>9</v>
      </c>
      <c r="M778" s="20"/>
      <c r="O778" s="22"/>
    </row>
    <row r="779" spans="1:15" x14ac:dyDescent="0.35">
      <c r="A779" s="2" t="s">
        <v>9</v>
      </c>
      <c r="B779" s="6">
        <f>O773+B772</f>
        <v>-7.6741328523419696</v>
      </c>
      <c r="C779" s="3"/>
      <c r="E779" s="11" t="s">
        <v>11</v>
      </c>
      <c r="F779" s="1">
        <f>-B779*SIN(t.1)+a*SIN(C776)+b*SIN(C778)-c.*SIN(t.4)</f>
        <v>-6.0793889012864621</v>
      </c>
      <c r="H779" s="3">
        <f>-b*SIN(C778)</f>
        <v>1.8160331444090434</v>
      </c>
      <c r="I779" s="3">
        <f>-COS(t.1)</f>
        <v>-1</v>
      </c>
      <c r="J779" s="4"/>
      <c r="K779" s="3" cm="1">
        <f t="array" ref="K779:L780">MINVERSE(H779:I780)</f>
        <v>0</v>
      </c>
      <c r="L779" s="3">
        <v>-0.1748689434534903</v>
      </c>
      <c r="M779" s="3">
        <f>-F778</f>
        <v>0.47148644972493264</v>
      </c>
      <c r="O779" s="1" cm="1">
        <f t="array" ref="O779:O780">MMULT(K779:L780,M779:M780)</f>
        <v>-1.0630963140108389</v>
      </c>
    </row>
    <row r="780" spans="1:15" x14ac:dyDescent="0.35">
      <c r="H780" s="3">
        <f>b*COS(C778)</f>
        <v>-5.7185683189420589</v>
      </c>
      <c r="I780" s="3">
        <f>-SIN(t.1)</f>
        <v>0</v>
      </c>
      <c r="J780" s="4"/>
      <c r="K780" s="3">
        <v>-1</v>
      </c>
      <c r="L780" s="3">
        <v>-0.31756779723932921</v>
      </c>
      <c r="M780" s="3">
        <f>-F779</f>
        <v>6.0793889012864621</v>
      </c>
      <c r="O780" s="1">
        <v>-2.4021045916677002</v>
      </c>
    </row>
    <row r="782" spans="1:15" x14ac:dyDescent="0.35">
      <c r="A782" s="9" t="s">
        <v>17</v>
      </c>
      <c r="C782" s="2" t="s">
        <v>4</v>
      </c>
    </row>
    <row r="783" spans="1:15" x14ac:dyDescent="0.35">
      <c r="A783" s="2" t="s">
        <v>5</v>
      </c>
      <c r="B783" s="6">
        <v>216</v>
      </c>
      <c r="C783" s="3">
        <f>B783*PI()/180</f>
        <v>3.7699111843077517</v>
      </c>
    </row>
    <row r="784" spans="1:15" x14ac:dyDescent="0.35">
      <c r="A784" s="4"/>
      <c r="B784" s="4"/>
      <c r="C784" s="1"/>
      <c r="H784" s="18" t="s">
        <v>12</v>
      </c>
      <c r="I784" s="18"/>
      <c r="J784" s="4"/>
      <c r="K784" s="18" t="s">
        <v>13</v>
      </c>
      <c r="L784" s="18"/>
      <c r="M784" s="19" t="s">
        <v>14</v>
      </c>
      <c r="O784" s="21" t="s">
        <v>15</v>
      </c>
    </row>
    <row r="785" spans="1:15" x14ac:dyDescent="0.35">
      <c r="A785" s="2" t="s">
        <v>7</v>
      </c>
      <c r="B785" s="6">
        <f>C785*180/PI()</f>
        <v>136.7072399955405</v>
      </c>
      <c r="C785" s="3">
        <f>O779+C778</f>
        <v>2.3859914492362599</v>
      </c>
      <c r="E785" s="11" t="s">
        <v>10</v>
      </c>
      <c r="F785" s="1">
        <f>-B786*COS(t.1)+a*COS(C783)+b*COS(C785)-c.*COS(t.4)</f>
        <v>3.28202998251989</v>
      </c>
      <c r="H785" s="8" t="s">
        <v>7</v>
      </c>
      <c r="I785" s="8" t="s">
        <v>9</v>
      </c>
      <c r="J785" s="4"/>
      <c r="K785" s="8" t="s">
        <v>7</v>
      </c>
      <c r="L785" s="8" t="s">
        <v>9</v>
      </c>
      <c r="M785" s="20"/>
      <c r="O785" s="22"/>
    </row>
    <row r="786" spans="1:15" x14ac:dyDescent="0.35">
      <c r="A786" s="2" t="s">
        <v>9</v>
      </c>
      <c r="B786" s="6">
        <f>O780+B779</f>
        <v>-10.076237444009671</v>
      </c>
      <c r="C786" s="3"/>
      <c r="E786" s="11" t="s">
        <v>11</v>
      </c>
      <c r="F786" s="1">
        <f>-B786*SIN(t.1)+a*SIN(C783)+b*SIN(C785)-c.*SIN(t.4)</f>
        <v>-0.14899744804295967</v>
      </c>
      <c r="H786" s="3">
        <f>-b*SIN(C785)</f>
        <v>-4.1143583088344595</v>
      </c>
      <c r="I786" s="3">
        <f>-COS(t.1)</f>
        <v>-1</v>
      </c>
      <c r="J786" s="4"/>
      <c r="K786" s="3" cm="1">
        <f t="array" ref="K786:L787">MINVERSE(H786:I787)</f>
        <v>0</v>
      </c>
      <c r="L786" s="3">
        <v>-0.22898194854112483</v>
      </c>
      <c r="M786" s="3">
        <f>-F785</f>
        <v>-3.28202998251989</v>
      </c>
      <c r="O786" s="1" cm="1">
        <f t="array" ref="O786:O787">MMULT(K786:L787,M786:M787)</f>
        <v>-3.4117725980531914E-2</v>
      </c>
    </row>
    <row r="787" spans="1:15" x14ac:dyDescent="0.35">
      <c r="H787" s="3">
        <f>b*COS(C785)</f>
        <v>-4.3671564783649375</v>
      </c>
      <c r="I787" s="3">
        <f>-SIN(t.1)</f>
        <v>0</v>
      </c>
      <c r="J787" s="4"/>
      <c r="K787" s="3">
        <v>-1</v>
      </c>
      <c r="L787" s="3">
        <v>0.9421137825532816</v>
      </c>
      <c r="M787" s="3">
        <f>-F786</f>
        <v>0.14899744804295967</v>
      </c>
      <c r="O787" s="1">
        <v>3.4224025318864286</v>
      </c>
    </row>
    <row r="789" spans="1:15" x14ac:dyDescent="0.35">
      <c r="A789" s="9" t="s">
        <v>18</v>
      </c>
      <c r="C789" s="2" t="s">
        <v>4</v>
      </c>
    </row>
    <row r="790" spans="1:15" x14ac:dyDescent="0.35">
      <c r="A790" s="2" t="s">
        <v>5</v>
      </c>
      <c r="B790" s="6">
        <v>216</v>
      </c>
      <c r="C790" s="3">
        <f>B790*PI()/180</f>
        <v>3.7699111843077517</v>
      </c>
    </row>
    <row r="791" spans="1:15" x14ac:dyDescent="0.35">
      <c r="A791" s="4"/>
      <c r="B791" s="4"/>
      <c r="C791" s="1"/>
      <c r="H791" s="18" t="s">
        <v>12</v>
      </c>
      <c r="I791" s="18"/>
      <c r="J791" s="4"/>
      <c r="K791" s="18" t="s">
        <v>13</v>
      </c>
      <c r="L791" s="18"/>
      <c r="M791" s="19" t="s">
        <v>14</v>
      </c>
      <c r="O791" s="21" t="s">
        <v>15</v>
      </c>
    </row>
    <row r="792" spans="1:15" x14ac:dyDescent="0.35">
      <c r="A792" s="2" t="s">
        <v>7</v>
      </c>
      <c r="B792" s="6">
        <f>C792*180/PI()</f>
        <v>134.75243829027218</v>
      </c>
      <c r="C792" s="3">
        <f>O786+C785</f>
        <v>2.3518737232557281</v>
      </c>
      <c r="E792" s="11" t="s">
        <v>10</v>
      </c>
      <c r="F792" s="1">
        <f>-B793*COS(t.1)+a*COS(C790)+b*COS(C792)-c.*COS(t.4)</f>
        <v>2.5142493705806036E-3</v>
      </c>
      <c r="H792" s="8" t="s">
        <v>7</v>
      </c>
      <c r="I792" s="8" t="s">
        <v>9</v>
      </c>
      <c r="J792" s="4"/>
      <c r="K792" s="8" t="s">
        <v>7</v>
      </c>
      <c r="L792" s="8" t="s">
        <v>9</v>
      </c>
      <c r="M792" s="20"/>
      <c r="O792" s="22"/>
    </row>
    <row r="793" spans="1:15" x14ac:dyDescent="0.35">
      <c r="A793" s="2" t="s">
        <v>9</v>
      </c>
      <c r="B793" s="6">
        <f>O787+B786</f>
        <v>-6.6538349121232425</v>
      </c>
      <c r="C793" s="3"/>
      <c r="E793" s="11" t="s">
        <v>11</v>
      </c>
      <c r="F793" s="1">
        <f>-B793*SIN(t.1)+a*SIN(C790)+b*SIN(C792)-c.*SIN(t.4)</f>
        <v>-2.4232681166438397E-3</v>
      </c>
      <c r="H793" s="3">
        <f>-b*SIN(C792)</f>
        <v>-4.2609324887607753</v>
      </c>
      <c r="I793" s="3">
        <f>-COS(t.1)</f>
        <v>-1</v>
      </c>
      <c r="J793" s="4"/>
      <c r="K793" s="3" cm="1">
        <f t="array" ref="K793:L794">MINVERSE(H793:I794)</f>
        <v>0</v>
      </c>
      <c r="L793" s="3">
        <v>-0.23672731047988049</v>
      </c>
      <c r="M793" s="3">
        <f>-F792</f>
        <v>-2.5142493705806036E-3</v>
      </c>
      <c r="O793" s="1" cm="1">
        <f t="array" ref="O793:O794">MMULT(K793:L794,M793:M794)</f>
        <v>-5.7365374382474152E-4</v>
      </c>
    </row>
    <row r="794" spans="1:15" x14ac:dyDescent="0.35">
      <c r="H794" s="3">
        <f>b*COS(C792)</f>
        <v>-4.2242696796278185</v>
      </c>
      <c r="I794" s="3">
        <f>-SIN(t.1)</f>
        <v>0</v>
      </c>
      <c r="J794" s="4"/>
      <c r="K794" s="3">
        <v>-1</v>
      </c>
      <c r="L794" s="3">
        <v>1.008679088200682</v>
      </c>
      <c r="M794" s="3">
        <f>-F793</f>
        <v>2.4232681166438397E-3</v>
      </c>
      <c r="O794" s="1">
        <v>4.9585492449426959E-3</v>
      </c>
    </row>
    <row r="796" spans="1:15" x14ac:dyDescent="0.35">
      <c r="A796" s="9" t="s">
        <v>19</v>
      </c>
      <c r="C796" s="2" t="s">
        <v>4</v>
      </c>
    </row>
    <row r="797" spans="1:15" x14ac:dyDescent="0.35">
      <c r="A797" s="2" t="s">
        <v>5</v>
      </c>
      <c r="B797" s="6">
        <v>216</v>
      </c>
      <c r="C797" s="3">
        <f>B797*PI()/180</f>
        <v>3.7699111843077517</v>
      </c>
    </row>
    <row r="798" spans="1:15" x14ac:dyDescent="0.35">
      <c r="A798" s="4"/>
      <c r="B798" s="4"/>
      <c r="C798" s="1"/>
      <c r="H798" s="18" t="s">
        <v>12</v>
      </c>
      <c r="I798" s="18"/>
      <c r="J798" s="4"/>
      <c r="K798" s="18" t="s">
        <v>13</v>
      </c>
      <c r="L798" s="18"/>
      <c r="M798" s="19" t="s">
        <v>14</v>
      </c>
      <c r="O798" s="21" t="s">
        <v>15</v>
      </c>
    </row>
    <row r="799" spans="1:15" x14ac:dyDescent="0.35">
      <c r="A799" s="2" t="s">
        <v>7</v>
      </c>
      <c r="B799" s="6">
        <f>C799*180/PI()</f>
        <v>134.71957035184917</v>
      </c>
      <c r="C799" s="3">
        <f>O793+C792</f>
        <v>2.3513000695119035</v>
      </c>
      <c r="E799" s="11" t="s">
        <v>10</v>
      </c>
      <c r="F799" s="1">
        <f>-B800*COS(t.1)+a*COS(C797)+b*COS(C799)-c.*COS(t.4)</f>
        <v>6.9492433303570749E-7</v>
      </c>
      <c r="H799" s="8" t="s">
        <v>7</v>
      </c>
      <c r="I799" s="8" t="s">
        <v>9</v>
      </c>
      <c r="J799" s="4"/>
      <c r="K799" s="8" t="s">
        <v>7</v>
      </c>
      <c r="L799" s="8" t="s">
        <v>9</v>
      </c>
      <c r="M799" s="20"/>
      <c r="O799" s="22"/>
    </row>
    <row r="800" spans="1:15" x14ac:dyDescent="0.35">
      <c r="A800" s="2" t="s">
        <v>9</v>
      </c>
      <c r="B800" s="6">
        <f>O794+B793</f>
        <v>-6.6488763628782994</v>
      </c>
      <c r="C800" s="3"/>
      <c r="E800" s="11" t="s">
        <v>11</v>
      </c>
      <c r="F800" s="1">
        <f>-B800*SIN(t.1)+a*SIN(C797)+b*SIN(C799)-c.*SIN(t.4)</f>
        <v>-7.0122377682224624E-7</v>
      </c>
      <c r="H800" s="3">
        <f>-b*SIN(C799)</f>
        <v>-4.2633550556536424</v>
      </c>
      <c r="I800" s="3">
        <f>-COS(t.1)</f>
        <v>-1</v>
      </c>
      <c r="J800" s="4"/>
      <c r="K800" s="3" cm="1">
        <f t="array" ref="K800:L801">MINVERSE(H800:I801)</f>
        <v>0</v>
      </c>
      <c r="L800" s="3">
        <v>-0.23686440689814545</v>
      </c>
      <c r="M800" s="3">
        <f>-F799</f>
        <v>-6.9492433303570749E-7</v>
      </c>
      <c r="O800" s="1" cm="1">
        <f t="array" ref="O800:O801">MMULT(K800:L801,M800:M801)</f>
        <v>-1.6609495399987887E-7</v>
      </c>
    </row>
    <row r="801" spans="1:15" x14ac:dyDescent="0.35">
      <c r="H801" s="3">
        <f>b*COS(C799)</f>
        <v>-4.221824684829123</v>
      </c>
      <c r="I801" s="3">
        <f>-SIN(t.1)</f>
        <v>0</v>
      </c>
      <c r="J801" s="4"/>
      <c r="K801" s="3">
        <v>-1</v>
      </c>
      <c r="L801" s="3">
        <v>1.0098370666536098</v>
      </c>
      <c r="M801" s="3">
        <f>-F800</f>
        <v>7.0122377682224624E-7</v>
      </c>
      <c r="O801" s="1">
        <v>1.4030460948896502E-6</v>
      </c>
    </row>
    <row r="803" spans="1:15" x14ac:dyDescent="0.35">
      <c r="A803" s="9" t="s">
        <v>20</v>
      </c>
      <c r="C803" s="2" t="s">
        <v>4</v>
      </c>
    </row>
    <row r="804" spans="1:15" x14ac:dyDescent="0.35">
      <c r="A804" s="2" t="s">
        <v>5</v>
      </c>
      <c r="B804" s="6">
        <v>216</v>
      </c>
      <c r="C804" s="3">
        <f>B804*PI()/180</f>
        <v>3.7699111843077517</v>
      </c>
    </row>
    <row r="805" spans="1:15" x14ac:dyDescent="0.35">
      <c r="A805" s="4"/>
      <c r="B805" s="4"/>
      <c r="C805" s="1"/>
      <c r="H805" s="18" t="s">
        <v>12</v>
      </c>
      <c r="I805" s="18"/>
      <c r="J805" s="4"/>
      <c r="K805" s="18" t="s">
        <v>13</v>
      </c>
      <c r="L805" s="18"/>
      <c r="M805" s="19" t="s">
        <v>14</v>
      </c>
      <c r="O805" s="21" t="s">
        <v>15</v>
      </c>
    </row>
    <row r="806" spans="1:15" x14ac:dyDescent="0.35">
      <c r="A806" s="2" t="s">
        <v>7</v>
      </c>
      <c r="B806" s="6">
        <f>C806*180/PI()</f>
        <v>134.7195608353093</v>
      </c>
      <c r="C806" s="3">
        <f>O800+C799</f>
        <v>2.3512999034169497</v>
      </c>
      <c r="E806" s="11" t="s">
        <v>10</v>
      </c>
      <c r="F806" s="1">
        <f>-B807*COS(t.1)+a*COS(C804)+b*COS(C806)-c.*COS(t.4)</f>
        <v>5.6690275303944437E-14</v>
      </c>
      <c r="H806" s="8" t="s">
        <v>7</v>
      </c>
      <c r="I806" s="8" t="s">
        <v>9</v>
      </c>
      <c r="J806" s="4"/>
      <c r="K806" s="8" t="s">
        <v>7</v>
      </c>
      <c r="L806" s="8" t="s">
        <v>9</v>
      </c>
      <c r="M806" s="20"/>
      <c r="O806" s="22"/>
    </row>
    <row r="807" spans="1:15" x14ac:dyDescent="0.35">
      <c r="A807" s="2" t="s">
        <v>9</v>
      </c>
      <c r="B807" s="6">
        <f>O801+B800</f>
        <v>-6.6488749598322041</v>
      </c>
      <c r="C807" s="3"/>
      <c r="E807" s="11" t="s">
        <v>11</v>
      </c>
      <c r="F807" s="1">
        <f>-B807*SIN(t.1)+a*SIN(C804)+b*SIN(C806)-c.*SIN(t.4)</f>
        <v>-5.9507954119908391E-14</v>
      </c>
      <c r="H807" s="3">
        <f>-b*SIN(C806)</f>
        <v>-4.2633557568773597</v>
      </c>
      <c r="I807" s="3">
        <f>-COS(B764)</f>
        <v>0.95244301061688497</v>
      </c>
      <c r="J807" s="4"/>
      <c r="K807" s="3" cm="1">
        <f t="array" ref="K807:L808">MINVERSE(H807:I808)</f>
        <v>0.11194876088336302</v>
      </c>
      <c r="L807" s="3">
        <v>-0.34991449248898693</v>
      </c>
      <c r="M807" s="3">
        <f>-F806</f>
        <v>-5.6690275303944437E-14</v>
      </c>
      <c r="O807" s="1" cm="1">
        <f t="array" ref="O807:O808">MMULT(K807:L808,M807:M808)</f>
        <v>-2.716910163933896E-14</v>
      </c>
    </row>
    <row r="808" spans="1:15" x14ac:dyDescent="0.35">
      <c r="H808" s="3">
        <f>b*COS(C806)</f>
        <v>-4.221823976707304</v>
      </c>
      <c r="I808" s="3">
        <f>-SIN(B764)</f>
        <v>0.30471677263820646</v>
      </c>
      <c r="J808" s="4"/>
      <c r="K808" s="3">
        <v>1.5510401963373739</v>
      </c>
      <c r="L808" s="3">
        <v>-1.5662984024645381</v>
      </c>
      <c r="M808" s="3">
        <f>-F807</f>
        <v>5.9507954119908391E-14</v>
      </c>
      <c r="O808" s="1">
        <v>-1.8113610920979531E-13</v>
      </c>
    </row>
    <row r="810" spans="1:15" x14ac:dyDescent="0.35">
      <c r="A810" s="9" t="s">
        <v>6</v>
      </c>
      <c r="C810" s="2" t="s">
        <v>4</v>
      </c>
    </row>
    <row r="811" spans="1:15" x14ac:dyDescent="0.35">
      <c r="A811" s="2" t="s">
        <v>5</v>
      </c>
      <c r="B811" s="6">
        <v>0</v>
      </c>
      <c r="C811" s="3">
        <f>B811*PI()/180</f>
        <v>0</v>
      </c>
    </row>
    <row r="812" spans="1:15" x14ac:dyDescent="0.35">
      <c r="A812" s="4"/>
      <c r="B812" s="4"/>
      <c r="C812" s="1"/>
      <c r="H812" s="18" t="s">
        <v>12</v>
      </c>
      <c r="I812" s="18"/>
      <c r="J812" s="4"/>
      <c r="K812" s="18" t="s">
        <v>13</v>
      </c>
      <c r="L812" s="18"/>
      <c r="M812" s="19" t="s">
        <v>14</v>
      </c>
      <c r="O812" s="21" t="s">
        <v>15</v>
      </c>
    </row>
    <row r="813" spans="1:15" x14ac:dyDescent="0.35">
      <c r="A813" s="2" t="s">
        <v>7</v>
      </c>
      <c r="B813" s="6">
        <v>110</v>
      </c>
      <c r="C813" s="3">
        <f>B813*PI()/180</f>
        <v>1.9198621771937625</v>
      </c>
      <c r="E813" s="11" t="s">
        <v>10</v>
      </c>
      <c r="F813" s="1">
        <f>-B814*COS(t.1)+a*COS(C811)+b*COS(C813)-c.*COS(t.4)</f>
        <v>-5.0521208599540124</v>
      </c>
      <c r="H813" s="8" t="s">
        <v>7</v>
      </c>
      <c r="I813" s="8" t="s">
        <v>9</v>
      </c>
      <c r="J813" s="4"/>
      <c r="K813" s="8" t="s">
        <v>7</v>
      </c>
      <c r="L813" s="8" t="s">
        <v>9</v>
      </c>
      <c r="M813" s="20"/>
      <c r="O813" s="22"/>
    </row>
    <row r="814" spans="1:15" x14ac:dyDescent="0.35">
      <c r="A814" s="2" t="s">
        <v>9</v>
      </c>
      <c r="B814" s="6">
        <v>6</v>
      </c>
      <c r="C814" s="3"/>
      <c r="E814" s="11" t="s">
        <v>11</v>
      </c>
      <c r="F814" s="1">
        <f>-B814*SIN(t.1)+a*SIN(C811)+b*SIN(C813)-c.*SIN(t.4)</f>
        <v>3.1381557247154506</v>
      </c>
      <c r="H814" s="3">
        <f>-b*SIN(C813)</f>
        <v>-5.6381557247154506</v>
      </c>
      <c r="I814" s="3">
        <f>-COS(t.1)</f>
        <v>-1</v>
      </c>
      <c r="J814" s="4"/>
      <c r="K814" s="3" cm="1">
        <f t="array" ref="K814:L815">MINVERSE(H814:I815)</f>
        <v>0</v>
      </c>
      <c r="L814" s="3">
        <v>-0.48730073336051455</v>
      </c>
      <c r="M814" s="3">
        <f>-F813</f>
        <v>5.0521208599540124</v>
      </c>
      <c r="O814" s="1" cm="1">
        <f t="array" ref="O814:O815">MMULT(K814:L815,M814:M815)</f>
        <v>1.5292255860533361</v>
      </c>
    </row>
    <row r="815" spans="1:15" x14ac:dyDescent="0.35">
      <c r="H815" s="3">
        <f>b*COS(C813)</f>
        <v>-2.0521208599540124</v>
      </c>
      <c r="I815" s="3">
        <f>-SIN(t.1)</f>
        <v>0</v>
      </c>
      <c r="J815" s="4"/>
      <c r="K815" s="3">
        <v>-1</v>
      </c>
      <c r="L815" s="3">
        <v>2.7474774194546225</v>
      </c>
      <c r="M815" s="3">
        <f>-F814</f>
        <v>-3.1381557247154506</v>
      </c>
      <c r="O815" s="1">
        <v>-13.67413285234197</v>
      </c>
    </row>
    <row r="817" spans="1:15" x14ac:dyDescent="0.35">
      <c r="A817" s="9" t="s">
        <v>16</v>
      </c>
      <c r="C817" s="2" t="s">
        <v>4</v>
      </c>
    </row>
    <row r="818" spans="1:15" x14ac:dyDescent="0.35">
      <c r="A818" s="2" t="s">
        <v>5</v>
      </c>
      <c r="B818" s="6">
        <v>228</v>
      </c>
      <c r="C818" s="3">
        <f>B818*PI()/180</f>
        <v>3.9793506945470711</v>
      </c>
    </row>
    <row r="819" spans="1:15" x14ac:dyDescent="0.35">
      <c r="A819" s="4"/>
      <c r="B819" s="4"/>
      <c r="C819" s="1"/>
      <c r="H819" s="18" t="s">
        <v>12</v>
      </c>
      <c r="I819" s="18"/>
      <c r="J819" s="4"/>
      <c r="K819" s="18" t="s">
        <v>13</v>
      </c>
      <c r="L819" s="18"/>
      <c r="M819" s="19" t="s">
        <v>14</v>
      </c>
      <c r="O819" s="21" t="s">
        <v>15</v>
      </c>
    </row>
    <row r="820" spans="1:15" x14ac:dyDescent="0.35">
      <c r="A820" s="2" t="s">
        <v>7</v>
      </c>
      <c r="B820" s="6">
        <f>C820*180/PI()</f>
        <v>197.61817200427606</v>
      </c>
      <c r="C820" s="3">
        <f>O814+C813</f>
        <v>3.4490877632470989</v>
      </c>
      <c r="E820" s="11" t="s">
        <v>10</v>
      </c>
      <c r="F820" s="1">
        <f>-B821*COS(t.1)+a*COS(C818)+b*COS(C820)-c.*COS(t.4)</f>
        <v>-5.1827285676664989E-2</v>
      </c>
      <c r="H820" s="8" t="s">
        <v>7</v>
      </c>
      <c r="I820" s="8" t="s">
        <v>9</v>
      </c>
      <c r="J820" s="4"/>
      <c r="K820" s="8" t="s">
        <v>7</v>
      </c>
      <c r="L820" s="8" t="s">
        <v>9</v>
      </c>
      <c r="M820" s="20"/>
      <c r="O820" s="22"/>
    </row>
    <row r="821" spans="1:15" x14ac:dyDescent="0.35">
      <c r="A821" s="2" t="s">
        <v>9</v>
      </c>
      <c r="B821" s="6">
        <f>O815+B814</f>
        <v>-7.6741328523419696</v>
      </c>
      <c r="C821" s="3"/>
      <c r="E821" s="11" t="s">
        <v>11</v>
      </c>
      <c r="F821" s="1">
        <f>-B821*SIN(t.1)+a*SIN(C818)+b*SIN(C820)-c.*SIN(t.4)</f>
        <v>-6.5454676208412259</v>
      </c>
      <c r="H821" s="3">
        <f>-b*SIN(C820)</f>
        <v>1.8160331444090434</v>
      </c>
      <c r="I821" s="3">
        <f>-COS(t.1)</f>
        <v>-1</v>
      </c>
      <c r="J821" s="4"/>
      <c r="K821" s="3" cm="1">
        <f t="array" ref="K821:L822">MINVERSE(H821:I822)</f>
        <v>0</v>
      </c>
      <c r="L821" s="3">
        <v>-0.1748689434534903</v>
      </c>
      <c r="M821" s="3">
        <f>-F820</f>
        <v>5.1827285676664989E-2</v>
      </c>
      <c r="O821" s="1" cm="1">
        <f t="array" ref="O821:O822">MMULT(K821:L822,M821:M822)</f>
        <v>-1.1445990072655361</v>
      </c>
    </row>
    <row r="822" spans="1:15" x14ac:dyDescent="0.35">
      <c r="H822" s="3">
        <f>b*COS(C820)</f>
        <v>-5.7185683189420589</v>
      </c>
      <c r="I822" s="3">
        <f>-SIN(t.1)</f>
        <v>0</v>
      </c>
      <c r="J822" s="4"/>
      <c r="K822" s="3">
        <v>-1</v>
      </c>
      <c r="L822" s="3">
        <v>-0.31756779723932921</v>
      </c>
      <c r="M822" s="3">
        <f>-F821</f>
        <v>6.5454676208412259</v>
      </c>
      <c r="O822" s="1">
        <v>-2.1304570199285657</v>
      </c>
    </row>
    <row r="824" spans="1:15" x14ac:dyDescent="0.35">
      <c r="A824" s="9" t="s">
        <v>17</v>
      </c>
      <c r="C824" s="2" t="s">
        <v>4</v>
      </c>
    </row>
    <row r="825" spans="1:15" x14ac:dyDescent="0.35">
      <c r="A825" s="2" t="s">
        <v>5</v>
      </c>
      <c r="B825" s="6">
        <v>228</v>
      </c>
      <c r="C825" s="3">
        <f>B825*PI()/180</f>
        <v>3.9793506945470711</v>
      </c>
    </row>
    <row r="826" spans="1:15" x14ac:dyDescent="0.35">
      <c r="A826" s="4"/>
      <c r="B826" s="4"/>
      <c r="C826" s="1"/>
      <c r="H826" s="18" t="s">
        <v>12</v>
      </c>
      <c r="I826" s="18"/>
      <c r="J826" s="4"/>
      <c r="K826" s="18" t="s">
        <v>13</v>
      </c>
      <c r="L826" s="18"/>
      <c r="M826" s="19" t="s">
        <v>14</v>
      </c>
      <c r="O826" s="21" t="s">
        <v>15</v>
      </c>
    </row>
    <row r="827" spans="1:15" x14ac:dyDescent="0.35">
      <c r="A827" s="2" t="s">
        <v>7</v>
      </c>
      <c r="B827" s="6">
        <f>C827*180/PI()</f>
        <v>132.03747965309699</v>
      </c>
      <c r="C827" s="3">
        <f>O821+C820</f>
        <v>2.3044887559815628</v>
      </c>
      <c r="E827" s="11" t="s">
        <v>10</v>
      </c>
      <c r="F827" s="1">
        <f>-B828*COS(t.1)+a*COS(C825)+b*COS(C827)-c.*COS(t.4)</f>
        <v>3.7794985347490293</v>
      </c>
      <c r="H827" s="8" t="s">
        <v>7</v>
      </c>
      <c r="I827" s="8" t="s">
        <v>9</v>
      </c>
      <c r="J827" s="4"/>
      <c r="K827" s="8" t="s">
        <v>7</v>
      </c>
      <c r="L827" s="8" t="s">
        <v>9</v>
      </c>
      <c r="M827" s="20"/>
      <c r="O827" s="22"/>
    </row>
    <row r="828" spans="1:15" x14ac:dyDescent="0.35">
      <c r="A828" s="2" t="s">
        <v>9</v>
      </c>
      <c r="B828" s="6">
        <f>O822+B821</f>
        <v>-9.8045898722705349</v>
      </c>
      <c r="C828" s="3"/>
      <c r="E828" s="11" t="s">
        <v>11</v>
      </c>
      <c r="F828" s="1">
        <f>-B828*SIN(t.1)+a*SIN(C825)+b*SIN(C827)-c.*SIN(t.4)</f>
        <v>-0.27319272137811268</v>
      </c>
      <c r="H828" s="3">
        <f>-b*SIN(C827)</f>
        <v>-4.4562417550540694</v>
      </c>
      <c r="I828" s="3">
        <f>-COS(t.1)</f>
        <v>-1</v>
      </c>
      <c r="J828" s="4"/>
      <c r="K828" s="3" cm="1">
        <f t="array" ref="K828:L829">MINVERSE(H828:I829)</f>
        <v>0</v>
      </c>
      <c r="L828" s="3">
        <v>-0.24889865342320441</v>
      </c>
      <c r="M828" s="3">
        <f>-F827</f>
        <v>-3.7794985347490293</v>
      </c>
      <c r="O828" s="1" cm="1">
        <f t="array" ref="O828:O829">MMULT(K828:L829,M828:M829)</f>
        <v>-6.7997300476032918E-2</v>
      </c>
    </row>
    <row r="829" spans="1:15" x14ac:dyDescent="0.35">
      <c r="H829" s="3">
        <f>b*COS(C827)</f>
        <v>-4.01769951844493</v>
      </c>
      <c r="I829" s="3">
        <f>-SIN(t.1)</f>
        <v>0</v>
      </c>
      <c r="J829" s="4"/>
      <c r="K829" s="3">
        <v>-1</v>
      </c>
      <c r="L829" s="3">
        <v>1.109152572161215</v>
      </c>
      <c r="M829" s="3">
        <f>-F828</f>
        <v>0.27319272137811268</v>
      </c>
      <c r="O829" s="1">
        <v>4.0825109443612853</v>
      </c>
    </row>
    <row r="831" spans="1:15" x14ac:dyDescent="0.35">
      <c r="A831" s="9" t="s">
        <v>18</v>
      </c>
      <c r="C831" s="2" t="s">
        <v>4</v>
      </c>
    </row>
    <row r="832" spans="1:15" x14ac:dyDescent="0.35">
      <c r="A832" s="2" t="s">
        <v>5</v>
      </c>
      <c r="B832" s="6">
        <v>228</v>
      </c>
      <c r="C832" s="3">
        <f>B832*PI()/180</f>
        <v>3.9793506945470711</v>
      </c>
    </row>
    <row r="833" spans="1:15" x14ac:dyDescent="0.35">
      <c r="A833" s="4"/>
      <c r="B833" s="4"/>
      <c r="C833" s="1"/>
      <c r="H833" s="18" t="s">
        <v>12</v>
      </c>
      <c r="I833" s="18"/>
      <c r="J833" s="4"/>
      <c r="K833" s="18" t="s">
        <v>13</v>
      </c>
      <c r="L833" s="18"/>
      <c r="M833" s="19" t="s">
        <v>14</v>
      </c>
      <c r="O833" s="21" t="s">
        <v>15</v>
      </c>
    </row>
    <row r="834" spans="1:15" x14ac:dyDescent="0.35">
      <c r="A834" s="2" t="s">
        <v>7</v>
      </c>
      <c r="B834" s="6">
        <f>C834*180/PI()</f>
        <v>128.14152131753738</v>
      </c>
      <c r="C834" s="3">
        <f>O828+C827</f>
        <v>2.2364914555055297</v>
      </c>
      <c r="E834" s="11" t="s">
        <v>10</v>
      </c>
      <c r="F834" s="1">
        <f>-B835*COS(t.1)+a*COS(C832)+b*COS(C834)-c.*COS(t.4)</f>
        <v>9.0511565232869878E-3</v>
      </c>
      <c r="H834" s="8" t="s">
        <v>7</v>
      </c>
      <c r="I834" s="8" t="s">
        <v>9</v>
      </c>
      <c r="J834" s="4"/>
      <c r="K834" s="8" t="s">
        <v>7</v>
      </c>
      <c r="L834" s="8" t="s">
        <v>9</v>
      </c>
      <c r="M834" s="20"/>
      <c r="O834" s="22"/>
    </row>
    <row r="835" spans="1:15" x14ac:dyDescent="0.35">
      <c r="A835" s="2" t="s">
        <v>9</v>
      </c>
      <c r="B835" s="6">
        <f>O829+B828</f>
        <v>-5.7220789279092497</v>
      </c>
      <c r="C835" s="3"/>
      <c r="E835" s="11" t="s">
        <v>11</v>
      </c>
      <c r="F835" s="1">
        <f>-B835*SIN(t.1)+a*SIN(C832)+b*SIN(C834)-c.*SIN(t.4)</f>
        <v>-1.0508519294042173E-2</v>
      </c>
      <c r="H835" s="3">
        <f>-b*SIN(C834)</f>
        <v>-4.7189259571381399</v>
      </c>
      <c r="I835" s="3">
        <f>-COS(t.1)</f>
        <v>-1</v>
      </c>
      <c r="J835" s="4"/>
      <c r="K835" s="3" cm="1">
        <f t="array" ref="K835:L836">MINVERSE(H835:I836)</f>
        <v>0</v>
      </c>
      <c r="L835" s="3">
        <v>-0.26985921252647355</v>
      </c>
      <c r="M835" s="3">
        <f>-F834</f>
        <v>-9.0511565232869878E-3</v>
      </c>
      <c r="O835" s="1" cm="1">
        <f t="array" ref="O835:O836">MMULT(K835:L836,M835:M836)</f>
        <v>-2.8358207415094747E-3</v>
      </c>
    </row>
    <row r="836" spans="1:15" x14ac:dyDescent="0.35">
      <c r="H836" s="3">
        <f>b*COS(C834)</f>
        <v>-3.7056359523093869</v>
      </c>
      <c r="I836" s="3">
        <f>-SIN(t.1)</f>
        <v>0</v>
      </c>
      <c r="J836" s="4"/>
      <c r="K836" s="3">
        <v>-1</v>
      </c>
      <c r="L836" s="3">
        <v>1.2734456427640339</v>
      </c>
      <c r="M836" s="3">
        <f>-F835</f>
        <v>1.0508519294042173E-2</v>
      </c>
      <c r="O836" s="1">
        <v>2.2433184630186776E-2</v>
      </c>
    </row>
    <row r="838" spans="1:15" x14ac:dyDescent="0.35">
      <c r="A838" s="9" t="s">
        <v>19</v>
      </c>
      <c r="C838" s="2" t="s">
        <v>4</v>
      </c>
    </row>
    <row r="839" spans="1:15" x14ac:dyDescent="0.35">
      <c r="A839" s="2" t="s">
        <v>5</v>
      </c>
      <c r="B839" s="6">
        <v>228</v>
      </c>
      <c r="C839" s="3">
        <f>B839*PI()/180</f>
        <v>3.9793506945470711</v>
      </c>
    </row>
    <row r="840" spans="1:15" x14ac:dyDescent="0.35">
      <c r="A840" s="4"/>
      <c r="B840" s="4"/>
      <c r="C840" s="1"/>
      <c r="H840" s="18" t="s">
        <v>12</v>
      </c>
      <c r="I840" s="18"/>
      <c r="J840" s="4"/>
      <c r="K840" s="18" t="s">
        <v>13</v>
      </c>
      <c r="L840" s="18"/>
      <c r="M840" s="19" t="s">
        <v>14</v>
      </c>
      <c r="O840" s="21" t="s">
        <v>15</v>
      </c>
    </row>
    <row r="841" spans="1:15" x14ac:dyDescent="0.35">
      <c r="A841" s="2" t="s">
        <v>7</v>
      </c>
      <c r="B841" s="6">
        <f>C841*180/PI()</f>
        <v>127.97904075759324</v>
      </c>
      <c r="C841" s="3">
        <f>O835+C834</f>
        <v>2.2336556347640202</v>
      </c>
      <c r="E841" s="11" t="s">
        <v>10</v>
      </c>
      <c r="F841" s="1">
        <f>-B842*COS(t.1)+a*COS(C839)+b*COS(C841)-c.*COS(t.4)</f>
        <v>1.4882192400935757E-5</v>
      </c>
      <c r="H841" s="8" t="s">
        <v>7</v>
      </c>
      <c r="I841" s="8" t="s">
        <v>9</v>
      </c>
      <c r="J841" s="4"/>
      <c r="K841" s="8" t="s">
        <v>7</v>
      </c>
      <c r="L841" s="8" t="s">
        <v>9</v>
      </c>
      <c r="M841" s="20"/>
      <c r="O841" s="22"/>
    </row>
    <row r="842" spans="1:15" x14ac:dyDescent="0.35">
      <c r="A842" s="2" t="s">
        <v>9</v>
      </c>
      <c r="B842" s="6">
        <f>O836+B835</f>
        <v>-5.6996457432790626</v>
      </c>
      <c r="C842" s="3"/>
      <c r="E842" s="11" t="s">
        <v>11</v>
      </c>
      <c r="F842" s="1">
        <f>-B842*SIN(t.1)+a*SIN(C839)+b*SIN(C841)-c.*SIN(t.4)</f>
        <v>-1.8988588420754127E-5</v>
      </c>
      <c r="H842" s="3">
        <f>-b*SIN(C841)</f>
        <v>-4.7294154878437613</v>
      </c>
      <c r="I842" s="3">
        <f>-COS(t.1)</f>
        <v>-1</v>
      </c>
      <c r="J842" s="4"/>
      <c r="K842" s="3" cm="1">
        <f t="array" ref="K842:L843">MINVERSE(H842:I843)</f>
        <v>0</v>
      </c>
      <c r="L842" s="3">
        <v>-0.27083836897396318</v>
      </c>
      <c r="M842" s="3">
        <f>-F841</f>
        <v>-1.4882192400935757E-5</v>
      </c>
      <c r="O842" s="1" cm="1">
        <f t="array" ref="O842:O843">MMULT(K842:L843,M842:M843)</f>
        <v>-5.1428383169949315E-6</v>
      </c>
    </row>
    <row r="843" spans="1:15" x14ac:dyDescent="0.35">
      <c r="H843" s="3">
        <f>b*COS(C841)</f>
        <v>-3.6922390420100859</v>
      </c>
      <c r="I843" s="3">
        <f>-SIN(t.1)</f>
        <v>0</v>
      </c>
      <c r="J843" s="4"/>
      <c r="K843" s="3">
        <v>-1</v>
      </c>
      <c r="L843" s="3">
        <v>1.2809071769278046</v>
      </c>
      <c r="M843" s="3">
        <f>-F842</f>
        <v>1.8988588420754127E-5</v>
      </c>
      <c r="O843" s="1">
        <v>3.9204811588807931E-5</v>
      </c>
    </row>
    <row r="845" spans="1:15" x14ac:dyDescent="0.35">
      <c r="A845" s="9" t="s">
        <v>20</v>
      </c>
      <c r="C845" s="2" t="s">
        <v>4</v>
      </c>
    </row>
    <row r="846" spans="1:15" x14ac:dyDescent="0.35">
      <c r="A846" s="2" t="s">
        <v>5</v>
      </c>
      <c r="B846" s="6">
        <v>228</v>
      </c>
      <c r="C846" s="3">
        <f>B846*PI()/180</f>
        <v>3.9793506945470711</v>
      </c>
    </row>
    <row r="847" spans="1:15" x14ac:dyDescent="0.35">
      <c r="A847" s="4"/>
      <c r="B847" s="4"/>
      <c r="C847" s="1"/>
      <c r="H847" s="18" t="s">
        <v>12</v>
      </c>
      <c r="I847" s="18"/>
      <c r="J847" s="4"/>
      <c r="K847" s="18" t="s">
        <v>13</v>
      </c>
      <c r="L847" s="18"/>
      <c r="M847" s="19" t="s">
        <v>14</v>
      </c>
      <c r="O847" s="21" t="s">
        <v>15</v>
      </c>
    </row>
    <row r="848" spans="1:15" x14ac:dyDescent="0.35">
      <c r="A848" s="2" t="s">
        <v>7</v>
      </c>
      <c r="B848" s="6">
        <f>C848*180/PI()</f>
        <v>127.97874609466295</v>
      </c>
      <c r="C848" s="3">
        <f>O842+C841</f>
        <v>2.2336504919257032</v>
      </c>
      <c r="E848" s="11" t="s">
        <v>10</v>
      </c>
      <c r="F848" s="1">
        <f>-B849*COS(t.1)+a*COS(C846)+b*COS(C848)-c.*COS(t.4)</f>
        <v>4.8827455479457521E-11</v>
      </c>
      <c r="H848" s="8" t="s">
        <v>7</v>
      </c>
      <c r="I848" s="8" t="s">
        <v>9</v>
      </c>
      <c r="J848" s="4"/>
      <c r="K848" s="8" t="s">
        <v>7</v>
      </c>
      <c r="L848" s="8" t="s">
        <v>9</v>
      </c>
      <c r="M848" s="20"/>
      <c r="O848" s="22"/>
    </row>
    <row r="849" spans="1:15" x14ac:dyDescent="0.35">
      <c r="A849" s="2" t="s">
        <v>9</v>
      </c>
      <c r="B849" s="6">
        <f>O843+B842</f>
        <v>-5.6996065384674734</v>
      </c>
      <c r="C849" s="3"/>
      <c r="E849" s="11" t="s">
        <v>11</v>
      </c>
      <c r="F849" s="1">
        <f>-B849*SIN(t.1)+a*SIN(C846)+b*SIN(C848)-c.*SIN(t.4)</f>
        <v>-6.2543747958443419E-11</v>
      </c>
      <c r="H849" s="3">
        <f>-b*SIN(C848)</f>
        <v>-4.7294344763696383</v>
      </c>
      <c r="I849" s="3">
        <f>-COS(B806)</f>
        <v>0.93271616761115317</v>
      </c>
      <c r="J849" s="4"/>
      <c r="K849" s="3" cm="1">
        <f t="array" ref="K849:L850">MINVERSE(H849:I850)</f>
        <v>-7.0031465892743033E-2</v>
      </c>
      <c r="L849" s="3">
        <v>-0.18113539477339255</v>
      </c>
      <c r="M849" s="3">
        <f>-F848</f>
        <v>-4.8827455479457521E-11</v>
      </c>
      <c r="O849" s="1" cm="1">
        <f t="array" ref="O849:O850">MMULT(K849:L850,M849:M850)</f>
        <v>-7.9094281940211558E-12</v>
      </c>
    </row>
    <row r="850" spans="1:15" x14ac:dyDescent="0.35">
      <c r="H850" s="3">
        <f>b*COS(C848)</f>
        <v>-3.6922147193420702</v>
      </c>
      <c r="I850" s="3">
        <f>-SIN(B806)</f>
        <v>-0.36061135683275874</v>
      </c>
      <c r="J850" s="4"/>
      <c r="K850" s="3">
        <v>0.71703567923460043</v>
      </c>
      <c r="L850" s="3">
        <v>-0.91846588563612208</v>
      </c>
      <c r="M850" s="3">
        <f>-F849</f>
        <v>6.2543747958443419E-11</v>
      </c>
      <c r="O850" s="1">
        <v>-9.2455326564664182E-11</v>
      </c>
    </row>
    <row r="852" spans="1:15" x14ac:dyDescent="0.35">
      <c r="A852" s="9" t="s">
        <v>6</v>
      </c>
      <c r="C852" s="2" t="s">
        <v>4</v>
      </c>
    </row>
    <row r="853" spans="1:15" x14ac:dyDescent="0.35">
      <c r="A853" s="2" t="s">
        <v>5</v>
      </c>
      <c r="B853" s="6">
        <v>0</v>
      </c>
      <c r="C853" s="3">
        <f>B853*PI()/180</f>
        <v>0</v>
      </c>
    </row>
    <row r="854" spans="1:15" x14ac:dyDescent="0.35">
      <c r="A854" s="4"/>
      <c r="B854" s="4"/>
      <c r="C854" s="1"/>
      <c r="H854" s="18" t="s">
        <v>12</v>
      </c>
      <c r="I854" s="18"/>
      <c r="J854" s="4"/>
      <c r="K854" s="18" t="s">
        <v>13</v>
      </c>
      <c r="L854" s="18"/>
      <c r="M854" s="19" t="s">
        <v>14</v>
      </c>
      <c r="O854" s="21" t="s">
        <v>15</v>
      </c>
    </row>
    <row r="855" spans="1:15" x14ac:dyDescent="0.35">
      <c r="A855" s="2" t="s">
        <v>7</v>
      </c>
      <c r="B855" s="6">
        <v>110</v>
      </c>
      <c r="C855" s="3">
        <f>B855*PI()/180</f>
        <v>1.9198621771937625</v>
      </c>
      <c r="E855" s="11" t="s">
        <v>10</v>
      </c>
      <c r="F855" s="1">
        <f>-B856*COS(t.1)+a*COS(C853)+b*COS(C855)-c.*COS(t.4)</f>
        <v>-5.0521208599540124</v>
      </c>
      <c r="H855" s="8" t="s">
        <v>7</v>
      </c>
      <c r="I855" s="8" t="s">
        <v>9</v>
      </c>
      <c r="J855" s="4"/>
      <c r="K855" s="8" t="s">
        <v>7</v>
      </c>
      <c r="L855" s="8" t="s">
        <v>9</v>
      </c>
      <c r="M855" s="20"/>
      <c r="O855" s="22"/>
    </row>
    <row r="856" spans="1:15" x14ac:dyDescent="0.35">
      <c r="A856" s="2" t="s">
        <v>9</v>
      </c>
      <c r="B856" s="6">
        <v>6</v>
      </c>
      <c r="C856" s="3"/>
      <c r="E856" s="11" t="s">
        <v>11</v>
      </c>
      <c r="F856" s="1">
        <f>-B856*SIN(t.1)+a*SIN(C853)+b*SIN(C855)-c.*SIN(t.4)</f>
        <v>3.1381557247154506</v>
      </c>
      <c r="H856" s="3">
        <f>-b*SIN(C855)</f>
        <v>-5.6381557247154506</v>
      </c>
      <c r="I856" s="3">
        <f>-COS(t.1)</f>
        <v>-1</v>
      </c>
      <c r="J856" s="4"/>
      <c r="K856" s="3" cm="1">
        <f t="array" ref="K856:L857">MINVERSE(H856:I857)</f>
        <v>0</v>
      </c>
      <c r="L856" s="3">
        <v>-0.48730073336051455</v>
      </c>
      <c r="M856" s="3">
        <f>-F855</f>
        <v>5.0521208599540124</v>
      </c>
      <c r="O856" s="1" cm="1">
        <f t="array" ref="O856:O857">MMULT(K856:L857,M856:M857)</f>
        <v>1.5292255860533361</v>
      </c>
    </row>
    <row r="857" spans="1:15" x14ac:dyDescent="0.35">
      <c r="H857" s="3">
        <f>b*COS(C855)</f>
        <v>-2.0521208599540124</v>
      </c>
      <c r="I857" s="3">
        <f>-SIN(t.1)</f>
        <v>0</v>
      </c>
      <c r="J857" s="4"/>
      <c r="K857" s="3">
        <v>-1</v>
      </c>
      <c r="L857" s="3">
        <v>2.7474774194546225</v>
      </c>
      <c r="M857" s="3">
        <f>-F856</f>
        <v>-3.1381557247154506</v>
      </c>
      <c r="O857" s="1">
        <v>-13.67413285234197</v>
      </c>
    </row>
    <row r="859" spans="1:15" x14ac:dyDescent="0.35">
      <c r="A859" s="9" t="s">
        <v>16</v>
      </c>
      <c r="C859" s="2" t="s">
        <v>4</v>
      </c>
    </row>
    <row r="860" spans="1:15" x14ac:dyDescent="0.35">
      <c r="A860" s="2" t="s">
        <v>5</v>
      </c>
      <c r="B860" s="6">
        <v>240</v>
      </c>
      <c r="C860" s="3">
        <f>B860*PI()/180</f>
        <v>4.1887902047863905</v>
      </c>
    </row>
    <row r="861" spans="1:15" x14ac:dyDescent="0.35">
      <c r="A861" s="4"/>
      <c r="B861" s="4"/>
      <c r="C861" s="1"/>
      <c r="H861" s="18" t="s">
        <v>12</v>
      </c>
      <c r="I861" s="18"/>
      <c r="J861" s="4"/>
      <c r="K861" s="18" t="s">
        <v>13</v>
      </c>
      <c r="L861" s="18"/>
      <c r="M861" s="19" t="s">
        <v>14</v>
      </c>
      <c r="O861" s="21" t="s">
        <v>15</v>
      </c>
    </row>
    <row r="862" spans="1:15" x14ac:dyDescent="0.35">
      <c r="A862" s="2" t="s">
        <v>7</v>
      </c>
      <c r="B862" s="6">
        <f>C862*180/PI()</f>
        <v>197.61817200427606</v>
      </c>
      <c r="C862" s="3">
        <f>O856+C855</f>
        <v>3.4490877632470989</v>
      </c>
      <c r="E862" s="11" t="s">
        <v>10</v>
      </c>
      <c r="F862" s="1">
        <f>-B863*COS(t.1)+a*COS(C860)+b*COS(C862)-c.*COS(t.4)</f>
        <v>0.45556453339990882</v>
      </c>
      <c r="H862" s="8" t="s">
        <v>7</v>
      </c>
      <c r="I862" s="8" t="s">
        <v>9</v>
      </c>
      <c r="J862" s="4"/>
      <c r="K862" s="8" t="s">
        <v>7</v>
      </c>
      <c r="L862" s="8" t="s">
        <v>9</v>
      </c>
      <c r="M862" s="20"/>
      <c r="O862" s="22"/>
    </row>
    <row r="863" spans="1:15" x14ac:dyDescent="0.35">
      <c r="A863" s="2" t="s">
        <v>9</v>
      </c>
      <c r="B863" s="6">
        <f>O857+B856</f>
        <v>-7.6741328523419696</v>
      </c>
      <c r="C863" s="3"/>
      <c r="E863" s="11" t="s">
        <v>11</v>
      </c>
      <c r="F863" s="1">
        <f>-B863*SIN(t.1)+a*SIN(C860)+b*SIN(C862)-c.*SIN(t.4)</f>
        <v>-6.9141093557623581</v>
      </c>
      <c r="H863" s="3">
        <f>-b*SIN(C862)</f>
        <v>1.8160331444090434</v>
      </c>
      <c r="I863" s="3">
        <f>-COS(t.1)</f>
        <v>-1</v>
      </c>
      <c r="J863" s="4"/>
      <c r="K863" s="3" cm="1">
        <f t="array" ref="K863:L864">MINVERSE(H863:I864)</f>
        <v>0</v>
      </c>
      <c r="L863" s="3">
        <v>-0.1748689434534903</v>
      </c>
      <c r="M863" s="3">
        <f>-F862</f>
        <v>-0.45556453339990882</v>
      </c>
      <c r="O863" s="1" cm="1">
        <f t="array" ref="O863:O864">MMULT(K863:L864,M863:M864)</f>
        <v>-1.2090629979640561</v>
      </c>
    </row>
    <row r="864" spans="1:15" x14ac:dyDescent="0.35">
      <c r="H864" s="3">
        <f>b*COS(C862)</f>
        <v>-5.7185683189420589</v>
      </c>
      <c r="I864" s="3">
        <f>-SIN(t.1)</f>
        <v>0</v>
      </c>
      <c r="J864" s="4"/>
      <c r="K864" s="3">
        <v>-1</v>
      </c>
      <c r="L864" s="3">
        <v>-0.31756779723932921</v>
      </c>
      <c r="M864" s="3">
        <f>-F863</f>
        <v>6.9141093557623581</v>
      </c>
      <c r="O864" s="1">
        <v>-1.740133944581381</v>
      </c>
    </row>
    <row r="866" spans="1:15" x14ac:dyDescent="0.35">
      <c r="A866" s="9" t="s">
        <v>17</v>
      </c>
      <c r="C866" s="2" t="s">
        <v>4</v>
      </c>
    </row>
    <row r="867" spans="1:15" x14ac:dyDescent="0.35">
      <c r="A867" s="2" t="s">
        <v>5</v>
      </c>
      <c r="B867" s="6">
        <v>240</v>
      </c>
      <c r="C867" s="3">
        <f>B867*PI()/180</f>
        <v>4.1887902047863905</v>
      </c>
    </row>
    <row r="868" spans="1:15" x14ac:dyDescent="0.35">
      <c r="A868" s="4"/>
      <c r="B868" s="4"/>
      <c r="C868" s="1"/>
      <c r="H868" s="18" t="s">
        <v>12</v>
      </c>
      <c r="I868" s="18"/>
      <c r="J868" s="4"/>
      <c r="K868" s="18" t="s">
        <v>13</v>
      </c>
      <c r="L868" s="18"/>
      <c r="M868" s="19" t="s">
        <v>14</v>
      </c>
      <c r="O868" s="21" t="s">
        <v>15</v>
      </c>
    </row>
    <row r="869" spans="1:15" x14ac:dyDescent="0.35">
      <c r="A869" s="2" t="s">
        <v>7</v>
      </c>
      <c r="B869" s="6">
        <f>C869*180/PI()</f>
        <v>128.3439650555012</v>
      </c>
      <c r="C869" s="3">
        <f>O863+C862</f>
        <v>2.2400247652830427</v>
      </c>
      <c r="E869" s="11" t="s">
        <v>10</v>
      </c>
      <c r="F869" s="1">
        <f>-B870*COS(t.1)+a*COS(C867)+b*COS(C869)-c.*COS(t.4)</f>
        <v>4.1919805831534429</v>
      </c>
      <c r="H869" s="8" t="s">
        <v>7</v>
      </c>
      <c r="I869" s="8" t="s">
        <v>9</v>
      </c>
      <c r="J869" s="4"/>
      <c r="K869" s="8" t="s">
        <v>7</v>
      </c>
      <c r="L869" s="8" t="s">
        <v>9</v>
      </c>
      <c r="M869" s="20"/>
      <c r="O869" s="22"/>
    </row>
    <row r="870" spans="1:15" x14ac:dyDescent="0.35">
      <c r="A870" s="2" t="s">
        <v>9</v>
      </c>
      <c r="B870" s="6">
        <f>O864+B863</f>
        <v>-9.41426679692335</v>
      </c>
      <c r="C870" s="3"/>
      <c r="E870" s="11" t="s">
        <v>11</v>
      </c>
      <c r="F870" s="1">
        <f>-B870*SIN(t.1)+a*SIN(C867)+b*SIN(C869)-c.*SIN(t.4)</f>
        <v>-0.39227284287535635</v>
      </c>
      <c r="H870" s="3">
        <f>-b*SIN(C869)</f>
        <v>-4.7058033684779588</v>
      </c>
      <c r="I870" s="3">
        <f>-COS(t.1)</f>
        <v>-1</v>
      </c>
      <c r="J870" s="4"/>
      <c r="K870" s="3" cm="1">
        <f t="array" ref="K870:L871">MINVERSE(H870:I871)</f>
        <v>0</v>
      </c>
      <c r="L870" s="3">
        <v>-0.26865209781576876</v>
      </c>
      <c r="M870" s="3">
        <f>-F869</f>
        <v>-4.1919805831534429</v>
      </c>
      <c r="O870" s="1" cm="1">
        <f t="array" ref="O870:O871">MMULT(K870:L871,M870:M871)</f>
        <v>-0.10538492215461992</v>
      </c>
    </row>
    <row r="871" spans="1:15" x14ac:dyDescent="0.35">
      <c r="H871" s="3">
        <f>b*COS(C869)</f>
        <v>-3.7222862137699049</v>
      </c>
      <c r="I871" s="3">
        <f>-SIN(t.1)</f>
        <v>0</v>
      </c>
      <c r="J871" s="4"/>
      <c r="K871" s="3">
        <v>-1</v>
      </c>
      <c r="L871" s="3">
        <v>1.2642239468501146</v>
      </c>
      <c r="M871" s="3">
        <f>-F870</f>
        <v>0.39227284287535635</v>
      </c>
      <c r="O871" s="1">
        <v>4.6879013048154405</v>
      </c>
    </row>
    <row r="873" spans="1:15" x14ac:dyDescent="0.35">
      <c r="A873" s="9" t="s">
        <v>18</v>
      </c>
      <c r="C873" s="2" t="s">
        <v>4</v>
      </c>
    </row>
    <row r="874" spans="1:15" x14ac:dyDescent="0.35">
      <c r="A874" s="2" t="s">
        <v>5</v>
      </c>
      <c r="B874" s="6">
        <v>240</v>
      </c>
      <c r="C874" s="3">
        <f>B874*PI()/180</f>
        <v>4.1887902047863905</v>
      </c>
    </row>
    <row r="875" spans="1:15" x14ac:dyDescent="0.35">
      <c r="A875" s="4"/>
      <c r="B875" s="4"/>
      <c r="C875" s="1"/>
      <c r="H875" s="18" t="s">
        <v>12</v>
      </c>
      <c r="I875" s="18"/>
      <c r="J875" s="4"/>
      <c r="K875" s="18" t="s">
        <v>13</v>
      </c>
      <c r="L875" s="18"/>
      <c r="M875" s="19" t="s">
        <v>14</v>
      </c>
      <c r="O875" s="21" t="s">
        <v>15</v>
      </c>
    </row>
    <row r="876" spans="1:15" x14ac:dyDescent="0.35">
      <c r="A876" s="2" t="s">
        <v>7</v>
      </c>
      <c r="B876" s="6">
        <f>C876*180/PI()</f>
        <v>122.30585379172678</v>
      </c>
      <c r="C876" s="3">
        <f>O870+C869</f>
        <v>2.134639843128423</v>
      </c>
      <c r="E876" s="11" t="s">
        <v>10</v>
      </c>
      <c r="F876" s="1">
        <f>-B877*COS(t.1)+a*COS(C874)+b*COS(C876)-c.*COS(t.4)</f>
        <v>1.9733260544712763E-2</v>
      </c>
      <c r="H876" s="8" t="s">
        <v>7</v>
      </c>
      <c r="I876" s="8" t="s">
        <v>9</v>
      </c>
      <c r="J876" s="4"/>
      <c r="K876" s="8" t="s">
        <v>7</v>
      </c>
      <c r="L876" s="8" t="s">
        <v>9</v>
      </c>
      <c r="M876" s="20"/>
      <c r="O876" s="22"/>
    </row>
    <row r="877" spans="1:15" x14ac:dyDescent="0.35">
      <c r="A877" s="2" t="s">
        <v>9</v>
      </c>
      <c r="B877" s="6">
        <f>O871+B870</f>
        <v>-4.7263654921079095</v>
      </c>
      <c r="C877" s="3"/>
      <c r="E877" s="11" t="s">
        <v>11</v>
      </c>
      <c r="F877" s="1">
        <f>-B877*SIN(t.1)+a*SIN(C874)+b*SIN(C876)-c.*SIN(t.4)</f>
        <v>-2.6832800561437331E-2</v>
      </c>
      <c r="H877" s="3">
        <f>-b*SIN(C876)</f>
        <v>-5.0712434107918778</v>
      </c>
      <c r="I877" s="3">
        <f>-COS(t.1)</f>
        <v>-1</v>
      </c>
      <c r="J877" s="4"/>
      <c r="K877" s="3" cm="1">
        <f t="array" ref="K877:L878">MINVERSE(H877:I878)</f>
        <v>0</v>
      </c>
      <c r="L877" s="3">
        <v>-0.31185366072133314</v>
      </c>
      <c r="M877" s="3">
        <f>-F876</f>
        <v>-1.9733260544712763E-2</v>
      </c>
      <c r="O877" s="1" cm="1">
        <f t="array" ref="O877:O878">MMULT(K877:L878,M877:M878)</f>
        <v>-8.3679070824896739E-3</v>
      </c>
    </row>
    <row r="878" spans="1:15" x14ac:dyDescent="0.35">
      <c r="H878" s="3">
        <f>b*COS(C876)</f>
        <v>-3.2066322315631952</v>
      </c>
      <c r="I878" s="3">
        <f>-SIN(t.1)</f>
        <v>0</v>
      </c>
      <c r="J878" s="4"/>
      <c r="K878" s="3">
        <v>-1</v>
      </c>
      <c r="L878" s="3">
        <v>1.5814858220643866</v>
      </c>
      <c r="M878" s="3">
        <f>-F877</f>
        <v>2.6832800561437331E-2</v>
      </c>
      <c r="O878" s="1">
        <v>6.2168954198907216E-2</v>
      </c>
    </row>
    <row r="880" spans="1:15" x14ac:dyDescent="0.35">
      <c r="A880" s="9" t="s">
        <v>19</v>
      </c>
      <c r="C880" s="2" t="s">
        <v>4</v>
      </c>
    </row>
    <row r="881" spans="1:15" x14ac:dyDescent="0.35">
      <c r="A881" s="2" t="s">
        <v>5</v>
      </c>
      <c r="B881" s="6">
        <v>240</v>
      </c>
      <c r="C881" s="3">
        <f>B881*PI()/180</f>
        <v>4.1887902047863905</v>
      </c>
    </row>
    <row r="882" spans="1:15" x14ac:dyDescent="0.35">
      <c r="A882" s="4"/>
      <c r="B882" s="4"/>
      <c r="C882" s="1"/>
      <c r="H882" s="18" t="s">
        <v>12</v>
      </c>
      <c r="I882" s="18"/>
      <c r="J882" s="4"/>
      <c r="K882" s="18" t="s">
        <v>13</v>
      </c>
      <c r="L882" s="18"/>
      <c r="M882" s="19" t="s">
        <v>14</v>
      </c>
      <c r="O882" s="21" t="s">
        <v>15</v>
      </c>
    </row>
    <row r="883" spans="1:15" x14ac:dyDescent="0.35">
      <c r="A883" s="2" t="s">
        <v>7</v>
      </c>
      <c r="B883" s="6">
        <f>C883*180/PI()</f>
        <v>121.82640803254246</v>
      </c>
      <c r="C883" s="3">
        <f>O877+C876</f>
        <v>2.1262719360459332</v>
      </c>
      <c r="E883" s="11" t="s">
        <v>10</v>
      </c>
      <c r="F883" s="1">
        <f>-B884*COS(t.1)+a*COS(C881)+b*COS(C883)-c.*COS(t.4)</f>
        <v>1.1177129980695317E-4</v>
      </c>
      <c r="H883" s="8" t="s">
        <v>7</v>
      </c>
      <c r="I883" s="8" t="s">
        <v>9</v>
      </c>
      <c r="J883" s="4"/>
      <c r="K883" s="8" t="s">
        <v>7</v>
      </c>
      <c r="L883" s="8" t="s">
        <v>9</v>
      </c>
      <c r="M883" s="20"/>
      <c r="O883" s="22"/>
    </row>
    <row r="884" spans="1:15" x14ac:dyDescent="0.35">
      <c r="A884" s="2" t="s">
        <v>9</v>
      </c>
      <c r="B884" s="6">
        <f>O878+B877</f>
        <v>-4.6641965379090022</v>
      </c>
      <c r="C884" s="3"/>
      <c r="E884" s="11" t="s">
        <v>11</v>
      </c>
      <c r="F884" s="1">
        <f>-B884*SIN(t.1)+a*SIN(C881)+b*SIN(C883)-c.*SIN(t.4)</f>
        <v>-1.7786108075945606E-4</v>
      </c>
      <c r="H884" s="3">
        <f>-b*SIN(C883)</f>
        <v>-5.0978983502725557</v>
      </c>
      <c r="I884" s="3">
        <f>-COS(t.1)</f>
        <v>-1</v>
      </c>
      <c r="J884" s="4"/>
      <c r="K884" s="3" cm="1">
        <f t="array" ref="K884:L885">MINVERSE(H884:I885)</f>
        <v>0</v>
      </c>
      <c r="L884" s="3">
        <v>-0.3160471585821813</v>
      </c>
      <c r="M884" s="3">
        <f>-F883</f>
        <v>-1.1177129980695317E-4</v>
      </c>
      <c r="O884" s="1" cm="1">
        <f t="array" ref="O884:O885">MMULT(K884:L885,M884:M885)</f>
        <v>-5.621248919638196E-5</v>
      </c>
    </row>
    <row r="885" spans="1:15" x14ac:dyDescent="0.35">
      <c r="H885" s="3">
        <f>b*COS(C883)</f>
        <v>-3.1640847666091938</v>
      </c>
      <c r="I885" s="3">
        <f>-SIN(t.1)</f>
        <v>0</v>
      </c>
      <c r="J885" s="4"/>
      <c r="K885" s="3">
        <v>-1</v>
      </c>
      <c r="L885" s="3">
        <v>1.6111762883444309</v>
      </c>
      <c r="M885" s="3">
        <f>-F884</f>
        <v>1.7786108075945606E-4</v>
      </c>
      <c r="O885" s="1">
        <v>3.9833685574590269E-4</v>
      </c>
    </row>
    <row r="887" spans="1:15" x14ac:dyDescent="0.35">
      <c r="A887" s="9" t="s">
        <v>20</v>
      </c>
      <c r="C887" s="2" t="s">
        <v>4</v>
      </c>
    </row>
    <row r="888" spans="1:15" x14ac:dyDescent="0.35">
      <c r="A888" s="2" t="s">
        <v>5</v>
      </c>
      <c r="B888" s="6">
        <v>240</v>
      </c>
      <c r="C888" s="3">
        <f>B888*PI()/180</f>
        <v>4.1887902047863905</v>
      </c>
    </row>
    <row r="889" spans="1:15" x14ac:dyDescent="0.35">
      <c r="A889" s="4"/>
      <c r="B889" s="4"/>
      <c r="C889" s="1"/>
      <c r="H889" s="18" t="s">
        <v>12</v>
      </c>
      <c r="I889" s="18"/>
      <c r="J889" s="4"/>
      <c r="K889" s="18" t="s">
        <v>13</v>
      </c>
      <c r="L889" s="18"/>
      <c r="M889" s="19" t="s">
        <v>14</v>
      </c>
      <c r="O889" s="21" t="s">
        <v>15</v>
      </c>
    </row>
    <row r="890" spans="1:15" x14ac:dyDescent="0.35">
      <c r="A890" s="2" t="s">
        <v>7</v>
      </c>
      <c r="B890" s="6">
        <f>C890*180/PI()</f>
        <v>121.82318729415559</v>
      </c>
      <c r="C890" s="3">
        <f>O884+C883</f>
        <v>2.1262157235567369</v>
      </c>
      <c r="E890" s="11" t="s">
        <v>10</v>
      </c>
      <c r="F890" s="1">
        <f>-B891*COS(t.1)+a*COS(C888)+b*COS(C890)-c.*COS(t.4)</f>
        <v>4.9988558426645145E-9</v>
      </c>
      <c r="H890" s="8" t="s">
        <v>7</v>
      </c>
      <c r="I890" s="8" t="s">
        <v>9</v>
      </c>
      <c r="J890" s="4"/>
      <c r="K890" s="8" t="s">
        <v>7</v>
      </c>
      <c r="L890" s="8" t="s">
        <v>9</v>
      </c>
      <c r="M890" s="20"/>
      <c r="O890" s="22"/>
    </row>
    <row r="891" spans="1:15" x14ac:dyDescent="0.35">
      <c r="A891" s="2" t="s">
        <v>9</v>
      </c>
      <c r="B891" s="6">
        <f>O885+B884</f>
        <v>-4.6637982010532566</v>
      </c>
      <c r="C891" s="3"/>
      <c r="E891" s="11" t="s">
        <v>11</v>
      </c>
      <c r="F891" s="1">
        <f>-B891*SIN(t.1)+a*SIN(C888)+b*SIN(C890)-c.*SIN(t.4)</f>
        <v>-8.0543758329554294E-9</v>
      </c>
      <c r="H891" s="3">
        <f>-b*SIN(C890)</f>
        <v>-5.0980762032989393</v>
      </c>
      <c r="I891" s="3">
        <f>-COS(B848)</f>
        <v>0.67741561392933958</v>
      </c>
      <c r="J891" s="4"/>
      <c r="K891" s="3" cm="1">
        <f t="array" ref="K891:L892">MINVERSE(H891:I892)</f>
        <v>-0.12481865757339086</v>
      </c>
      <c r="L891" s="3">
        <v>-0.11494569171665468</v>
      </c>
      <c r="M891" s="3">
        <f>-F890</f>
        <v>-4.9988558426645145E-9</v>
      </c>
      <c r="O891" s="1" cm="1">
        <f t="array" ref="O891:O892">MMULT(K891:L892,M891:M892)</f>
        <v>-3.0186532578068228E-10</v>
      </c>
    </row>
    <row r="892" spans="1:15" x14ac:dyDescent="0.35">
      <c r="H892" s="3">
        <f>b*COS(C890)</f>
        <v>-3.1637981960543993</v>
      </c>
      <c r="I892" s="3">
        <f>-SIN(B848)</f>
        <v>-0.73560049347776812</v>
      </c>
      <c r="J892" s="4"/>
      <c r="K892" s="3">
        <v>0.53684173293252524</v>
      </c>
      <c r="L892" s="3">
        <v>-0.86505519442239842</v>
      </c>
      <c r="M892" s="3">
        <f>-F891</f>
        <v>8.0543758329554294E-9</v>
      </c>
      <c r="O892" s="1">
        <v>-9.6510740853842218E-9</v>
      </c>
    </row>
    <row r="894" spans="1:15" x14ac:dyDescent="0.35">
      <c r="A894" s="9" t="s">
        <v>6</v>
      </c>
      <c r="C894" s="2" t="s">
        <v>4</v>
      </c>
    </row>
    <row r="895" spans="1:15" x14ac:dyDescent="0.35">
      <c r="A895" s="2" t="s">
        <v>5</v>
      </c>
      <c r="B895" s="6">
        <v>0</v>
      </c>
      <c r="C895" s="3">
        <f>B895*PI()/180</f>
        <v>0</v>
      </c>
    </row>
    <row r="896" spans="1:15" x14ac:dyDescent="0.35">
      <c r="A896" s="4"/>
      <c r="B896" s="4"/>
      <c r="C896" s="1"/>
      <c r="H896" s="18" t="s">
        <v>12</v>
      </c>
      <c r="I896" s="18"/>
      <c r="J896" s="4"/>
      <c r="K896" s="18" t="s">
        <v>13</v>
      </c>
      <c r="L896" s="18"/>
      <c r="M896" s="19" t="s">
        <v>14</v>
      </c>
      <c r="O896" s="21" t="s">
        <v>15</v>
      </c>
    </row>
    <row r="897" spans="1:15" x14ac:dyDescent="0.35">
      <c r="A897" s="2" t="s">
        <v>7</v>
      </c>
      <c r="B897" s="6">
        <v>110</v>
      </c>
      <c r="C897" s="3">
        <f>B897*PI()/180</f>
        <v>1.9198621771937625</v>
      </c>
      <c r="E897" s="11" t="s">
        <v>10</v>
      </c>
      <c r="F897" s="1">
        <f>-B898*COS(t.1)+a*COS(C895)+b*COS(C897)-c.*COS(t.4)</f>
        <v>-5.0521208599540124</v>
      </c>
      <c r="H897" s="8" t="s">
        <v>7</v>
      </c>
      <c r="I897" s="8" t="s">
        <v>9</v>
      </c>
      <c r="J897" s="4"/>
      <c r="K897" s="8" t="s">
        <v>7</v>
      </c>
      <c r="L897" s="8" t="s">
        <v>9</v>
      </c>
      <c r="M897" s="20"/>
      <c r="O897" s="22"/>
    </row>
    <row r="898" spans="1:15" x14ac:dyDescent="0.35">
      <c r="A898" s="2" t="s">
        <v>9</v>
      </c>
      <c r="B898" s="6">
        <v>6</v>
      </c>
      <c r="C898" s="3"/>
      <c r="E898" s="11" t="s">
        <v>11</v>
      </c>
      <c r="F898" s="1">
        <f>-B898*SIN(t.1)+a*SIN(C895)+b*SIN(C897)-c.*SIN(t.4)</f>
        <v>3.1381557247154506</v>
      </c>
      <c r="H898" s="3">
        <f>-b*SIN(C897)</f>
        <v>-5.6381557247154506</v>
      </c>
      <c r="I898" s="3">
        <f>-COS(t.1)</f>
        <v>-1</v>
      </c>
      <c r="J898" s="4"/>
      <c r="K898" s="3" cm="1">
        <f t="array" ref="K898:L899">MINVERSE(H898:I899)</f>
        <v>0</v>
      </c>
      <c r="L898" s="3">
        <v>-0.48730073336051455</v>
      </c>
      <c r="M898" s="3">
        <f>-F897</f>
        <v>5.0521208599540124</v>
      </c>
      <c r="O898" s="1" cm="1">
        <f t="array" ref="O898:O899">MMULT(K898:L899,M898:M899)</f>
        <v>1.5292255860533361</v>
      </c>
    </row>
    <row r="899" spans="1:15" x14ac:dyDescent="0.35">
      <c r="H899" s="3">
        <f>b*COS(C897)</f>
        <v>-2.0521208599540124</v>
      </c>
      <c r="I899" s="3">
        <f>-SIN(t.1)</f>
        <v>0</v>
      </c>
      <c r="J899" s="4"/>
      <c r="K899" s="3">
        <v>-1</v>
      </c>
      <c r="L899" s="3">
        <v>2.7474774194546225</v>
      </c>
      <c r="M899" s="3">
        <f>-F898</f>
        <v>-3.1381557247154506</v>
      </c>
      <c r="O899" s="1">
        <v>-13.67413285234197</v>
      </c>
    </row>
    <row r="901" spans="1:15" x14ac:dyDescent="0.35">
      <c r="A901" s="9" t="s">
        <v>16</v>
      </c>
      <c r="C901" s="2" t="s">
        <v>4</v>
      </c>
    </row>
    <row r="902" spans="1:15" x14ac:dyDescent="0.35">
      <c r="A902" s="2" t="s">
        <v>5</v>
      </c>
      <c r="B902" s="6">
        <v>252</v>
      </c>
      <c r="C902" s="3">
        <f>B902*PI()/180</f>
        <v>4.3982297150257104</v>
      </c>
    </row>
    <row r="903" spans="1:15" x14ac:dyDescent="0.35">
      <c r="A903" s="4"/>
      <c r="B903" s="4"/>
      <c r="C903" s="1"/>
      <c r="H903" s="18" t="s">
        <v>12</v>
      </c>
      <c r="I903" s="18"/>
      <c r="J903" s="4"/>
      <c r="K903" s="18" t="s">
        <v>13</v>
      </c>
      <c r="L903" s="18"/>
      <c r="M903" s="19" t="s">
        <v>14</v>
      </c>
      <c r="O903" s="21" t="s">
        <v>15</v>
      </c>
    </row>
    <row r="904" spans="1:15" x14ac:dyDescent="0.35">
      <c r="A904" s="2" t="s">
        <v>7</v>
      </c>
      <c r="B904" s="6">
        <f>C904*180/PI()</f>
        <v>197.61817200427606</v>
      </c>
      <c r="C904" s="3">
        <f>O898+C897</f>
        <v>3.4490877632470989</v>
      </c>
      <c r="E904" s="11" t="s">
        <v>10</v>
      </c>
      <c r="F904" s="1">
        <f>-B905*COS(t.1)+a*COS(C902)+b*COS(C904)-c.*COS(t.4)</f>
        <v>1.0285135502750682</v>
      </c>
      <c r="H904" s="8" t="s">
        <v>7</v>
      </c>
      <c r="I904" s="8" t="s">
        <v>9</v>
      </c>
      <c r="J904" s="4"/>
      <c r="K904" s="8" t="s">
        <v>7</v>
      </c>
      <c r="L904" s="8" t="s">
        <v>9</v>
      </c>
      <c r="M904" s="20"/>
      <c r="O904" s="22"/>
    </row>
    <row r="905" spans="1:15" x14ac:dyDescent="0.35">
      <c r="A905" s="2" t="s">
        <v>9</v>
      </c>
      <c r="B905" s="6">
        <f>O899+B898</f>
        <v>-7.6741328523419696</v>
      </c>
      <c r="C905" s="3"/>
      <c r="E905" s="11" t="s">
        <v>11</v>
      </c>
      <c r="F905" s="1">
        <f>-B905*SIN(t.1)+a*SIN(C902)+b*SIN(C904)-c.*SIN(t.4)</f>
        <v>-7.1692026932945039</v>
      </c>
      <c r="H905" s="3">
        <f>-b*SIN(C904)</f>
        <v>1.8160331444090434</v>
      </c>
      <c r="I905" s="3">
        <f>-COS(t.1)</f>
        <v>-1</v>
      </c>
      <c r="J905" s="4"/>
      <c r="K905" s="3" cm="1">
        <f t="array" ref="K905:L906">MINVERSE(H905:I906)</f>
        <v>0</v>
      </c>
      <c r="L905" s="3">
        <v>-0.1748689434534903</v>
      </c>
      <c r="M905" s="3">
        <f>-F904</f>
        <v>-1.0285135502750682</v>
      </c>
      <c r="O905" s="1" cm="1">
        <f t="array" ref="O905:O906">MMULT(K905:L906,M905:M906)</f>
        <v>-1.253670900380327</v>
      </c>
    </row>
    <row r="906" spans="1:15" x14ac:dyDescent="0.35">
      <c r="H906" s="3">
        <f>b*COS(C904)</f>
        <v>-5.7185683189420589</v>
      </c>
      <c r="I906" s="3">
        <f>-SIN(t.1)</f>
        <v>0</v>
      </c>
      <c r="J906" s="4"/>
      <c r="K906" s="3">
        <v>-1</v>
      </c>
      <c r="L906" s="3">
        <v>-0.31756779723932921</v>
      </c>
      <c r="M906" s="3">
        <f>-F905</f>
        <v>7.1692026932945039</v>
      </c>
      <c r="O906" s="1">
        <v>-1.2481943569967335</v>
      </c>
    </row>
    <row r="908" spans="1:15" x14ac:dyDescent="0.35">
      <c r="A908" s="9" t="s">
        <v>17</v>
      </c>
      <c r="C908" s="2" t="s">
        <v>4</v>
      </c>
    </row>
    <row r="909" spans="1:15" x14ac:dyDescent="0.35">
      <c r="A909" s="2" t="s">
        <v>5</v>
      </c>
      <c r="B909" s="6">
        <v>252</v>
      </c>
      <c r="C909" s="3">
        <f>B909*PI()/180</f>
        <v>4.3982297150257104</v>
      </c>
    </row>
    <row r="910" spans="1:15" x14ac:dyDescent="0.35">
      <c r="A910" s="4"/>
      <c r="B910" s="4"/>
      <c r="C910" s="1"/>
      <c r="H910" s="18" t="s">
        <v>12</v>
      </c>
      <c r="I910" s="18"/>
      <c r="J910" s="4"/>
      <c r="K910" s="18" t="s">
        <v>13</v>
      </c>
      <c r="L910" s="18"/>
      <c r="M910" s="19" t="s">
        <v>14</v>
      </c>
      <c r="O910" s="21" t="s">
        <v>15</v>
      </c>
    </row>
    <row r="911" spans="1:15" x14ac:dyDescent="0.35">
      <c r="A911" s="2" t="s">
        <v>7</v>
      </c>
      <c r="B911" s="6">
        <f>C911*180/PI()</f>
        <v>125.78812051411745</v>
      </c>
      <c r="C911" s="3">
        <f>O905+C904</f>
        <v>2.1954168628667716</v>
      </c>
      <c r="E911" s="11" t="s">
        <v>10</v>
      </c>
      <c r="F911" s="1">
        <f>-B912*COS(t.1)+a*COS(C909)+b*COS(C911)-c.*COS(t.4)</f>
        <v>4.4865392287816377</v>
      </c>
      <c r="H911" s="8" t="s">
        <v>7</v>
      </c>
      <c r="I911" s="8" t="s">
        <v>9</v>
      </c>
      <c r="J911" s="4"/>
      <c r="K911" s="8" t="s">
        <v>7</v>
      </c>
      <c r="L911" s="8" t="s">
        <v>9</v>
      </c>
      <c r="M911" s="20"/>
      <c r="O911" s="22"/>
    </row>
    <row r="912" spans="1:15" x14ac:dyDescent="0.35">
      <c r="A912" s="2" t="s">
        <v>9</v>
      </c>
      <c r="B912" s="6">
        <f>O906+B905</f>
        <v>-8.9223272093387038</v>
      </c>
      <c r="C912" s="3"/>
      <c r="E912" s="11" t="s">
        <v>11</v>
      </c>
      <c r="F912" s="1">
        <f>-B912*SIN(t.1)+a*SIN(C909)+b*SIN(C911)-c.*SIN(t.4)</f>
        <v>-0.48605904234769559</v>
      </c>
      <c r="H912" s="3">
        <f>-b*SIN(C911)</f>
        <v>-4.8671105065377649</v>
      </c>
      <c r="I912" s="3">
        <f>-COS(t.1)</f>
        <v>-1</v>
      </c>
      <c r="J912" s="4"/>
      <c r="K912" s="3" cm="1">
        <f t="array" ref="K912:L913">MINVERSE(H912:I913)</f>
        <v>0</v>
      </c>
      <c r="L912" s="3">
        <v>-0.28500283741181615</v>
      </c>
      <c r="M912" s="3">
        <f>-F911</f>
        <v>-4.4865392287816377</v>
      </c>
      <c r="O912" s="1" cm="1">
        <f t="array" ref="O912:O913">MMULT(K912:L913,M912:M913)</f>
        <v>-0.13852820621876336</v>
      </c>
    </row>
    <row r="913" spans="1:15" x14ac:dyDescent="0.35">
      <c r="H913" s="3">
        <f>b*COS(C911)</f>
        <v>-3.5087369974322238</v>
      </c>
      <c r="I913" s="3">
        <f>-SIN(t.1)</f>
        <v>0</v>
      </c>
      <c r="J913" s="4"/>
      <c r="K913" s="3">
        <v>-1</v>
      </c>
      <c r="L913" s="3">
        <v>1.3871403043601247</v>
      </c>
      <c r="M913" s="3">
        <f>-F912</f>
        <v>0.48605904234769559</v>
      </c>
      <c r="O913" s="1">
        <v>5.1607713167208109</v>
      </c>
    </row>
    <row r="915" spans="1:15" x14ac:dyDescent="0.35">
      <c r="A915" s="9" t="s">
        <v>18</v>
      </c>
      <c r="C915" s="2" t="s">
        <v>4</v>
      </c>
    </row>
    <row r="916" spans="1:15" x14ac:dyDescent="0.35">
      <c r="A916" s="2" t="s">
        <v>5</v>
      </c>
      <c r="B916" s="6">
        <v>252</v>
      </c>
      <c r="C916" s="3">
        <f>B916*PI()/180</f>
        <v>4.3982297150257104</v>
      </c>
    </row>
    <row r="917" spans="1:15" x14ac:dyDescent="0.35">
      <c r="A917" s="4"/>
      <c r="B917" s="4"/>
      <c r="C917" s="1"/>
      <c r="H917" s="18" t="s">
        <v>12</v>
      </c>
      <c r="I917" s="18"/>
      <c r="J917" s="4"/>
      <c r="K917" s="18" t="s">
        <v>13</v>
      </c>
      <c r="L917" s="18"/>
      <c r="M917" s="19" t="s">
        <v>14</v>
      </c>
      <c r="O917" s="21" t="s">
        <v>15</v>
      </c>
    </row>
    <row r="918" spans="1:15" x14ac:dyDescent="0.35">
      <c r="A918" s="2" t="s">
        <v>7</v>
      </c>
      <c r="B918" s="6">
        <f>C918*180/PI()</f>
        <v>117.85103895426438</v>
      </c>
      <c r="C918" s="3">
        <f>O912+C911</f>
        <v>2.0568886566480082</v>
      </c>
      <c r="E918" s="11" t="s">
        <v>10</v>
      </c>
      <c r="F918" s="1">
        <f>-B919*COS(t.1)+a*COS(C916)+b*COS(C918)-c.*COS(t.4)</f>
        <v>3.1458281628397991E-2</v>
      </c>
      <c r="H918" s="8" t="s">
        <v>7</v>
      </c>
      <c r="I918" s="8" t="s">
        <v>9</v>
      </c>
      <c r="J918" s="4"/>
      <c r="K918" s="8" t="s">
        <v>7</v>
      </c>
      <c r="L918" s="8" t="s">
        <v>9</v>
      </c>
      <c r="M918" s="20"/>
      <c r="O918" s="22"/>
    </row>
    <row r="919" spans="1:15" x14ac:dyDescent="0.35">
      <c r="A919" s="2" t="s">
        <v>9</v>
      </c>
      <c r="B919" s="6">
        <f>O913+B912</f>
        <v>-3.7615558926178929</v>
      </c>
      <c r="C919" s="3"/>
      <c r="E919" s="11" t="s">
        <v>11</v>
      </c>
      <c r="F919" s="1">
        <f>-B919*SIN(t.1)+a*SIN(C916)+b*SIN(C918)-c.*SIN(t.4)</f>
        <v>-4.8178540220450206E-2</v>
      </c>
      <c r="H919" s="3">
        <f>-b*SIN(C918)</f>
        <v>-5.3049910086650103</v>
      </c>
      <c r="I919" s="3">
        <f>-COS(t.1)</f>
        <v>-1</v>
      </c>
      <c r="J919" s="4"/>
      <c r="K919" s="3" cm="1">
        <f t="array" ref="K919:L920">MINVERSE(H919:I920)</f>
        <v>0</v>
      </c>
      <c r="L919" s="3">
        <v>-0.3567546790193053</v>
      </c>
      <c r="M919" s="3">
        <f>-F918</f>
        <v>-3.1458281628397991E-2</v>
      </c>
      <c r="O919" s="1" cm="1">
        <f t="array" ref="O919:O920">MMULT(K919:L920,M919:M920)</f>
        <v>-1.7187919651965405E-2</v>
      </c>
    </row>
    <row r="920" spans="1:15" x14ac:dyDescent="0.35">
      <c r="H920" s="3">
        <f>b*COS(C918)</f>
        <v>-2.803046627864652</v>
      </c>
      <c r="I920" s="3">
        <f>-SIN(t.1)</f>
        <v>0</v>
      </c>
      <c r="J920" s="4"/>
      <c r="K920" s="3">
        <v>-1</v>
      </c>
      <c r="L920" s="3">
        <v>1.8925803644965864</v>
      </c>
      <c r="M920" s="3">
        <f>-F919</f>
        <v>4.8178540220450206E-2</v>
      </c>
      <c r="O920" s="1">
        <v>0.1226400408397311</v>
      </c>
    </row>
    <row r="922" spans="1:15" x14ac:dyDescent="0.35">
      <c r="A922" s="9" t="s">
        <v>19</v>
      </c>
      <c r="C922" s="2" t="s">
        <v>4</v>
      </c>
    </row>
    <row r="923" spans="1:15" x14ac:dyDescent="0.35">
      <c r="A923" s="2" t="s">
        <v>5</v>
      </c>
      <c r="B923" s="6">
        <v>252</v>
      </c>
      <c r="C923" s="3">
        <f>B923*PI()/180</f>
        <v>4.3982297150257104</v>
      </c>
    </row>
    <row r="924" spans="1:15" x14ac:dyDescent="0.35">
      <c r="A924" s="4"/>
      <c r="B924" s="4"/>
      <c r="C924" s="1"/>
      <c r="H924" s="18" t="s">
        <v>12</v>
      </c>
      <c r="I924" s="18"/>
      <c r="J924" s="4"/>
      <c r="K924" s="18" t="s">
        <v>13</v>
      </c>
      <c r="L924" s="18"/>
      <c r="M924" s="19" t="s">
        <v>14</v>
      </c>
      <c r="O924" s="21" t="s">
        <v>15</v>
      </c>
    </row>
    <row r="925" spans="1:15" x14ac:dyDescent="0.35">
      <c r="A925" s="2" t="s">
        <v>7</v>
      </c>
      <c r="B925" s="6">
        <f>C925*180/PI()</f>
        <v>116.86624369959678</v>
      </c>
      <c r="C925" s="3">
        <f>O919+C918</f>
        <v>2.0397007369960427</v>
      </c>
      <c r="E925" s="11" t="s">
        <v>10</v>
      </c>
      <c r="F925" s="1">
        <f>-B926*COS(t.1)+a*COS(C923)+b*COS(C925)-c.*COS(t.4)</f>
        <v>4.0954475678740783E-4</v>
      </c>
      <c r="H925" s="8" t="s">
        <v>7</v>
      </c>
      <c r="I925" s="8" t="s">
        <v>9</v>
      </c>
      <c r="J925" s="4"/>
      <c r="K925" s="8" t="s">
        <v>7</v>
      </c>
      <c r="L925" s="8" t="s">
        <v>9</v>
      </c>
      <c r="M925" s="20"/>
      <c r="O925" s="22"/>
    </row>
    <row r="926" spans="1:15" x14ac:dyDescent="0.35">
      <c r="A926" s="2" t="s">
        <v>9</v>
      </c>
      <c r="B926" s="6">
        <f>O920+B919</f>
        <v>-3.6389158517781617</v>
      </c>
      <c r="C926" s="3"/>
      <c r="E926" s="11" t="s">
        <v>11</v>
      </c>
      <c r="F926" s="1">
        <f>-B926*SIN(t.1)+a*SIN(C923)+b*SIN(C925)-c.*SIN(t.4)</f>
        <v>-7.8596523666130125E-4</v>
      </c>
      <c r="H926" s="3">
        <f>-b*SIN(C925)</f>
        <v>-5.3523835836487992</v>
      </c>
      <c r="I926" s="3">
        <f>-COS(t.1)</f>
        <v>-1</v>
      </c>
      <c r="J926" s="4"/>
      <c r="K926" s="3" cm="1">
        <f t="array" ref="K926:L927">MINVERSE(H926:I927)</f>
        <v>0</v>
      </c>
      <c r="L926" s="3">
        <v>-0.36880563407658778</v>
      </c>
      <c r="M926" s="3">
        <f>-F925</f>
        <v>-4.0954475678740783E-4</v>
      </c>
      <c r="O926" s="1" cm="1">
        <f t="array" ref="O926:O927">MMULT(K926:L927,M926:M927)</f>
        <v>-2.898684074690266E-4</v>
      </c>
    </row>
    <row r="927" spans="1:15" x14ac:dyDescent="0.35">
      <c r="H927" s="3">
        <f>b*COS(C925)</f>
        <v>-2.7114553238965313</v>
      </c>
      <c r="I927" s="3">
        <f>-SIN(t.1)</f>
        <v>0</v>
      </c>
      <c r="J927" s="4"/>
      <c r="K927" s="3">
        <v>-1</v>
      </c>
      <c r="L927" s="3">
        <v>1.9739892213887147</v>
      </c>
      <c r="M927" s="3">
        <f>-F926</f>
        <v>7.8596523666130125E-4</v>
      </c>
      <c r="O927" s="1">
        <v>1.9610316623430465E-3</v>
      </c>
    </row>
    <row r="929" spans="1:15" x14ac:dyDescent="0.35">
      <c r="A929" s="9" t="s">
        <v>20</v>
      </c>
      <c r="C929" s="2" t="s">
        <v>4</v>
      </c>
    </row>
    <row r="930" spans="1:15" x14ac:dyDescent="0.35">
      <c r="A930" s="2" t="s">
        <v>5</v>
      </c>
      <c r="B930" s="6">
        <v>252</v>
      </c>
      <c r="C930" s="3">
        <f>B930*PI()/180</f>
        <v>4.3982297150257104</v>
      </c>
    </row>
    <row r="931" spans="1:15" x14ac:dyDescent="0.35">
      <c r="A931" s="4"/>
      <c r="B931" s="4"/>
      <c r="C931" s="1"/>
      <c r="H931" s="18" t="s">
        <v>12</v>
      </c>
      <c r="I931" s="18"/>
      <c r="J931" s="4"/>
      <c r="K931" s="18" t="s">
        <v>13</v>
      </c>
      <c r="L931" s="18"/>
      <c r="M931" s="19" t="s">
        <v>14</v>
      </c>
      <c r="O931" s="21" t="s">
        <v>15</v>
      </c>
    </row>
    <row r="932" spans="1:15" x14ac:dyDescent="0.35">
      <c r="A932" s="2" t="s">
        <v>7</v>
      </c>
      <c r="B932" s="6">
        <f>C932*180/PI()</f>
        <v>116.84963546323462</v>
      </c>
      <c r="C932" s="3">
        <f>O926+C925</f>
        <v>2.0394108685885737</v>
      </c>
      <c r="E932" s="11" t="s">
        <v>10</v>
      </c>
      <c r="F932" s="1">
        <f>-B933*COS(t.1)+a*COS(C930)+b*COS(C932)-c.*COS(t.4)</f>
        <v>1.1389151784120316E-7</v>
      </c>
      <c r="H932" s="8" t="s">
        <v>7</v>
      </c>
      <c r="I932" s="8" t="s">
        <v>9</v>
      </c>
      <c r="J932" s="4"/>
      <c r="K932" s="8" t="s">
        <v>7</v>
      </c>
      <c r="L932" s="8" t="s">
        <v>9</v>
      </c>
      <c r="M932" s="20"/>
      <c r="O932" s="22"/>
    </row>
    <row r="933" spans="1:15" x14ac:dyDescent="0.35">
      <c r="A933" s="2" t="s">
        <v>9</v>
      </c>
      <c r="B933" s="6">
        <f>O927+B926</f>
        <v>-3.6369548201158186</v>
      </c>
      <c r="C933" s="3"/>
      <c r="E933" s="11" t="s">
        <v>11</v>
      </c>
      <c r="F933" s="1">
        <f>-B933*SIN(t.1)+a*SIN(C930)+b*SIN(C932)-c.*SIN(t.4)</f>
        <v>-2.2487452477903958E-7</v>
      </c>
      <c r="H933" s="3">
        <f>-b*SIN(C932)</f>
        <v>-5.3531693240109357</v>
      </c>
      <c r="I933" s="3">
        <f>-COS(B890)</f>
        <v>0.76553350982731017</v>
      </c>
      <c r="J933" s="4"/>
      <c r="K933" s="3" cm="1">
        <f t="array" ref="K933:L934">MINVERSE(H933:I934)</f>
        <v>-0.1165840742867485</v>
      </c>
      <c r="L933" s="3">
        <v>-0.13871552212564325</v>
      </c>
      <c r="M933" s="3">
        <f>-F932</f>
        <v>-1.1389151784120316E-7</v>
      </c>
      <c r="O933" s="1" cm="1">
        <f t="array" ref="O933:O934">MMULT(K933:L934,M933:M934)</f>
        <v>-1.7915649940851008E-8</v>
      </c>
    </row>
    <row r="934" spans="1:15" x14ac:dyDescent="0.35">
      <c r="H934" s="3">
        <f>b*COS(C932)</f>
        <v>-2.7099037230994578</v>
      </c>
      <c r="I934" s="3">
        <f>-SIN(B890)</f>
        <v>-0.64339602526863626</v>
      </c>
      <c r="J934" s="4"/>
      <c r="K934" s="3">
        <v>0.49103756404440491</v>
      </c>
      <c r="L934" s="3">
        <v>-0.97000022634497463</v>
      </c>
      <c r="M934" s="3">
        <f>-F933</f>
        <v>2.2487452477903958E-7</v>
      </c>
      <c r="O934" s="1">
        <v>-2.7405335342095127E-7</v>
      </c>
    </row>
    <row r="936" spans="1:15" x14ac:dyDescent="0.35">
      <c r="A936" s="9" t="s">
        <v>6</v>
      </c>
      <c r="C936" s="2" t="s">
        <v>4</v>
      </c>
    </row>
    <row r="937" spans="1:15" x14ac:dyDescent="0.35">
      <c r="A937" s="2" t="s">
        <v>5</v>
      </c>
      <c r="B937" s="6">
        <v>0</v>
      </c>
      <c r="C937" s="3">
        <f>B937*PI()/180</f>
        <v>0</v>
      </c>
    </row>
    <row r="938" spans="1:15" x14ac:dyDescent="0.35">
      <c r="A938" s="4"/>
      <c r="B938" s="4"/>
      <c r="C938" s="1"/>
      <c r="H938" s="18" t="s">
        <v>12</v>
      </c>
      <c r="I938" s="18"/>
      <c r="J938" s="4"/>
      <c r="K938" s="18" t="s">
        <v>13</v>
      </c>
      <c r="L938" s="18"/>
      <c r="M938" s="19" t="s">
        <v>14</v>
      </c>
      <c r="O938" s="21" t="s">
        <v>15</v>
      </c>
    </row>
    <row r="939" spans="1:15" x14ac:dyDescent="0.35">
      <c r="A939" s="2" t="s">
        <v>7</v>
      </c>
      <c r="B939" s="6">
        <v>110</v>
      </c>
      <c r="C939" s="3">
        <f>B939*PI()/180</f>
        <v>1.9198621771937625</v>
      </c>
      <c r="E939" s="11" t="s">
        <v>10</v>
      </c>
      <c r="F939" s="1">
        <f>-B940*COS(t.1)+a*COS(C937)+b*COS(C939)-c.*COS(t.4)</f>
        <v>-5.0521208599540124</v>
      </c>
      <c r="H939" s="8" t="s">
        <v>7</v>
      </c>
      <c r="I939" s="8" t="s">
        <v>9</v>
      </c>
      <c r="J939" s="4"/>
      <c r="K939" s="8" t="s">
        <v>7</v>
      </c>
      <c r="L939" s="8" t="s">
        <v>9</v>
      </c>
      <c r="M939" s="20"/>
      <c r="O939" s="22"/>
    </row>
    <row r="940" spans="1:15" x14ac:dyDescent="0.35">
      <c r="A940" s="2" t="s">
        <v>9</v>
      </c>
      <c r="B940" s="6">
        <v>6</v>
      </c>
      <c r="C940" s="3"/>
      <c r="E940" s="11" t="s">
        <v>11</v>
      </c>
      <c r="F940" s="1">
        <f>-B940*SIN(t.1)+a*SIN(C937)+b*SIN(C939)-c.*SIN(t.4)</f>
        <v>3.1381557247154506</v>
      </c>
      <c r="H940" s="3">
        <f>-b*SIN(C939)</f>
        <v>-5.6381557247154506</v>
      </c>
      <c r="I940" s="3">
        <f>-COS(t.1)</f>
        <v>-1</v>
      </c>
      <c r="J940" s="4"/>
      <c r="K940" s="3" cm="1">
        <f t="array" ref="K940:L941">MINVERSE(H940:I941)</f>
        <v>0</v>
      </c>
      <c r="L940" s="3">
        <v>-0.48730073336051455</v>
      </c>
      <c r="M940" s="3">
        <f>-F939</f>
        <v>5.0521208599540124</v>
      </c>
      <c r="O940" s="1" cm="1">
        <f t="array" ref="O940:O941">MMULT(K940:L941,M940:M941)</f>
        <v>1.5292255860533361</v>
      </c>
    </row>
    <row r="941" spans="1:15" x14ac:dyDescent="0.35">
      <c r="H941" s="3">
        <f>b*COS(C939)</f>
        <v>-2.0521208599540124</v>
      </c>
      <c r="I941" s="3">
        <f>-SIN(t.1)</f>
        <v>0</v>
      </c>
      <c r="J941" s="4"/>
      <c r="K941" s="3">
        <v>-1</v>
      </c>
      <c r="L941" s="3">
        <v>2.7474774194546225</v>
      </c>
      <c r="M941" s="3">
        <f>-F940</f>
        <v>-3.1381557247154506</v>
      </c>
      <c r="O941" s="1">
        <v>-13.67413285234197</v>
      </c>
    </row>
    <row r="943" spans="1:15" x14ac:dyDescent="0.35">
      <c r="A943" s="9" t="s">
        <v>16</v>
      </c>
      <c r="C943" s="2" t="s">
        <v>4</v>
      </c>
    </row>
    <row r="944" spans="1:15" x14ac:dyDescent="0.35">
      <c r="A944" s="2" t="s">
        <v>5</v>
      </c>
      <c r="B944" s="6">
        <v>264</v>
      </c>
      <c r="C944" s="3">
        <f>B944*PI()/180</f>
        <v>4.6076692252650302</v>
      </c>
    </row>
    <row r="945" spans="1:15" x14ac:dyDescent="0.35">
      <c r="A945" s="4"/>
      <c r="B945" s="4"/>
      <c r="C945" s="1"/>
      <c r="H945" s="18" t="s">
        <v>12</v>
      </c>
      <c r="I945" s="18"/>
      <c r="J945" s="4"/>
      <c r="K945" s="18" t="s">
        <v>13</v>
      </c>
      <c r="L945" s="18"/>
      <c r="M945" s="19" t="s">
        <v>14</v>
      </c>
      <c r="O945" s="21" t="s">
        <v>15</v>
      </c>
    </row>
    <row r="946" spans="1:15" x14ac:dyDescent="0.35">
      <c r="A946" s="2" t="s">
        <v>7</v>
      </c>
      <c r="B946" s="6">
        <f>C946*180/PI()</f>
        <v>197.61817200427606</v>
      </c>
      <c r="C946" s="3">
        <f>O940+C939</f>
        <v>3.4490877632470989</v>
      </c>
      <c r="E946" s="11" t="s">
        <v>10</v>
      </c>
      <c r="F946" s="1">
        <f>-B947*COS(t.1)+a*COS(C944)+b*COS(C946)-c.*COS(t.4)</f>
        <v>1.6419791435969502</v>
      </c>
      <c r="H946" s="8" t="s">
        <v>7</v>
      </c>
      <c r="I946" s="8" t="s">
        <v>9</v>
      </c>
      <c r="J946" s="4"/>
      <c r="K946" s="8" t="s">
        <v>7</v>
      </c>
      <c r="L946" s="8" t="s">
        <v>9</v>
      </c>
      <c r="M946" s="20"/>
      <c r="O946" s="22"/>
    </row>
    <row r="947" spans="1:15" x14ac:dyDescent="0.35">
      <c r="A947" s="2" t="s">
        <v>9</v>
      </c>
      <c r="B947" s="6">
        <f>O941+B940</f>
        <v>-7.6741328523419696</v>
      </c>
      <c r="C947" s="3"/>
      <c r="E947" s="11" t="s">
        <v>11</v>
      </c>
      <c r="F947" s="1">
        <f>-B947*SIN(t.1)+a*SIN(C944)+b*SIN(C946)-c.*SIN(t.4)</f>
        <v>-7.2995988305138635</v>
      </c>
      <c r="H947" s="3">
        <f>-b*SIN(C946)</f>
        <v>1.8160331444090434</v>
      </c>
      <c r="I947" s="3">
        <f>-COS(t.1)</f>
        <v>-1</v>
      </c>
      <c r="J947" s="4"/>
      <c r="K947" s="3" cm="1">
        <f t="array" ref="K947:L948">MINVERSE(H947:I948)</f>
        <v>0</v>
      </c>
      <c r="L947" s="3">
        <v>-0.1748689434534903</v>
      </c>
      <c r="M947" s="3">
        <f>-F946</f>
        <v>-1.6419791435969502</v>
      </c>
      <c r="O947" s="1" cm="1">
        <f t="array" ref="O947:O948">MMULT(K947:L948,M947:M948)</f>
        <v>-1.2764731351262928</v>
      </c>
    </row>
    <row r="948" spans="1:15" x14ac:dyDescent="0.35">
      <c r="H948" s="3">
        <f>b*COS(C946)</f>
        <v>-5.7185683189420589</v>
      </c>
      <c r="I948" s="3">
        <f>-SIN(t.1)</f>
        <v>0</v>
      </c>
      <c r="J948" s="4"/>
      <c r="K948" s="3">
        <v>-1</v>
      </c>
      <c r="L948" s="3">
        <v>-0.31756779723932921</v>
      </c>
      <c r="M948" s="3">
        <f>-F947</f>
        <v>7.2995988305138635</v>
      </c>
      <c r="O948" s="1">
        <v>-0.67613837774012109</v>
      </c>
    </row>
    <row r="950" spans="1:15" x14ac:dyDescent="0.35">
      <c r="A950" s="9" t="s">
        <v>17</v>
      </c>
      <c r="C950" s="2" t="s">
        <v>4</v>
      </c>
    </row>
    <row r="951" spans="1:15" x14ac:dyDescent="0.35">
      <c r="A951" s="2" t="s">
        <v>5</v>
      </c>
      <c r="B951" s="6">
        <v>264</v>
      </c>
      <c r="C951" s="3">
        <f>B951*PI()/180</f>
        <v>4.6076692252650302</v>
      </c>
    </row>
    <row r="952" spans="1:15" x14ac:dyDescent="0.35">
      <c r="A952" s="4"/>
      <c r="B952" s="4"/>
      <c r="C952" s="1"/>
      <c r="H952" s="18" t="s">
        <v>12</v>
      </c>
      <c r="I952" s="18"/>
      <c r="J952" s="4"/>
      <c r="K952" s="18" t="s">
        <v>13</v>
      </c>
      <c r="L952" s="18"/>
      <c r="M952" s="19" t="s">
        <v>14</v>
      </c>
      <c r="O952" s="21" t="s">
        <v>15</v>
      </c>
    </row>
    <row r="953" spans="1:15" x14ac:dyDescent="0.35">
      <c r="A953" s="2" t="s">
        <v>7</v>
      </c>
      <c r="B953" s="6">
        <f>C953*180/PI()</f>
        <v>124.48164869970707</v>
      </c>
      <c r="C953" s="3">
        <f>O947+C946</f>
        <v>2.1726146281208063</v>
      </c>
      <c r="E953" s="11" t="s">
        <v>10</v>
      </c>
      <c r="F953" s="1">
        <f>-B954*COS(t.1)+a*COS(C951)+b*COS(C953)-c.*COS(t.4)</f>
        <v>4.6398323523078115</v>
      </c>
      <c r="H953" s="8" t="s">
        <v>7</v>
      </c>
      <c r="I953" s="8" t="s">
        <v>9</v>
      </c>
      <c r="J953" s="4"/>
      <c r="K953" s="8" t="s">
        <v>7</v>
      </c>
      <c r="L953" s="8" t="s">
        <v>9</v>
      </c>
      <c r="M953" s="20"/>
      <c r="O953" s="22"/>
    </row>
    <row r="954" spans="1:15" x14ac:dyDescent="0.35">
      <c r="A954" s="2" t="s">
        <v>9</v>
      </c>
      <c r="B954" s="6">
        <f>O948+B947</f>
        <v>-8.3502712300820914</v>
      </c>
      <c r="C954" s="3"/>
      <c r="E954" s="11" t="s">
        <v>11</v>
      </c>
      <c r="F954" s="1">
        <f>-B954*SIN(t.1)+a*SIN(C951)+b*SIN(C953)-c.*SIN(t.4)</f>
        <v>-0.53772032042090379</v>
      </c>
      <c r="H954" s="3">
        <f>-b*SIN(C953)</f>
        <v>-4.9458453656839163</v>
      </c>
      <c r="I954" s="3">
        <f>-COS(t.1)</f>
        <v>-1</v>
      </c>
      <c r="J954" s="4"/>
      <c r="K954" s="3" cm="1">
        <f t="array" ref="K954:L955">MINVERSE(H954:I955)</f>
        <v>0</v>
      </c>
      <c r="L954" s="3">
        <v>-0.29439008881046064</v>
      </c>
      <c r="M954" s="3">
        <f>-F953</f>
        <v>-4.6398323523078115</v>
      </c>
      <c r="O954" s="1" cm="1">
        <f t="array" ref="O954:O955">MMULT(K954:L955,M954:M955)</f>
        <v>-0.15829953288389922</v>
      </c>
    </row>
    <row r="955" spans="1:15" x14ac:dyDescent="0.35">
      <c r="H955" s="3">
        <f>b*COS(C953)</f>
        <v>-3.3968534879713204</v>
      </c>
      <c r="I955" s="3">
        <f>-SIN(t.1)</f>
        <v>0</v>
      </c>
      <c r="J955" s="4"/>
      <c r="K955" s="3">
        <v>-1</v>
      </c>
      <c r="L955" s="3">
        <v>1.4560078564464933</v>
      </c>
      <c r="M955" s="3">
        <f>-F954</f>
        <v>0.53772032042090379</v>
      </c>
      <c r="O955" s="1">
        <v>5.4227573634115736</v>
      </c>
    </row>
    <row r="957" spans="1:15" x14ac:dyDescent="0.35">
      <c r="A957" s="9" t="s">
        <v>18</v>
      </c>
      <c r="C957" s="2" t="s">
        <v>4</v>
      </c>
    </row>
    <row r="958" spans="1:15" x14ac:dyDescent="0.35">
      <c r="A958" s="2" t="s">
        <v>5</v>
      </c>
      <c r="B958" s="6">
        <v>264</v>
      </c>
      <c r="C958" s="3">
        <f>B958*PI()/180</f>
        <v>4.6076692252650302</v>
      </c>
    </row>
    <row r="959" spans="1:15" x14ac:dyDescent="0.35">
      <c r="A959" s="4"/>
      <c r="B959" s="4"/>
      <c r="C959" s="1"/>
      <c r="H959" s="18" t="s">
        <v>12</v>
      </c>
      <c r="I959" s="18"/>
      <c r="J959" s="4"/>
      <c r="K959" s="18" t="s">
        <v>13</v>
      </c>
      <c r="L959" s="18"/>
      <c r="M959" s="19" t="s">
        <v>14</v>
      </c>
      <c r="O959" s="21" t="s">
        <v>15</v>
      </c>
    </row>
    <row r="960" spans="1:15" x14ac:dyDescent="0.35">
      <c r="A960" s="2" t="s">
        <v>7</v>
      </c>
      <c r="B960" s="6">
        <f>C960*180/PI()</f>
        <v>115.41175356656726</v>
      </c>
      <c r="C960" s="3">
        <f>O954+C953</f>
        <v>2.0143150952369071</v>
      </c>
      <c r="E960" s="11" t="s">
        <v>10</v>
      </c>
      <c r="F960" s="1">
        <f>-B961*COS(t.1)+a*COS(C958)+b*COS(C960)-c.*COS(t.4)</f>
        <v>3.9205877875546705E-2</v>
      </c>
      <c r="H960" s="8" t="s">
        <v>7</v>
      </c>
      <c r="I960" s="8" t="s">
        <v>9</v>
      </c>
      <c r="J960" s="4"/>
      <c r="K960" s="8" t="s">
        <v>7</v>
      </c>
      <c r="L960" s="8" t="s">
        <v>9</v>
      </c>
      <c r="M960" s="20"/>
      <c r="O960" s="22"/>
    </row>
    <row r="961" spans="1:15" x14ac:dyDescent="0.35">
      <c r="A961" s="2" t="s">
        <v>9</v>
      </c>
      <c r="B961" s="6">
        <f>O955+B954</f>
        <v>-2.9275138666705178</v>
      </c>
      <c r="C961" s="3"/>
      <c r="E961" s="11" t="s">
        <v>11</v>
      </c>
      <c r="F961" s="1">
        <f>-B961*SIN(t.1)+a*SIN(C958)+b*SIN(C960)-c.*SIN(t.4)</f>
        <v>-6.4081989456234556E-2</v>
      </c>
      <c r="H961" s="3">
        <f>-b*SIN(C960)</f>
        <v>-5.4194836966485855</v>
      </c>
      <c r="I961" s="3">
        <f>-COS(t.1)</f>
        <v>-1</v>
      </c>
      <c r="J961" s="4"/>
      <c r="K961" s="3" cm="1">
        <f t="array" ref="K961:L962">MINVERSE(H961:I962)</f>
        <v>0</v>
      </c>
      <c r="L961" s="3">
        <v>-0.38839135539941044</v>
      </c>
      <c r="M961" s="3">
        <f>-F960</f>
        <v>-3.9205877875546705E-2</v>
      </c>
      <c r="O961" s="1" cm="1">
        <f t="array" ref="O961:O962">MMULT(K961:L962,M961:M962)</f>
        <v>-2.4888890741597669E-2</v>
      </c>
    </row>
    <row r="962" spans="1:15" x14ac:dyDescent="0.35">
      <c r="H962" s="3">
        <f>b*COS(C960)</f>
        <v>-2.5747225989920111</v>
      </c>
      <c r="I962" s="3">
        <f>-SIN(t.1)</f>
        <v>0</v>
      </c>
      <c r="J962" s="4"/>
      <c r="K962" s="3">
        <v>-1</v>
      </c>
      <c r="L962" s="3">
        <v>2.1048806185063516</v>
      </c>
      <c r="M962" s="3">
        <f>-F961</f>
        <v>6.4081989456234556E-2</v>
      </c>
      <c r="O962" s="1">
        <v>0.17409081547730321</v>
      </c>
    </row>
    <row r="964" spans="1:15" x14ac:dyDescent="0.35">
      <c r="A964" s="9" t="s">
        <v>19</v>
      </c>
      <c r="C964" s="2" t="s">
        <v>4</v>
      </c>
    </row>
    <row r="965" spans="1:15" x14ac:dyDescent="0.35">
      <c r="A965" s="2" t="s">
        <v>5</v>
      </c>
      <c r="B965" s="6">
        <v>264</v>
      </c>
      <c r="C965" s="3">
        <f>B965*PI()/180</f>
        <v>4.6076692252650302</v>
      </c>
    </row>
    <row r="966" spans="1:15" x14ac:dyDescent="0.35">
      <c r="A966" s="4"/>
      <c r="B966" s="4"/>
      <c r="C966" s="1"/>
      <c r="H966" s="18" t="s">
        <v>12</v>
      </c>
      <c r="I966" s="18"/>
      <c r="J966" s="4"/>
      <c r="K966" s="18" t="s">
        <v>13</v>
      </c>
      <c r="L966" s="18"/>
      <c r="M966" s="19" t="s">
        <v>14</v>
      </c>
      <c r="O966" s="21" t="s">
        <v>15</v>
      </c>
    </row>
    <row r="967" spans="1:15" x14ac:dyDescent="0.35">
      <c r="A967" s="2" t="s">
        <v>7</v>
      </c>
      <c r="B967" s="6">
        <f>C967*180/PI()</f>
        <v>113.98572517031148</v>
      </c>
      <c r="C967" s="3">
        <f>O961+C960</f>
        <v>1.9894262044953095</v>
      </c>
      <c r="E967" s="11" t="s">
        <v>10</v>
      </c>
      <c r="F967" s="1">
        <f>-B968*COS(t.1)+a*COS(C965)+b*COS(C967)-c.*COS(t.4)</f>
        <v>7.8349818246554971E-4</v>
      </c>
      <c r="H967" s="8" t="s">
        <v>7</v>
      </c>
      <c r="I967" s="8" t="s">
        <v>9</v>
      </c>
      <c r="J967" s="4"/>
      <c r="K967" s="8" t="s">
        <v>7</v>
      </c>
      <c r="L967" s="8" t="s">
        <v>9</v>
      </c>
      <c r="M967" s="20"/>
      <c r="O967" s="22"/>
    </row>
    <row r="968" spans="1:15" x14ac:dyDescent="0.35">
      <c r="A968" s="2" t="s">
        <v>9</v>
      </c>
      <c r="B968" s="6">
        <f>O962+B961</f>
        <v>-2.7534230511932147</v>
      </c>
      <c r="C968" s="3"/>
      <c r="E968" s="11" t="s">
        <v>11</v>
      </c>
      <c r="F968" s="1">
        <f>-B968*SIN(t.1)+a*SIN(C965)+b*SIN(C967)-c.*SIN(t.4)</f>
        <v>-1.6850973890512044E-3</v>
      </c>
      <c r="H968" s="3">
        <f>-b*SIN(C967)</f>
        <v>-5.4818805887157689</v>
      </c>
      <c r="I968" s="3">
        <f>-COS(t.1)</f>
        <v>-1</v>
      </c>
      <c r="J968" s="4"/>
      <c r="K968" s="3" cm="1">
        <f t="array" ref="K968:L969">MINVERSE(H968:I969)</f>
        <v>0</v>
      </c>
      <c r="L968" s="3">
        <v>-0.40999499522586352</v>
      </c>
      <c r="M968" s="3">
        <f>-F967</f>
        <v>-7.8349818246554971E-4</v>
      </c>
      <c r="O968" s="1" cm="1">
        <f t="array" ref="O968:O969">MMULT(K968:L969,M968:M969)</f>
        <v>-6.9088149597916362E-4</v>
      </c>
    </row>
    <row r="969" spans="1:15" x14ac:dyDescent="0.35">
      <c r="H969" s="3">
        <f>b*COS(C967)</f>
        <v>-2.4390541632077891</v>
      </c>
      <c r="I969" s="3">
        <f>-SIN(t.1)</f>
        <v>0</v>
      </c>
      <c r="J969" s="4"/>
      <c r="K969" s="3">
        <v>-1</v>
      </c>
      <c r="L969" s="3">
        <v>2.2475436057992755</v>
      </c>
      <c r="M969" s="3">
        <f>-F968</f>
        <v>1.6850973890512044E-3</v>
      </c>
      <c r="O969" s="1">
        <v>4.5708280443766385E-3</v>
      </c>
    </row>
    <row r="971" spans="1:15" x14ac:dyDescent="0.35">
      <c r="A971" s="9" t="s">
        <v>20</v>
      </c>
      <c r="C971" s="2" t="s">
        <v>4</v>
      </c>
    </row>
    <row r="972" spans="1:15" x14ac:dyDescent="0.35">
      <c r="A972" s="2" t="s">
        <v>5</v>
      </c>
      <c r="B972" s="6">
        <v>264</v>
      </c>
      <c r="C972" s="3">
        <f>B972*PI()/180</f>
        <v>4.6076692252650302</v>
      </c>
    </row>
    <row r="973" spans="1:15" x14ac:dyDescent="0.35">
      <c r="A973" s="4"/>
      <c r="B973" s="4"/>
      <c r="C973" s="1"/>
      <c r="H973" s="18" t="s">
        <v>12</v>
      </c>
      <c r="I973" s="18"/>
      <c r="J973" s="4"/>
      <c r="K973" s="18" t="s">
        <v>13</v>
      </c>
      <c r="L973" s="18"/>
      <c r="M973" s="19" t="s">
        <v>14</v>
      </c>
      <c r="O973" s="21" t="s">
        <v>15</v>
      </c>
    </row>
    <row r="974" spans="1:15" x14ac:dyDescent="0.35">
      <c r="A974" s="2" t="s">
        <v>7</v>
      </c>
      <c r="B974" s="6">
        <f>C974*180/PI()</f>
        <v>113.94614057644819</v>
      </c>
      <c r="C974" s="3">
        <f>O968+C967</f>
        <v>1.9887353229993303</v>
      </c>
      <c r="E974" s="11" t="s">
        <v>10</v>
      </c>
      <c r="F974" s="1">
        <f>-B975*COS(t.1)+a*COS(C972)+b*COS(C974)-c.*COS(t.4)</f>
        <v>5.8179998581271491E-7</v>
      </c>
      <c r="H974" s="8" t="s">
        <v>7</v>
      </c>
      <c r="I974" s="8" t="s">
        <v>9</v>
      </c>
      <c r="J974" s="4"/>
      <c r="K974" s="8" t="s">
        <v>7</v>
      </c>
      <c r="L974" s="8" t="s">
        <v>9</v>
      </c>
      <c r="M974" s="20"/>
      <c r="O974" s="22"/>
    </row>
    <row r="975" spans="1:15" x14ac:dyDescent="0.35">
      <c r="A975" s="2" t="s">
        <v>9</v>
      </c>
      <c r="B975" s="6">
        <f>O969+B968</f>
        <v>-2.7488522231488379</v>
      </c>
      <c r="C975" s="3"/>
      <c r="E975" s="11" t="s">
        <v>11</v>
      </c>
      <c r="F975" s="1">
        <f>-B975*SIN(t.1)+a*SIN(C972)+b*SIN(C974)-c.*SIN(t.4)</f>
        <v>-1.3084320618084178E-6</v>
      </c>
      <c r="H975" s="3">
        <f>-b*SIN(C974)</f>
        <v>-5.4835643776727583</v>
      </c>
      <c r="I975" s="3">
        <f>-COS(B932)</f>
        <v>0.81924263493326388</v>
      </c>
      <c r="J975" s="4"/>
      <c r="K975" s="3" cm="1">
        <f t="array" ref="K975:L976">MINVERSE(H975:I976)</f>
        <v>-0.49888393987348173</v>
      </c>
      <c r="L975" s="3">
        <v>0.71271968729557811</v>
      </c>
      <c r="M975" s="3">
        <f>-F974</f>
        <v>-5.8179998581271491E-7</v>
      </c>
      <c r="O975" s="1" cm="1">
        <f t="array" ref="O975:O976">MMULT(K975:L976,M975:M976)</f>
        <v>1.2227959590801871E-6</v>
      </c>
    </row>
    <row r="976" spans="1:15" x14ac:dyDescent="0.35">
      <c r="H976" s="3">
        <f>b*COS(C974)</f>
        <v>-2.435266251545892</v>
      </c>
      <c r="I976" s="3">
        <f>-SIN(B932)</f>
        <v>0.57344703775292349</v>
      </c>
      <c r="J976" s="4"/>
      <c r="K976" s="3">
        <v>-2.1186180104318559</v>
      </c>
      <c r="L976" s="3">
        <v>4.770557734508615</v>
      </c>
      <c r="M976" s="3">
        <f>-F975</f>
        <v>1.3084320618084178E-6</v>
      </c>
      <c r="O976" s="1">
        <v>7.474562620951018E-6</v>
      </c>
    </row>
    <row r="978" spans="1:15" x14ac:dyDescent="0.35">
      <c r="A978" s="9" t="s">
        <v>6</v>
      </c>
      <c r="C978" s="2" t="s">
        <v>4</v>
      </c>
    </row>
    <row r="979" spans="1:15" x14ac:dyDescent="0.35">
      <c r="A979" s="2" t="s">
        <v>5</v>
      </c>
      <c r="B979" s="6">
        <v>0</v>
      </c>
      <c r="C979" s="3">
        <f>B979*PI()/180</f>
        <v>0</v>
      </c>
    </row>
    <row r="980" spans="1:15" x14ac:dyDescent="0.35">
      <c r="A980" s="4"/>
      <c r="B980" s="4"/>
      <c r="C980" s="1"/>
      <c r="H980" s="18" t="s">
        <v>12</v>
      </c>
      <c r="I980" s="18"/>
      <c r="J980" s="4"/>
      <c r="K980" s="18" t="s">
        <v>13</v>
      </c>
      <c r="L980" s="18"/>
      <c r="M980" s="19" t="s">
        <v>14</v>
      </c>
      <c r="O980" s="21" t="s">
        <v>15</v>
      </c>
    </row>
    <row r="981" spans="1:15" x14ac:dyDescent="0.35">
      <c r="A981" s="2" t="s">
        <v>7</v>
      </c>
      <c r="B981" s="6">
        <v>110</v>
      </c>
      <c r="C981" s="3">
        <f>B981*PI()/180</f>
        <v>1.9198621771937625</v>
      </c>
      <c r="E981" s="11" t="s">
        <v>10</v>
      </c>
      <c r="F981" s="1">
        <f>-B982*COS(t.1)+a*COS(C979)+b*COS(C981)-c.*COS(t.4)</f>
        <v>-5.0521208599540124</v>
      </c>
      <c r="H981" s="8" t="s">
        <v>7</v>
      </c>
      <c r="I981" s="8" t="s">
        <v>9</v>
      </c>
      <c r="J981" s="4"/>
      <c r="K981" s="8" t="s">
        <v>7</v>
      </c>
      <c r="L981" s="8" t="s">
        <v>9</v>
      </c>
      <c r="M981" s="20"/>
      <c r="O981" s="22"/>
    </row>
    <row r="982" spans="1:15" x14ac:dyDescent="0.35">
      <c r="A982" s="2" t="s">
        <v>9</v>
      </c>
      <c r="B982" s="6">
        <v>6</v>
      </c>
      <c r="C982" s="3"/>
      <c r="E982" s="11" t="s">
        <v>11</v>
      </c>
      <c r="F982" s="1">
        <f>-B982*SIN(t.1)+a*SIN(C979)+b*SIN(C981)-c.*SIN(t.4)</f>
        <v>3.1381557247154506</v>
      </c>
      <c r="H982" s="3">
        <f>-b*SIN(C981)</f>
        <v>-5.6381557247154506</v>
      </c>
      <c r="I982" s="3">
        <f>-COS(t.1)</f>
        <v>-1</v>
      </c>
      <c r="J982" s="4"/>
      <c r="K982" s="3" cm="1">
        <f t="array" ref="K982:L983">MINVERSE(H982:I983)</f>
        <v>0</v>
      </c>
      <c r="L982" s="3">
        <v>-0.48730073336051455</v>
      </c>
      <c r="M982" s="3">
        <f>-F981</f>
        <v>5.0521208599540124</v>
      </c>
      <c r="O982" s="1" cm="1">
        <f t="array" ref="O982:O983">MMULT(K982:L983,M982:M983)</f>
        <v>1.5292255860533361</v>
      </c>
    </row>
    <row r="983" spans="1:15" x14ac:dyDescent="0.35">
      <c r="H983" s="3">
        <f>b*COS(C981)</f>
        <v>-2.0521208599540124</v>
      </c>
      <c r="I983" s="3">
        <f>-SIN(t.1)</f>
        <v>0</v>
      </c>
      <c r="J983" s="4"/>
      <c r="K983" s="3">
        <v>-1</v>
      </c>
      <c r="L983" s="3">
        <v>2.7474774194546225</v>
      </c>
      <c r="M983" s="3">
        <f>-F982</f>
        <v>-3.1381557247154506</v>
      </c>
      <c r="O983" s="1">
        <v>-13.67413285234197</v>
      </c>
    </row>
    <row r="985" spans="1:15" x14ac:dyDescent="0.35">
      <c r="A985" s="9" t="s">
        <v>16</v>
      </c>
      <c r="C985" s="2" t="s">
        <v>4</v>
      </c>
    </row>
    <row r="986" spans="1:15" x14ac:dyDescent="0.35">
      <c r="A986" s="2" t="s">
        <v>5</v>
      </c>
      <c r="B986" s="6">
        <v>276</v>
      </c>
      <c r="C986" s="3">
        <f>B986*PI()/180</f>
        <v>4.8171087355043491</v>
      </c>
    </row>
    <row r="987" spans="1:15" x14ac:dyDescent="0.35">
      <c r="A987" s="4"/>
      <c r="B987" s="4"/>
      <c r="C987" s="1"/>
      <c r="H987" s="18" t="s">
        <v>12</v>
      </c>
      <c r="I987" s="18"/>
      <c r="J987" s="4"/>
      <c r="K987" s="18" t="s">
        <v>13</v>
      </c>
      <c r="L987" s="18"/>
      <c r="M987" s="19" t="s">
        <v>14</v>
      </c>
      <c r="O987" s="21" t="s">
        <v>15</v>
      </c>
    </row>
    <row r="988" spans="1:15" x14ac:dyDescent="0.35">
      <c r="A988" s="2" t="s">
        <v>7</v>
      </c>
      <c r="B988" s="6">
        <f>C988*180/PI()</f>
        <v>197.61817200427606</v>
      </c>
      <c r="C988" s="3">
        <f>O982+C981</f>
        <v>3.4490877632470989</v>
      </c>
      <c r="E988" s="11" t="s">
        <v>10</v>
      </c>
      <c r="F988" s="1">
        <f>-B989*COS(t.1)+a*COS(C986)+b*COS(C988)-c.*COS(t.4)</f>
        <v>2.2691499232028693</v>
      </c>
      <c r="H988" s="8" t="s">
        <v>7</v>
      </c>
      <c r="I988" s="8" t="s">
        <v>9</v>
      </c>
      <c r="J988" s="4"/>
      <c r="K988" s="8" t="s">
        <v>7</v>
      </c>
      <c r="L988" s="8" t="s">
        <v>9</v>
      </c>
      <c r="M988" s="20"/>
      <c r="O988" s="22"/>
    </row>
    <row r="989" spans="1:15" x14ac:dyDescent="0.35">
      <c r="A989" s="2" t="s">
        <v>9</v>
      </c>
      <c r="B989" s="6">
        <f>O983+B982</f>
        <v>-7.6741328523419696</v>
      </c>
      <c r="C989" s="3"/>
      <c r="E989" s="11" t="s">
        <v>11</v>
      </c>
      <c r="F989" s="1">
        <f>-B989*SIN(t.1)+a*SIN(C986)+b*SIN(C988)-c.*SIN(t.4)</f>
        <v>-7.2995988305138635</v>
      </c>
      <c r="H989" s="3">
        <f>-b*SIN(C988)</f>
        <v>1.8160331444090434</v>
      </c>
      <c r="I989" s="3">
        <f>-COS(t.1)</f>
        <v>-1</v>
      </c>
      <c r="J989" s="4"/>
      <c r="K989" s="3" cm="1">
        <f t="array" ref="K989:L990">MINVERSE(H989:I990)</f>
        <v>0</v>
      </c>
      <c r="L989" s="3">
        <v>-0.1748689434534903</v>
      </c>
      <c r="M989" s="3">
        <f>-F988</f>
        <v>-2.2691499232028693</v>
      </c>
      <c r="O989" s="1" cm="1">
        <f t="array" ref="O989:O990">MMULT(K989:L990,M989:M990)</f>
        <v>-1.2764731351262928</v>
      </c>
    </row>
    <row r="990" spans="1:15" x14ac:dyDescent="0.35">
      <c r="H990" s="3">
        <f>b*COS(C988)</f>
        <v>-5.7185683189420589</v>
      </c>
      <c r="I990" s="3">
        <f>-SIN(t.1)</f>
        <v>0</v>
      </c>
      <c r="J990" s="4"/>
      <c r="K990" s="3">
        <v>-1</v>
      </c>
      <c r="L990" s="3">
        <v>-0.31756779723932921</v>
      </c>
      <c r="M990" s="3">
        <f>-F989</f>
        <v>7.2995988305138635</v>
      </c>
      <c r="O990" s="1">
        <v>-4.8967598134201928E-2</v>
      </c>
    </row>
    <row r="992" spans="1:15" x14ac:dyDescent="0.35">
      <c r="A992" s="9" t="s">
        <v>17</v>
      </c>
      <c r="C992" s="2" t="s">
        <v>4</v>
      </c>
    </row>
    <row r="993" spans="1:15" x14ac:dyDescent="0.35">
      <c r="A993" s="2" t="s">
        <v>5</v>
      </c>
      <c r="B993" s="6">
        <v>276</v>
      </c>
      <c r="C993" s="3">
        <f>B993*PI()/180</f>
        <v>4.8171087355043491</v>
      </c>
    </row>
    <row r="994" spans="1:15" x14ac:dyDescent="0.35">
      <c r="A994" s="4"/>
      <c r="B994" s="4"/>
      <c r="C994" s="1"/>
      <c r="H994" s="18" t="s">
        <v>12</v>
      </c>
      <c r="I994" s="18"/>
      <c r="J994" s="4"/>
      <c r="K994" s="18" t="s">
        <v>13</v>
      </c>
      <c r="L994" s="18"/>
      <c r="M994" s="19" t="s">
        <v>14</v>
      </c>
      <c r="O994" s="21" t="s">
        <v>15</v>
      </c>
    </row>
    <row r="995" spans="1:15" x14ac:dyDescent="0.35">
      <c r="A995" s="2" t="s">
        <v>7</v>
      </c>
      <c r="B995" s="6">
        <f>C995*180/PI()</f>
        <v>124.48164869970707</v>
      </c>
      <c r="C995" s="3">
        <f>O989+C988</f>
        <v>2.1726146281208063</v>
      </c>
      <c r="E995" s="11" t="s">
        <v>10</v>
      </c>
      <c r="F995" s="1">
        <f>-B996*COS(t.1)+a*COS(C993)+b*COS(C995)-c.*COS(t.4)</f>
        <v>4.6398323523078098</v>
      </c>
      <c r="H995" s="8" t="s">
        <v>7</v>
      </c>
      <c r="I995" s="8" t="s">
        <v>9</v>
      </c>
      <c r="J995" s="4"/>
      <c r="K995" s="8" t="s">
        <v>7</v>
      </c>
      <c r="L995" s="8" t="s">
        <v>9</v>
      </c>
      <c r="M995" s="20"/>
      <c r="O995" s="22"/>
    </row>
    <row r="996" spans="1:15" x14ac:dyDescent="0.35">
      <c r="A996" s="2" t="s">
        <v>9</v>
      </c>
      <c r="B996" s="6">
        <f>O990+B989</f>
        <v>-7.7231004504761716</v>
      </c>
      <c r="C996" s="3"/>
      <c r="E996" s="11" t="s">
        <v>11</v>
      </c>
      <c r="F996" s="1">
        <f>-B996*SIN(t.1)+a*SIN(C993)+b*SIN(C995)-c.*SIN(t.4)</f>
        <v>-0.53772032042090379</v>
      </c>
      <c r="H996" s="3">
        <f>-b*SIN(C995)</f>
        <v>-4.9458453656839163</v>
      </c>
      <c r="I996" s="3">
        <f>-COS(t.1)</f>
        <v>-1</v>
      </c>
      <c r="J996" s="4"/>
      <c r="K996" s="3" cm="1">
        <f t="array" ref="K996:L997">MINVERSE(H996:I997)</f>
        <v>0</v>
      </c>
      <c r="L996" s="3">
        <v>-0.29439008881046064</v>
      </c>
      <c r="M996" s="3">
        <f>-F995</f>
        <v>-4.6398323523078098</v>
      </c>
      <c r="O996" s="1" cm="1">
        <f t="array" ref="O996:O997">MMULT(K996:L997,M996:M997)</f>
        <v>-0.15829953288389922</v>
      </c>
    </row>
    <row r="997" spans="1:15" x14ac:dyDescent="0.35">
      <c r="H997" s="3">
        <f>b*COS(C995)</f>
        <v>-3.3968534879713204</v>
      </c>
      <c r="I997" s="3">
        <f>-SIN(t.1)</f>
        <v>0</v>
      </c>
      <c r="J997" s="4"/>
      <c r="K997" s="3">
        <v>-1</v>
      </c>
      <c r="L997" s="3">
        <v>1.4560078564464933</v>
      </c>
      <c r="M997" s="3">
        <f>-F996</f>
        <v>0.53772032042090379</v>
      </c>
      <c r="O997" s="1">
        <v>5.4227573634115718</v>
      </c>
    </row>
    <row r="999" spans="1:15" x14ac:dyDescent="0.35">
      <c r="A999" s="9" t="s">
        <v>18</v>
      </c>
      <c r="C999" s="2" t="s">
        <v>4</v>
      </c>
    </row>
    <row r="1000" spans="1:15" x14ac:dyDescent="0.35">
      <c r="A1000" s="2" t="s">
        <v>5</v>
      </c>
      <c r="B1000" s="6">
        <v>276</v>
      </c>
      <c r="C1000" s="3">
        <f>B1000*PI()/180</f>
        <v>4.8171087355043491</v>
      </c>
    </row>
    <row r="1001" spans="1:15" x14ac:dyDescent="0.35">
      <c r="A1001" s="4"/>
      <c r="B1001" s="4"/>
      <c r="C1001" s="1"/>
      <c r="H1001" s="18" t="s">
        <v>12</v>
      </c>
      <c r="I1001" s="18"/>
      <c r="J1001" s="4"/>
      <c r="K1001" s="18" t="s">
        <v>13</v>
      </c>
      <c r="L1001" s="18"/>
      <c r="M1001" s="19" t="s">
        <v>14</v>
      </c>
      <c r="O1001" s="21" t="s">
        <v>15</v>
      </c>
    </row>
    <row r="1002" spans="1:15" x14ac:dyDescent="0.35">
      <c r="A1002" s="2" t="s">
        <v>7</v>
      </c>
      <c r="B1002" s="6">
        <f>C1002*180/PI()</f>
        <v>115.41175356656726</v>
      </c>
      <c r="C1002" s="3">
        <f>O996+C995</f>
        <v>2.0143150952369071</v>
      </c>
      <c r="E1002" s="11" t="s">
        <v>10</v>
      </c>
      <c r="F1002" s="1">
        <f>-B1003*COS(t.1)+a*COS(C1000)+b*COS(C1002)-c.*COS(t.4)</f>
        <v>3.9205877875547593E-2</v>
      </c>
      <c r="H1002" s="8" t="s">
        <v>7</v>
      </c>
      <c r="I1002" s="8" t="s">
        <v>9</v>
      </c>
      <c r="J1002" s="4"/>
      <c r="K1002" s="8" t="s">
        <v>7</v>
      </c>
      <c r="L1002" s="8" t="s">
        <v>9</v>
      </c>
      <c r="M1002" s="20"/>
      <c r="O1002" s="22"/>
    </row>
    <row r="1003" spans="1:15" x14ac:dyDescent="0.35">
      <c r="A1003" s="2" t="s">
        <v>9</v>
      </c>
      <c r="B1003" s="6">
        <f>O997+B996</f>
        <v>-2.3003430870645998</v>
      </c>
      <c r="C1003" s="3"/>
      <c r="E1003" s="11" t="s">
        <v>11</v>
      </c>
      <c r="F1003" s="1">
        <f>-B1003*SIN(t.1)+a*SIN(C1000)+b*SIN(C1002)-c.*SIN(t.4)</f>
        <v>-6.4081989456234556E-2</v>
      </c>
      <c r="H1003" s="3">
        <f>-b*SIN(C1002)</f>
        <v>-5.4194836966485855</v>
      </c>
      <c r="I1003" s="3">
        <f>-COS(t.1)</f>
        <v>-1</v>
      </c>
      <c r="J1003" s="4"/>
      <c r="K1003" s="3" cm="1">
        <f t="array" ref="K1003:L1004">MINVERSE(H1003:I1004)</f>
        <v>0</v>
      </c>
      <c r="L1003" s="3">
        <v>-0.38839135539941044</v>
      </c>
      <c r="M1003" s="3">
        <f>-F1002</f>
        <v>-3.9205877875547593E-2</v>
      </c>
      <c r="O1003" s="1" cm="1">
        <f t="array" ref="O1003:O1004">MMULT(K1003:L1004,M1003:M1004)</f>
        <v>-2.4888890741597669E-2</v>
      </c>
    </row>
    <row r="1004" spans="1:15" x14ac:dyDescent="0.35">
      <c r="H1004" s="3">
        <f>b*COS(C1002)</f>
        <v>-2.5747225989920111</v>
      </c>
      <c r="I1004" s="3">
        <f>-SIN(t.1)</f>
        <v>0</v>
      </c>
      <c r="J1004" s="4"/>
      <c r="K1004" s="3">
        <v>-1</v>
      </c>
      <c r="L1004" s="3">
        <v>2.1048806185063516</v>
      </c>
      <c r="M1004" s="3">
        <f>-F1003</f>
        <v>6.4081989456234556E-2</v>
      </c>
      <c r="O1004" s="1">
        <v>0.1740908154773041</v>
      </c>
    </row>
    <row r="1006" spans="1:15" x14ac:dyDescent="0.35">
      <c r="A1006" s="9" t="s">
        <v>19</v>
      </c>
      <c r="C1006" s="2" t="s">
        <v>4</v>
      </c>
    </row>
    <row r="1007" spans="1:15" x14ac:dyDescent="0.35">
      <c r="A1007" s="2" t="s">
        <v>5</v>
      </c>
      <c r="B1007" s="6">
        <v>276</v>
      </c>
      <c r="C1007" s="3">
        <f>B1007*PI()/180</f>
        <v>4.8171087355043491</v>
      </c>
    </row>
    <row r="1008" spans="1:15" x14ac:dyDescent="0.35">
      <c r="A1008" s="4"/>
      <c r="B1008" s="4"/>
      <c r="C1008" s="1"/>
      <c r="H1008" s="18" t="s">
        <v>12</v>
      </c>
      <c r="I1008" s="18"/>
      <c r="J1008" s="4"/>
      <c r="K1008" s="18" t="s">
        <v>13</v>
      </c>
      <c r="L1008" s="18"/>
      <c r="M1008" s="19" t="s">
        <v>14</v>
      </c>
      <c r="O1008" s="21" t="s">
        <v>15</v>
      </c>
    </row>
    <row r="1009" spans="1:15" x14ac:dyDescent="0.35">
      <c r="A1009" s="2" t="s">
        <v>7</v>
      </c>
      <c r="B1009" s="6">
        <f>C1009*180/PI()</f>
        <v>113.98572517031148</v>
      </c>
      <c r="C1009" s="3">
        <f>O1003+C1002</f>
        <v>1.9894262044953095</v>
      </c>
      <c r="E1009" s="11" t="s">
        <v>10</v>
      </c>
      <c r="F1009" s="1">
        <f>-B1010*COS(t.1)+a*COS(C1007)+b*COS(C1009)-c.*COS(t.4)</f>
        <v>7.8349818246554971E-4</v>
      </c>
      <c r="H1009" s="8" t="s">
        <v>7</v>
      </c>
      <c r="I1009" s="8" t="s">
        <v>9</v>
      </c>
      <c r="J1009" s="4"/>
      <c r="K1009" s="8" t="s">
        <v>7</v>
      </c>
      <c r="L1009" s="8" t="s">
        <v>9</v>
      </c>
      <c r="M1009" s="20"/>
      <c r="O1009" s="22"/>
    </row>
    <row r="1010" spans="1:15" x14ac:dyDescent="0.35">
      <c r="A1010" s="2" t="s">
        <v>9</v>
      </c>
      <c r="B1010" s="6">
        <f>O1004+B1003</f>
        <v>-2.1262522715872958</v>
      </c>
      <c r="C1010" s="3"/>
      <c r="E1010" s="11" t="s">
        <v>11</v>
      </c>
      <c r="F1010" s="1">
        <f>-B1010*SIN(t.1)+a*SIN(C1007)+b*SIN(C1009)-c.*SIN(t.4)</f>
        <v>-1.6850973890512044E-3</v>
      </c>
      <c r="H1010" s="3">
        <f>-b*SIN(C1009)</f>
        <v>-5.4818805887157689</v>
      </c>
      <c r="I1010" s="3">
        <f>-COS(t.1)</f>
        <v>-1</v>
      </c>
      <c r="J1010" s="4"/>
      <c r="K1010" s="3" cm="1">
        <f t="array" ref="K1010:L1011">MINVERSE(H1010:I1011)</f>
        <v>0</v>
      </c>
      <c r="L1010" s="3">
        <v>-0.40999499522586352</v>
      </c>
      <c r="M1010" s="3">
        <f>-F1009</f>
        <v>-7.8349818246554971E-4</v>
      </c>
      <c r="O1010" s="1" cm="1">
        <f t="array" ref="O1010:O1011">MMULT(K1010:L1011,M1010:M1011)</f>
        <v>-6.9088149597916362E-4</v>
      </c>
    </row>
    <row r="1011" spans="1:15" x14ac:dyDescent="0.35">
      <c r="H1011" s="3">
        <f>b*COS(C1009)</f>
        <v>-2.4390541632077891</v>
      </c>
      <c r="I1011" s="3">
        <f>-SIN(t.1)</f>
        <v>0</v>
      </c>
      <c r="J1011" s="4"/>
      <c r="K1011" s="3">
        <v>-1</v>
      </c>
      <c r="L1011" s="3">
        <v>2.2475436057992755</v>
      </c>
      <c r="M1011" s="3">
        <f>-F1010</f>
        <v>1.6850973890512044E-3</v>
      </c>
      <c r="O1011" s="1">
        <v>4.5708280443766385E-3</v>
      </c>
    </row>
    <row r="1013" spans="1:15" x14ac:dyDescent="0.35">
      <c r="A1013" s="9" t="s">
        <v>20</v>
      </c>
      <c r="C1013" s="2" t="s">
        <v>4</v>
      </c>
    </row>
    <row r="1014" spans="1:15" x14ac:dyDescent="0.35">
      <c r="A1014" s="2" t="s">
        <v>5</v>
      </c>
      <c r="B1014" s="6">
        <v>276</v>
      </c>
      <c r="C1014" s="3">
        <f>B1014*PI()/180</f>
        <v>4.8171087355043491</v>
      </c>
    </row>
    <row r="1015" spans="1:15" x14ac:dyDescent="0.35">
      <c r="A1015" s="4"/>
      <c r="B1015" s="4"/>
      <c r="C1015" s="1"/>
      <c r="H1015" s="18" t="s">
        <v>12</v>
      </c>
      <c r="I1015" s="18"/>
      <c r="J1015" s="4"/>
      <c r="K1015" s="18" t="s">
        <v>13</v>
      </c>
      <c r="L1015" s="18"/>
      <c r="M1015" s="19" t="s">
        <v>14</v>
      </c>
      <c r="O1015" s="21" t="s">
        <v>15</v>
      </c>
    </row>
    <row r="1016" spans="1:15" x14ac:dyDescent="0.35">
      <c r="A1016" s="2" t="s">
        <v>7</v>
      </c>
      <c r="B1016" s="6">
        <f>C1016*180/PI()</f>
        <v>113.94614057644819</v>
      </c>
      <c r="C1016" s="3">
        <f>O1010+C1009</f>
        <v>1.9887353229993303</v>
      </c>
      <c r="E1016" s="11" t="s">
        <v>10</v>
      </c>
      <c r="F1016" s="1">
        <f>-B1017*COS(t.1)+a*COS(C1014)+b*COS(C1016)-c.*COS(t.4)</f>
        <v>5.8179998581271491E-7</v>
      </c>
      <c r="H1016" s="8" t="s">
        <v>7</v>
      </c>
      <c r="I1016" s="8" t="s">
        <v>9</v>
      </c>
      <c r="J1016" s="4"/>
      <c r="K1016" s="8" t="s">
        <v>7</v>
      </c>
      <c r="L1016" s="8" t="s">
        <v>9</v>
      </c>
      <c r="M1016" s="20"/>
      <c r="O1016" s="22"/>
    </row>
    <row r="1017" spans="1:15" x14ac:dyDescent="0.35">
      <c r="A1017" s="2" t="s">
        <v>9</v>
      </c>
      <c r="B1017" s="6">
        <f>O1011+B1010</f>
        <v>-2.121681443542919</v>
      </c>
      <c r="C1017" s="3"/>
      <c r="E1017" s="11" t="s">
        <v>11</v>
      </c>
      <c r="F1017" s="1">
        <f>-B1017*SIN(t.1)+a*SIN(C1014)+b*SIN(C1016)-c.*SIN(t.4)</f>
        <v>-1.3084320618084178E-6</v>
      </c>
      <c r="H1017" s="3">
        <f>-b*SIN(C1016)</f>
        <v>-5.4835643776727583</v>
      </c>
      <c r="I1017" s="3">
        <f>-COS(B974)</f>
        <v>-0.66088041908437445</v>
      </c>
      <c r="J1017" s="4"/>
      <c r="K1017" s="3" cm="1">
        <f t="array" ref="K1017:L1018">MINVERSE(H1017:I1018)</f>
        <v>-0.29948405862468747</v>
      </c>
      <c r="L1017" s="3">
        <v>0.26372480427859013</v>
      </c>
      <c r="M1017" s="3">
        <f>-F1016</f>
        <v>-5.8179998581271491E-7</v>
      </c>
      <c r="O1017" s="1" cm="1">
        <f t="array" ref="O1017:O1018">MMULT(K1017:L1018,M1017:M1018)</f>
        <v>5.1930581047123455E-7</v>
      </c>
    </row>
    <row r="1018" spans="1:15" x14ac:dyDescent="0.35">
      <c r="H1018" s="3">
        <f>b*COS(C1016)</f>
        <v>-2.435266251545892</v>
      </c>
      <c r="I1018" s="3">
        <f>-SIN(B974)</f>
        <v>-0.75049122024901904</v>
      </c>
      <c r="J1018" s="4"/>
      <c r="K1018" s="3">
        <v>0.97179474078683747</v>
      </c>
      <c r="L1018" s="3">
        <v>-2.1882202899192982</v>
      </c>
      <c r="M1018" s="3">
        <f>-F1017</f>
        <v>1.3084320618084178E-6</v>
      </c>
      <c r="O1018" s="1">
        <v>-3.428527752032774E-6</v>
      </c>
    </row>
    <row r="1020" spans="1:15" x14ac:dyDescent="0.35">
      <c r="A1020" s="9" t="s">
        <v>6</v>
      </c>
      <c r="C1020" s="2" t="s">
        <v>4</v>
      </c>
    </row>
    <row r="1021" spans="1:15" x14ac:dyDescent="0.35">
      <c r="A1021" s="2" t="s">
        <v>5</v>
      </c>
      <c r="B1021" s="6">
        <v>0</v>
      </c>
      <c r="C1021" s="3">
        <f>B1021*PI()/180</f>
        <v>0</v>
      </c>
    </row>
    <row r="1022" spans="1:15" x14ac:dyDescent="0.35">
      <c r="A1022" s="4"/>
      <c r="B1022" s="4"/>
      <c r="C1022" s="1"/>
      <c r="H1022" s="18" t="s">
        <v>12</v>
      </c>
      <c r="I1022" s="18"/>
      <c r="J1022" s="4"/>
      <c r="K1022" s="18" t="s">
        <v>13</v>
      </c>
      <c r="L1022" s="18"/>
      <c r="M1022" s="19" t="s">
        <v>14</v>
      </c>
      <c r="O1022" s="21" t="s">
        <v>15</v>
      </c>
    </row>
    <row r="1023" spans="1:15" x14ac:dyDescent="0.35">
      <c r="A1023" s="2" t="s">
        <v>7</v>
      </c>
      <c r="B1023" s="6">
        <v>110</v>
      </c>
      <c r="C1023" s="3">
        <f>B1023*PI()/180</f>
        <v>1.9198621771937625</v>
      </c>
      <c r="E1023" s="11" t="s">
        <v>10</v>
      </c>
      <c r="F1023" s="1">
        <f>-B1024*COS(t.1)+a*COS(C1021)+b*COS(C1023)-c.*COS(t.4)</f>
        <v>-5.0521208599540124</v>
      </c>
      <c r="H1023" s="8" t="s">
        <v>7</v>
      </c>
      <c r="I1023" s="8" t="s">
        <v>9</v>
      </c>
      <c r="J1023" s="4"/>
      <c r="K1023" s="8" t="s">
        <v>7</v>
      </c>
      <c r="L1023" s="8" t="s">
        <v>9</v>
      </c>
      <c r="M1023" s="20"/>
      <c r="O1023" s="22"/>
    </row>
    <row r="1024" spans="1:15" x14ac:dyDescent="0.35">
      <c r="A1024" s="2" t="s">
        <v>9</v>
      </c>
      <c r="B1024" s="6">
        <v>6</v>
      </c>
      <c r="C1024" s="3"/>
      <c r="E1024" s="11" t="s">
        <v>11</v>
      </c>
      <c r="F1024" s="1">
        <f>-B1024*SIN(t.1)+a*SIN(C1021)+b*SIN(C1023)-c.*SIN(t.4)</f>
        <v>3.1381557247154506</v>
      </c>
      <c r="H1024" s="3">
        <f>-b*SIN(C1023)</f>
        <v>-5.6381557247154506</v>
      </c>
      <c r="I1024" s="3">
        <f>-COS(t.1)</f>
        <v>-1</v>
      </c>
      <c r="J1024" s="4"/>
      <c r="K1024" s="3" cm="1">
        <f t="array" ref="K1024:L1025">MINVERSE(H1024:I1025)</f>
        <v>0</v>
      </c>
      <c r="L1024" s="3">
        <v>-0.48730073336051455</v>
      </c>
      <c r="M1024" s="3">
        <f>-F1023</f>
        <v>5.0521208599540124</v>
      </c>
      <c r="O1024" s="1" cm="1">
        <f t="array" ref="O1024:O1025">MMULT(K1024:L1025,M1024:M1025)</f>
        <v>1.5292255860533361</v>
      </c>
    </row>
    <row r="1025" spans="1:15" x14ac:dyDescent="0.35">
      <c r="H1025" s="3">
        <f>b*COS(C1023)</f>
        <v>-2.0521208599540124</v>
      </c>
      <c r="I1025" s="3">
        <f>-SIN(t.1)</f>
        <v>0</v>
      </c>
      <c r="J1025" s="4"/>
      <c r="K1025" s="3">
        <v>-1</v>
      </c>
      <c r="L1025" s="3">
        <v>2.7474774194546225</v>
      </c>
      <c r="M1025" s="3">
        <f>-F1024</f>
        <v>-3.1381557247154506</v>
      </c>
      <c r="O1025" s="1">
        <v>-13.67413285234197</v>
      </c>
    </row>
    <row r="1027" spans="1:15" x14ac:dyDescent="0.35">
      <c r="A1027" s="9" t="s">
        <v>16</v>
      </c>
      <c r="C1027" s="2" t="s">
        <v>4</v>
      </c>
    </row>
    <row r="1028" spans="1:15" x14ac:dyDescent="0.35">
      <c r="A1028" s="2" t="s">
        <v>5</v>
      </c>
      <c r="B1028" s="6">
        <v>288</v>
      </c>
      <c r="C1028" s="3">
        <f>B1028*PI()/180</f>
        <v>5.026548245743669</v>
      </c>
    </row>
    <row r="1029" spans="1:15" x14ac:dyDescent="0.35">
      <c r="A1029" s="4"/>
      <c r="B1029" s="4"/>
      <c r="C1029" s="1"/>
      <c r="H1029" s="18" t="s">
        <v>12</v>
      </c>
      <c r="I1029" s="18"/>
      <c r="J1029" s="4"/>
      <c r="K1029" s="18" t="s">
        <v>13</v>
      </c>
      <c r="L1029" s="18"/>
      <c r="M1029" s="19" t="s">
        <v>14</v>
      </c>
      <c r="O1029" s="21" t="s">
        <v>15</v>
      </c>
    </row>
    <row r="1030" spans="1:15" x14ac:dyDescent="0.35">
      <c r="A1030" s="2" t="s">
        <v>7</v>
      </c>
      <c r="B1030" s="6">
        <f>C1030*180/PI()</f>
        <v>197.61817200427606</v>
      </c>
      <c r="C1030" s="3">
        <f>O1024+C1023</f>
        <v>3.4490877632470989</v>
      </c>
      <c r="E1030" s="11" t="s">
        <v>10</v>
      </c>
      <c r="F1030" s="1">
        <f>-B1031*COS(t.1)+a*COS(C1028)+b*COS(C1030)-c.*COS(t.4)</f>
        <v>2.8826155165247522</v>
      </c>
      <c r="H1030" s="8" t="s">
        <v>7</v>
      </c>
      <c r="I1030" s="8" t="s">
        <v>9</v>
      </c>
      <c r="J1030" s="4"/>
      <c r="K1030" s="8" t="s">
        <v>7</v>
      </c>
      <c r="L1030" s="8" t="s">
        <v>9</v>
      </c>
      <c r="M1030" s="20"/>
      <c r="O1030" s="22"/>
    </row>
    <row r="1031" spans="1:15" x14ac:dyDescent="0.35">
      <c r="A1031" s="2" t="s">
        <v>9</v>
      </c>
      <c r="B1031" s="6">
        <f>O1025+B1024</f>
        <v>-7.6741328523419696</v>
      </c>
      <c r="C1031" s="3"/>
      <c r="E1031" s="11" t="s">
        <v>11</v>
      </c>
      <c r="F1031" s="1">
        <f>-B1031*SIN(t.1)+a*SIN(C1028)+b*SIN(C1030)-c.*SIN(t.4)</f>
        <v>-7.1692026932945048</v>
      </c>
      <c r="H1031" s="3">
        <f>-b*SIN(C1030)</f>
        <v>1.8160331444090434</v>
      </c>
      <c r="I1031" s="3">
        <f>-COS(t.1)</f>
        <v>-1</v>
      </c>
      <c r="J1031" s="4"/>
      <c r="K1031" s="3" cm="1">
        <f t="array" ref="K1031:L1032">MINVERSE(H1031:I1032)</f>
        <v>0</v>
      </c>
      <c r="L1031" s="3">
        <v>-0.1748689434534903</v>
      </c>
      <c r="M1031" s="3">
        <f>-F1030</f>
        <v>-2.8826155165247522</v>
      </c>
      <c r="O1031" s="1" cm="1">
        <f t="array" ref="O1031:O1032">MMULT(K1031:L1032,M1031:M1032)</f>
        <v>-1.253670900380327</v>
      </c>
    </row>
    <row r="1032" spans="1:15" x14ac:dyDescent="0.35">
      <c r="H1032" s="3">
        <f>b*COS(C1030)</f>
        <v>-5.7185683189420589</v>
      </c>
      <c r="I1032" s="3">
        <f>-SIN(t.1)</f>
        <v>0</v>
      </c>
      <c r="J1032" s="4"/>
      <c r="K1032" s="3">
        <v>-1</v>
      </c>
      <c r="L1032" s="3">
        <v>-0.31756779723932921</v>
      </c>
      <c r="M1032" s="3">
        <f>-F1031</f>
        <v>7.1692026932945048</v>
      </c>
      <c r="O1032" s="1">
        <v>0.60590760925295006</v>
      </c>
    </row>
    <row r="1034" spans="1:15" x14ac:dyDescent="0.35">
      <c r="A1034" s="9" t="s">
        <v>17</v>
      </c>
      <c r="C1034" s="2" t="s">
        <v>4</v>
      </c>
    </row>
    <row r="1035" spans="1:15" x14ac:dyDescent="0.35">
      <c r="A1035" s="2" t="s">
        <v>5</v>
      </c>
      <c r="B1035" s="6">
        <v>288</v>
      </c>
      <c r="C1035" s="3">
        <f>B1035*PI()/180</f>
        <v>5.026548245743669</v>
      </c>
    </row>
    <row r="1036" spans="1:15" x14ac:dyDescent="0.35">
      <c r="A1036" s="4"/>
      <c r="B1036" s="4"/>
      <c r="C1036" s="1"/>
      <c r="H1036" s="18" t="s">
        <v>12</v>
      </c>
      <c r="I1036" s="18"/>
      <c r="J1036" s="4"/>
      <c r="K1036" s="18" t="s">
        <v>13</v>
      </c>
      <c r="L1036" s="18"/>
      <c r="M1036" s="19" t="s">
        <v>14</v>
      </c>
      <c r="O1036" s="21" t="s">
        <v>15</v>
      </c>
    </row>
    <row r="1037" spans="1:15" x14ac:dyDescent="0.35">
      <c r="A1037" s="2" t="s">
        <v>7</v>
      </c>
      <c r="B1037" s="6">
        <f>C1037*180/PI()</f>
        <v>125.78812051411745</v>
      </c>
      <c r="C1037" s="3">
        <f>O1031+C1030</f>
        <v>2.1954168628667716</v>
      </c>
      <c r="E1037" s="11" t="s">
        <v>10</v>
      </c>
      <c r="F1037" s="1">
        <f>-B1038*COS(t.1)+a*COS(C1035)+b*COS(C1037)-c.*COS(t.4)</f>
        <v>4.4865392287816368</v>
      </c>
      <c r="H1037" s="8" t="s">
        <v>7</v>
      </c>
      <c r="I1037" s="8" t="s">
        <v>9</v>
      </c>
      <c r="J1037" s="4"/>
      <c r="K1037" s="8" t="s">
        <v>7</v>
      </c>
      <c r="L1037" s="8" t="s">
        <v>9</v>
      </c>
      <c r="M1037" s="20"/>
      <c r="O1037" s="22"/>
    </row>
    <row r="1038" spans="1:15" x14ac:dyDescent="0.35">
      <c r="A1038" s="2" t="s">
        <v>9</v>
      </c>
      <c r="B1038" s="6">
        <f>O1032+B1031</f>
        <v>-7.0682252430890191</v>
      </c>
      <c r="C1038" s="3"/>
      <c r="E1038" s="11" t="s">
        <v>11</v>
      </c>
      <c r="F1038" s="1">
        <f>-B1038*SIN(t.1)+a*SIN(C1035)+b*SIN(C1037)-c.*SIN(t.4)</f>
        <v>-0.48605904234769604</v>
      </c>
      <c r="H1038" s="3">
        <f>-b*SIN(C1037)</f>
        <v>-4.8671105065377649</v>
      </c>
      <c r="I1038" s="3">
        <f>-COS(t.1)</f>
        <v>-1</v>
      </c>
      <c r="J1038" s="4"/>
      <c r="K1038" s="3" cm="1">
        <f t="array" ref="K1038:L1039">MINVERSE(H1038:I1039)</f>
        <v>0</v>
      </c>
      <c r="L1038" s="3">
        <v>-0.28500283741181615</v>
      </c>
      <c r="M1038" s="3">
        <f>-F1037</f>
        <v>-4.4865392287816368</v>
      </c>
      <c r="O1038" s="1" cm="1">
        <f t="array" ref="O1038:O1039">MMULT(K1038:L1039,M1038:M1039)</f>
        <v>-0.13852820621876347</v>
      </c>
    </row>
    <row r="1039" spans="1:15" x14ac:dyDescent="0.35">
      <c r="H1039" s="3">
        <f>b*COS(C1037)</f>
        <v>-3.5087369974322238</v>
      </c>
      <c r="I1039" s="3">
        <f>-SIN(t.1)</f>
        <v>0</v>
      </c>
      <c r="J1039" s="4"/>
      <c r="K1039" s="3">
        <v>-1</v>
      </c>
      <c r="L1039" s="3">
        <v>1.3871403043601247</v>
      </c>
      <c r="M1039" s="3">
        <f>-F1038</f>
        <v>0.48605904234769604</v>
      </c>
      <c r="O1039" s="1">
        <v>5.1607713167208109</v>
      </c>
    </row>
    <row r="1041" spans="1:15" x14ac:dyDescent="0.35">
      <c r="A1041" s="9" t="s">
        <v>18</v>
      </c>
      <c r="C1041" s="2" t="s">
        <v>4</v>
      </c>
    </row>
    <row r="1042" spans="1:15" x14ac:dyDescent="0.35">
      <c r="A1042" s="2" t="s">
        <v>5</v>
      </c>
      <c r="B1042" s="6">
        <v>288</v>
      </c>
      <c r="C1042" s="3">
        <f>B1042*PI()/180</f>
        <v>5.026548245743669</v>
      </c>
    </row>
    <row r="1043" spans="1:15" x14ac:dyDescent="0.35">
      <c r="A1043" s="4"/>
      <c r="B1043" s="4"/>
      <c r="C1043" s="1"/>
      <c r="H1043" s="18" t="s">
        <v>12</v>
      </c>
      <c r="I1043" s="18"/>
      <c r="J1043" s="4"/>
      <c r="K1043" s="18" t="s">
        <v>13</v>
      </c>
      <c r="L1043" s="18"/>
      <c r="M1043" s="19" t="s">
        <v>14</v>
      </c>
      <c r="O1043" s="21" t="s">
        <v>15</v>
      </c>
    </row>
    <row r="1044" spans="1:15" x14ac:dyDescent="0.35">
      <c r="A1044" s="2" t="s">
        <v>7</v>
      </c>
      <c r="B1044" s="6">
        <f>C1044*180/PI()</f>
        <v>117.85103895426438</v>
      </c>
      <c r="C1044" s="3">
        <f>O1038+C1037</f>
        <v>2.0568886566480082</v>
      </c>
      <c r="E1044" s="11" t="s">
        <v>10</v>
      </c>
      <c r="F1044" s="1">
        <f>-B1045*COS(t.1)+a*COS(C1042)+b*COS(C1044)-c.*COS(t.4)</f>
        <v>3.1458281628397547E-2</v>
      </c>
      <c r="H1044" s="8" t="s">
        <v>7</v>
      </c>
      <c r="I1044" s="8" t="s">
        <v>9</v>
      </c>
      <c r="J1044" s="4"/>
      <c r="K1044" s="8" t="s">
        <v>7</v>
      </c>
      <c r="L1044" s="8" t="s">
        <v>9</v>
      </c>
      <c r="M1044" s="20"/>
      <c r="O1044" s="22"/>
    </row>
    <row r="1045" spans="1:15" x14ac:dyDescent="0.35">
      <c r="A1045" s="2" t="s">
        <v>9</v>
      </c>
      <c r="B1045" s="6">
        <f>O1039+B1038</f>
        <v>-1.9074539263682082</v>
      </c>
      <c r="C1045" s="3"/>
      <c r="E1045" s="11" t="s">
        <v>11</v>
      </c>
      <c r="F1045" s="1">
        <f>-B1045*SIN(t.1)+a*SIN(C1042)+b*SIN(C1044)-c.*SIN(t.4)</f>
        <v>-4.817854022045065E-2</v>
      </c>
      <c r="H1045" s="3">
        <f>-b*SIN(C1044)</f>
        <v>-5.3049910086650103</v>
      </c>
      <c r="I1045" s="3">
        <f>-COS(t.1)</f>
        <v>-1</v>
      </c>
      <c r="J1045" s="4"/>
      <c r="K1045" s="3" cm="1">
        <f t="array" ref="K1045:L1046">MINVERSE(H1045:I1046)</f>
        <v>0</v>
      </c>
      <c r="L1045" s="3">
        <v>-0.3567546790193053</v>
      </c>
      <c r="M1045" s="3">
        <f>-F1044</f>
        <v>-3.1458281628397547E-2</v>
      </c>
      <c r="O1045" s="1" cm="1">
        <f t="array" ref="O1045:O1046">MMULT(K1045:L1046,M1045:M1046)</f>
        <v>-1.7187919651965561E-2</v>
      </c>
    </row>
    <row r="1046" spans="1:15" x14ac:dyDescent="0.35">
      <c r="H1046" s="3">
        <f>b*COS(C1044)</f>
        <v>-2.803046627864652</v>
      </c>
      <c r="I1046" s="3">
        <f>-SIN(t.1)</f>
        <v>0</v>
      </c>
      <c r="J1046" s="4"/>
      <c r="K1046" s="3">
        <v>-1</v>
      </c>
      <c r="L1046" s="3">
        <v>1.8925803644965864</v>
      </c>
      <c r="M1046" s="3">
        <f>-F1045</f>
        <v>4.817854022045065E-2</v>
      </c>
      <c r="O1046" s="1">
        <v>0.12264004083973148</v>
      </c>
    </row>
    <row r="1048" spans="1:15" x14ac:dyDescent="0.35">
      <c r="A1048" s="9" t="s">
        <v>19</v>
      </c>
      <c r="C1048" s="2" t="s">
        <v>4</v>
      </c>
    </row>
    <row r="1049" spans="1:15" x14ac:dyDescent="0.35">
      <c r="A1049" s="2" t="s">
        <v>5</v>
      </c>
      <c r="B1049" s="6">
        <v>288</v>
      </c>
      <c r="C1049" s="3">
        <f>B1049*PI()/180</f>
        <v>5.026548245743669</v>
      </c>
    </row>
    <row r="1050" spans="1:15" x14ac:dyDescent="0.35">
      <c r="A1050" s="4"/>
      <c r="B1050" s="4"/>
      <c r="C1050" s="1"/>
      <c r="H1050" s="18" t="s">
        <v>12</v>
      </c>
      <c r="I1050" s="18"/>
      <c r="J1050" s="4"/>
      <c r="K1050" s="18" t="s">
        <v>13</v>
      </c>
      <c r="L1050" s="18"/>
      <c r="M1050" s="19" t="s">
        <v>14</v>
      </c>
      <c r="O1050" s="21" t="s">
        <v>15</v>
      </c>
    </row>
    <row r="1051" spans="1:15" x14ac:dyDescent="0.35">
      <c r="A1051" s="2" t="s">
        <v>7</v>
      </c>
      <c r="B1051" s="6">
        <f>C1051*180/PI()</f>
        <v>116.86624369959678</v>
      </c>
      <c r="C1051" s="3">
        <f>O1045+C1044</f>
        <v>2.0397007369960427</v>
      </c>
      <c r="E1051" s="11" t="s">
        <v>10</v>
      </c>
      <c r="F1051" s="1">
        <f>-B1052*COS(t.1)+a*COS(C1049)+b*COS(C1051)-c.*COS(t.4)</f>
        <v>4.0954475678696374E-4</v>
      </c>
      <c r="H1051" s="8" t="s">
        <v>7</v>
      </c>
      <c r="I1051" s="8" t="s">
        <v>9</v>
      </c>
      <c r="J1051" s="4"/>
      <c r="K1051" s="8" t="s">
        <v>7</v>
      </c>
      <c r="L1051" s="8" t="s">
        <v>9</v>
      </c>
      <c r="M1051" s="20"/>
      <c r="O1051" s="22"/>
    </row>
    <row r="1052" spans="1:15" x14ac:dyDescent="0.35">
      <c r="A1052" s="2" t="s">
        <v>9</v>
      </c>
      <c r="B1052" s="6">
        <f>O1046+B1045</f>
        <v>-1.7848138855284768</v>
      </c>
      <c r="C1052" s="3"/>
      <c r="E1052" s="11" t="s">
        <v>11</v>
      </c>
      <c r="F1052" s="1">
        <f>-B1052*SIN(t.1)+a*SIN(C1049)+b*SIN(C1051)-c.*SIN(t.4)</f>
        <v>-7.8596523666174534E-4</v>
      </c>
      <c r="H1052" s="3">
        <f>-b*SIN(C1051)</f>
        <v>-5.3523835836487992</v>
      </c>
      <c r="I1052" s="3">
        <f>-COS(t.1)</f>
        <v>-1</v>
      </c>
      <c r="J1052" s="4"/>
      <c r="K1052" s="3" cm="1">
        <f t="array" ref="K1052:L1053">MINVERSE(H1052:I1053)</f>
        <v>0</v>
      </c>
      <c r="L1052" s="3">
        <v>-0.36880563407658778</v>
      </c>
      <c r="M1052" s="3">
        <f>-F1051</f>
        <v>-4.0954475678696374E-4</v>
      </c>
      <c r="O1052" s="1" cm="1">
        <f t="array" ref="O1052:O1053">MMULT(K1052:L1053,M1052:M1053)</f>
        <v>-2.8986840746919037E-4</v>
      </c>
    </row>
    <row r="1053" spans="1:15" x14ac:dyDescent="0.35">
      <c r="H1053" s="3">
        <f>b*COS(C1051)</f>
        <v>-2.7114553238965313</v>
      </c>
      <c r="I1053" s="3">
        <f>-SIN(t.1)</f>
        <v>0</v>
      </c>
      <c r="J1053" s="4"/>
      <c r="K1053" s="3">
        <v>-1</v>
      </c>
      <c r="L1053" s="3">
        <v>1.9739892213887147</v>
      </c>
      <c r="M1053" s="3">
        <f>-F1052</f>
        <v>7.8596523666174534E-4</v>
      </c>
      <c r="O1053" s="1">
        <v>1.9610316623434793E-3</v>
      </c>
    </row>
    <row r="1055" spans="1:15" x14ac:dyDescent="0.35">
      <c r="A1055" s="9" t="s">
        <v>20</v>
      </c>
      <c r="C1055" s="2" t="s">
        <v>4</v>
      </c>
    </row>
    <row r="1056" spans="1:15" x14ac:dyDescent="0.35">
      <c r="A1056" s="2" t="s">
        <v>5</v>
      </c>
      <c r="B1056" s="6">
        <v>288</v>
      </c>
      <c r="C1056" s="3">
        <f>B1056*PI()/180</f>
        <v>5.026548245743669</v>
      </c>
    </row>
    <row r="1057" spans="1:15" x14ac:dyDescent="0.35">
      <c r="A1057" s="4"/>
      <c r="B1057" s="4"/>
      <c r="C1057" s="1"/>
      <c r="H1057" s="18" t="s">
        <v>12</v>
      </c>
      <c r="I1057" s="18"/>
      <c r="J1057" s="4"/>
      <c r="K1057" s="18" t="s">
        <v>13</v>
      </c>
      <c r="L1057" s="18"/>
      <c r="M1057" s="19" t="s">
        <v>14</v>
      </c>
      <c r="O1057" s="21" t="s">
        <v>15</v>
      </c>
    </row>
    <row r="1058" spans="1:15" x14ac:dyDescent="0.35">
      <c r="A1058" s="2" t="s">
        <v>7</v>
      </c>
      <c r="B1058" s="6">
        <f>C1058*180/PI()</f>
        <v>116.84963546323462</v>
      </c>
      <c r="C1058" s="3">
        <f>O1052+C1051</f>
        <v>2.0394108685885737</v>
      </c>
      <c r="E1058" s="11" t="s">
        <v>10</v>
      </c>
      <c r="F1058" s="1">
        <f>-B1059*COS(t.1)+a*COS(C1056)+b*COS(C1058)-c.*COS(t.4)</f>
        <v>1.1389151695302474E-7</v>
      </c>
      <c r="H1058" s="8" t="s">
        <v>7</v>
      </c>
      <c r="I1058" s="8" t="s">
        <v>9</v>
      </c>
      <c r="J1058" s="4"/>
      <c r="K1058" s="8" t="s">
        <v>7</v>
      </c>
      <c r="L1058" s="8" t="s">
        <v>9</v>
      </c>
      <c r="M1058" s="20"/>
      <c r="O1058" s="22"/>
    </row>
    <row r="1059" spans="1:15" x14ac:dyDescent="0.35">
      <c r="A1059" s="2" t="s">
        <v>9</v>
      </c>
      <c r="B1059" s="6">
        <f>O1053+B1052</f>
        <v>-1.7828528538661332</v>
      </c>
      <c r="C1059" s="3"/>
      <c r="E1059" s="11" t="s">
        <v>11</v>
      </c>
      <c r="F1059" s="1">
        <f>-B1059*SIN(t.1)+a*SIN(C1056)+b*SIN(C1058)-c.*SIN(t.4)</f>
        <v>-2.2487452522312879E-7</v>
      </c>
      <c r="H1059" s="3">
        <f>-b*SIN(C1058)</f>
        <v>-5.3531693240109357</v>
      </c>
      <c r="I1059" s="3">
        <f>-COS(B1016)</f>
        <v>-0.66088041908437445</v>
      </c>
      <c r="J1059" s="4"/>
      <c r="K1059" s="3" cm="1">
        <f t="array" ref="K1059:L1060">MINVERSE(H1059:I1060)</f>
        <v>-0.33705942791781468</v>
      </c>
      <c r="L1059" s="3">
        <v>0.29681356685925342</v>
      </c>
      <c r="M1059" s="3">
        <f>-F1058</f>
        <v>-1.1389151695302474E-7</v>
      </c>
      <c r="O1059" s="1" cm="1">
        <f t="array" ref="O1059:O1060">MMULT(K1059:L1060,M1059:M1060)</f>
        <v>1.0513401947613662E-7</v>
      </c>
    </row>
    <row r="1060" spans="1:15" x14ac:dyDescent="0.35">
      <c r="H1060" s="3">
        <f>b*COS(C1058)</f>
        <v>-2.7099037230994578</v>
      </c>
      <c r="I1060" s="3">
        <f>-SIN(B1016)</f>
        <v>-0.75049122024901904</v>
      </c>
      <c r="J1060" s="4"/>
      <c r="K1060" s="3">
        <v>1.2170676671169935</v>
      </c>
      <c r="L1060" s="3">
        <v>-2.4042069263643451</v>
      </c>
      <c r="M1060" s="3">
        <f>-F1059</f>
        <v>2.2487452522312879E-7</v>
      </c>
      <c r="O1060" s="1">
        <v>-6.7925857394677316E-7</v>
      </c>
    </row>
    <row r="1062" spans="1:15" x14ac:dyDescent="0.35">
      <c r="A1062" s="9" t="s">
        <v>6</v>
      </c>
      <c r="C1062" s="2" t="s">
        <v>4</v>
      </c>
    </row>
    <row r="1063" spans="1:15" x14ac:dyDescent="0.35">
      <c r="A1063" s="2" t="s">
        <v>5</v>
      </c>
      <c r="B1063" s="6">
        <v>0</v>
      </c>
      <c r="C1063" s="3">
        <f>B1063*PI()/180</f>
        <v>0</v>
      </c>
    </row>
    <row r="1064" spans="1:15" x14ac:dyDescent="0.35">
      <c r="A1064" s="4"/>
      <c r="B1064" s="4"/>
      <c r="C1064" s="1"/>
      <c r="H1064" s="18" t="s">
        <v>12</v>
      </c>
      <c r="I1064" s="18"/>
      <c r="J1064" s="4"/>
      <c r="K1064" s="18" t="s">
        <v>13</v>
      </c>
      <c r="L1064" s="18"/>
      <c r="M1064" s="19" t="s">
        <v>14</v>
      </c>
      <c r="O1064" s="21" t="s">
        <v>15</v>
      </c>
    </row>
    <row r="1065" spans="1:15" x14ac:dyDescent="0.35">
      <c r="A1065" s="2" t="s">
        <v>7</v>
      </c>
      <c r="B1065" s="6">
        <v>110</v>
      </c>
      <c r="C1065" s="3">
        <f>B1065*PI()/180</f>
        <v>1.9198621771937625</v>
      </c>
      <c r="E1065" s="11" t="s">
        <v>10</v>
      </c>
      <c r="F1065" s="1">
        <f>-B1066*COS(t.1)+a*COS(C1063)+b*COS(C1065)-c.*COS(t.4)</f>
        <v>-5.0521208599540124</v>
      </c>
      <c r="H1065" s="8" t="s">
        <v>7</v>
      </c>
      <c r="I1065" s="8" t="s">
        <v>9</v>
      </c>
      <c r="J1065" s="4"/>
      <c r="K1065" s="8" t="s">
        <v>7</v>
      </c>
      <c r="L1065" s="8" t="s">
        <v>9</v>
      </c>
      <c r="M1065" s="20"/>
      <c r="O1065" s="22"/>
    </row>
    <row r="1066" spans="1:15" x14ac:dyDescent="0.35">
      <c r="A1066" s="2" t="s">
        <v>9</v>
      </c>
      <c r="B1066" s="6">
        <v>6</v>
      </c>
      <c r="C1066" s="3"/>
      <c r="E1066" s="11" t="s">
        <v>11</v>
      </c>
      <c r="F1066" s="1">
        <f>-B1066*SIN(t.1)+a*SIN(C1063)+b*SIN(C1065)-c.*SIN(t.4)</f>
        <v>3.1381557247154506</v>
      </c>
      <c r="H1066" s="3">
        <f>-b*SIN(C1065)</f>
        <v>-5.6381557247154506</v>
      </c>
      <c r="I1066" s="3">
        <f>-COS(t.1)</f>
        <v>-1</v>
      </c>
      <c r="J1066" s="4"/>
      <c r="K1066" s="3" cm="1">
        <f t="array" ref="K1066:L1067">MINVERSE(H1066:I1067)</f>
        <v>0</v>
      </c>
      <c r="L1066" s="3">
        <v>-0.48730073336051455</v>
      </c>
      <c r="M1066" s="3">
        <f>-F1065</f>
        <v>5.0521208599540124</v>
      </c>
      <c r="O1066" s="1" cm="1">
        <f t="array" ref="O1066:O1067">MMULT(K1066:L1067,M1066:M1067)</f>
        <v>1.5292255860533361</v>
      </c>
    </row>
    <row r="1067" spans="1:15" x14ac:dyDescent="0.35">
      <c r="H1067" s="3">
        <f>b*COS(C1065)</f>
        <v>-2.0521208599540124</v>
      </c>
      <c r="I1067" s="3">
        <f>-SIN(t.1)</f>
        <v>0</v>
      </c>
      <c r="J1067" s="4"/>
      <c r="K1067" s="3">
        <v>-1</v>
      </c>
      <c r="L1067" s="3">
        <v>2.7474774194546225</v>
      </c>
      <c r="M1067" s="3">
        <f>-F1066</f>
        <v>-3.1381557247154506</v>
      </c>
      <c r="O1067" s="1">
        <v>-13.67413285234197</v>
      </c>
    </row>
    <row r="1069" spans="1:15" x14ac:dyDescent="0.35">
      <c r="A1069" s="9" t="s">
        <v>16</v>
      </c>
      <c r="C1069" s="2" t="s">
        <v>4</v>
      </c>
    </row>
    <row r="1070" spans="1:15" x14ac:dyDescent="0.35">
      <c r="A1070" s="2" t="s">
        <v>5</v>
      </c>
      <c r="B1070" s="6">
        <v>300</v>
      </c>
      <c r="C1070" s="3">
        <f>B1070*PI()/180</f>
        <v>5.2359877559829888</v>
      </c>
    </row>
    <row r="1071" spans="1:15" x14ac:dyDescent="0.35">
      <c r="A1071" s="4"/>
      <c r="B1071" s="4"/>
      <c r="C1071" s="1"/>
      <c r="H1071" s="18" t="s">
        <v>12</v>
      </c>
      <c r="I1071" s="18"/>
      <c r="J1071" s="4"/>
      <c r="K1071" s="18" t="s">
        <v>13</v>
      </c>
      <c r="L1071" s="18"/>
      <c r="M1071" s="19" t="s">
        <v>14</v>
      </c>
      <c r="O1071" s="21" t="s">
        <v>15</v>
      </c>
    </row>
    <row r="1072" spans="1:15" x14ac:dyDescent="0.35">
      <c r="A1072" s="2" t="s">
        <v>7</v>
      </c>
      <c r="B1072" s="6">
        <f>C1072*180/PI()</f>
        <v>197.61817200427606</v>
      </c>
      <c r="C1072" s="3">
        <f>O1066+C1065</f>
        <v>3.4490877632470989</v>
      </c>
      <c r="E1072" s="11" t="s">
        <v>10</v>
      </c>
      <c r="F1072" s="1">
        <f>-B1073*COS(t.1)+a*COS(C1070)+b*COS(C1072)-c.*COS(t.4)</f>
        <v>3.4555645333999108</v>
      </c>
      <c r="H1072" s="8" t="s">
        <v>7</v>
      </c>
      <c r="I1072" s="8" t="s">
        <v>9</v>
      </c>
      <c r="J1072" s="4"/>
      <c r="K1072" s="8" t="s">
        <v>7</v>
      </c>
      <c r="L1072" s="8" t="s">
        <v>9</v>
      </c>
      <c r="M1072" s="20"/>
      <c r="O1072" s="22"/>
    </row>
    <row r="1073" spans="1:15" x14ac:dyDescent="0.35">
      <c r="A1073" s="2" t="s">
        <v>9</v>
      </c>
      <c r="B1073" s="6">
        <f>O1067+B1066</f>
        <v>-7.6741328523419696</v>
      </c>
      <c r="C1073" s="3"/>
      <c r="E1073" s="11" t="s">
        <v>11</v>
      </c>
      <c r="F1073" s="1">
        <f>-B1073*SIN(t.1)+a*SIN(C1070)+b*SIN(C1072)-c.*SIN(t.4)</f>
        <v>-6.9141093557623599</v>
      </c>
      <c r="H1073" s="3">
        <f>-b*SIN(C1072)</f>
        <v>1.8160331444090434</v>
      </c>
      <c r="I1073" s="3">
        <f>-COS(t.1)</f>
        <v>-1</v>
      </c>
      <c r="J1073" s="4"/>
      <c r="K1073" s="3" cm="1">
        <f t="array" ref="K1073:L1074">MINVERSE(H1073:I1074)</f>
        <v>0</v>
      </c>
      <c r="L1073" s="3">
        <v>-0.1748689434534903</v>
      </c>
      <c r="M1073" s="3">
        <f>-F1072</f>
        <v>-3.4555645333999108</v>
      </c>
      <c r="O1073" s="1" cm="1">
        <f t="array" ref="O1073:O1074">MMULT(K1073:L1074,M1073:M1074)</f>
        <v>-1.2090629979640564</v>
      </c>
    </row>
    <row r="1074" spans="1:15" x14ac:dyDescent="0.35">
      <c r="H1074" s="3">
        <f>b*COS(C1072)</f>
        <v>-5.7185683189420589</v>
      </c>
      <c r="I1074" s="3">
        <f>-SIN(t.1)</f>
        <v>0</v>
      </c>
      <c r="J1074" s="4"/>
      <c r="K1074" s="3">
        <v>-1</v>
      </c>
      <c r="L1074" s="3">
        <v>-0.31756779723932921</v>
      </c>
      <c r="M1074" s="3">
        <f>-F1073</f>
        <v>6.9141093557623599</v>
      </c>
      <c r="O1074" s="1">
        <v>1.2598660554186205</v>
      </c>
    </row>
    <row r="1076" spans="1:15" x14ac:dyDescent="0.35">
      <c r="A1076" s="9" t="s">
        <v>17</v>
      </c>
      <c r="C1076" s="2" t="s">
        <v>4</v>
      </c>
    </row>
    <row r="1077" spans="1:15" x14ac:dyDescent="0.35">
      <c r="A1077" s="2" t="s">
        <v>5</v>
      </c>
      <c r="B1077" s="6">
        <v>300</v>
      </c>
      <c r="C1077" s="3">
        <f>B1077*PI()/180</f>
        <v>5.2359877559829888</v>
      </c>
    </row>
    <row r="1078" spans="1:15" x14ac:dyDescent="0.35">
      <c r="A1078" s="4"/>
      <c r="B1078" s="4"/>
      <c r="C1078" s="1"/>
      <c r="H1078" s="18" t="s">
        <v>12</v>
      </c>
      <c r="I1078" s="18"/>
      <c r="J1078" s="4"/>
      <c r="K1078" s="18" t="s">
        <v>13</v>
      </c>
      <c r="L1078" s="18"/>
      <c r="M1078" s="19" t="s">
        <v>14</v>
      </c>
      <c r="O1078" s="21" t="s">
        <v>15</v>
      </c>
    </row>
    <row r="1079" spans="1:15" x14ac:dyDescent="0.35">
      <c r="A1079" s="2" t="s">
        <v>7</v>
      </c>
      <c r="B1079" s="6">
        <f>C1079*180/PI()</f>
        <v>128.34396505550117</v>
      </c>
      <c r="C1079" s="3">
        <f>O1073+C1072</f>
        <v>2.2400247652830423</v>
      </c>
      <c r="E1079" s="11" t="s">
        <v>10</v>
      </c>
      <c r="F1079" s="1">
        <f>-B1080*COS(t.1)+a*COS(C1077)+b*COS(C1079)-c.*COS(t.4)</f>
        <v>4.1919805831534482</v>
      </c>
      <c r="H1079" s="8" t="s">
        <v>7</v>
      </c>
      <c r="I1079" s="8" t="s">
        <v>9</v>
      </c>
      <c r="J1079" s="4"/>
      <c r="K1079" s="8" t="s">
        <v>7</v>
      </c>
      <c r="L1079" s="8" t="s">
        <v>9</v>
      </c>
      <c r="M1079" s="20"/>
      <c r="O1079" s="22"/>
    </row>
    <row r="1080" spans="1:15" x14ac:dyDescent="0.35">
      <c r="A1080" s="2" t="s">
        <v>9</v>
      </c>
      <c r="B1080" s="6">
        <f>O1074+B1073</f>
        <v>-6.4142667969233491</v>
      </c>
      <c r="C1080" s="3"/>
      <c r="E1080" s="11" t="s">
        <v>11</v>
      </c>
      <c r="F1080" s="1">
        <f>-B1080*SIN(t.1)+a*SIN(C1077)+b*SIN(C1079)-c.*SIN(t.4)</f>
        <v>-0.39227284287535458</v>
      </c>
      <c r="H1080" s="3">
        <f>-b*SIN(C1079)</f>
        <v>-4.7058033684779614</v>
      </c>
      <c r="I1080" s="3">
        <f>-COS(t.1)</f>
        <v>-1</v>
      </c>
      <c r="J1080" s="4"/>
      <c r="K1080" s="3" cm="1">
        <f t="array" ref="K1080:L1081">MINVERSE(H1080:I1081)</f>
        <v>0</v>
      </c>
      <c r="L1080" s="3">
        <v>-0.26865209781576893</v>
      </c>
      <c r="M1080" s="3">
        <f>-F1079</f>
        <v>-4.1919805831534482</v>
      </c>
      <c r="O1080" s="1" cm="1">
        <f t="array" ref="O1080:O1081">MMULT(K1080:L1081,M1080:M1081)</f>
        <v>-0.10538492215461952</v>
      </c>
    </row>
    <row r="1081" spans="1:15" x14ac:dyDescent="0.35">
      <c r="H1081" s="3">
        <f>b*COS(C1079)</f>
        <v>-3.7222862137699022</v>
      </c>
      <c r="I1081" s="3">
        <f>-SIN(t.1)</f>
        <v>0</v>
      </c>
      <c r="J1081" s="4"/>
      <c r="K1081" s="3">
        <v>-1</v>
      </c>
      <c r="L1081" s="3">
        <v>1.2642239468501162</v>
      </c>
      <c r="M1081" s="3">
        <f>-F1080</f>
        <v>0.39227284287535458</v>
      </c>
      <c r="O1081" s="1">
        <v>4.6879013048154441</v>
      </c>
    </row>
    <row r="1083" spans="1:15" x14ac:dyDescent="0.35">
      <c r="A1083" s="9" t="s">
        <v>18</v>
      </c>
      <c r="C1083" s="2" t="s">
        <v>4</v>
      </c>
    </row>
    <row r="1084" spans="1:15" x14ac:dyDescent="0.35">
      <c r="A1084" s="2" t="s">
        <v>5</v>
      </c>
      <c r="B1084" s="6">
        <v>300</v>
      </c>
      <c r="C1084" s="3">
        <f>B1084*PI()/180</f>
        <v>5.2359877559829888</v>
      </c>
    </row>
    <row r="1085" spans="1:15" x14ac:dyDescent="0.35">
      <c r="A1085" s="4"/>
      <c r="B1085" s="4"/>
      <c r="C1085" s="1"/>
      <c r="H1085" s="18" t="s">
        <v>12</v>
      </c>
      <c r="I1085" s="18"/>
      <c r="J1085" s="4"/>
      <c r="K1085" s="18" t="s">
        <v>13</v>
      </c>
      <c r="L1085" s="18"/>
      <c r="M1085" s="19" t="s">
        <v>14</v>
      </c>
      <c r="O1085" s="21" t="s">
        <v>15</v>
      </c>
    </row>
    <row r="1086" spans="1:15" x14ac:dyDescent="0.35">
      <c r="A1086" s="2" t="s">
        <v>7</v>
      </c>
      <c r="B1086" s="6">
        <f>C1086*180/PI()</f>
        <v>122.30585379172673</v>
      </c>
      <c r="C1086" s="3">
        <f>O1080+C1079</f>
        <v>2.1346398431284226</v>
      </c>
      <c r="E1086" s="11" t="s">
        <v>10</v>
      </c>
      <c r="F1086" s="1">
        <f>-B1087*COS(t.1)+a*COS(C1084)+b*COS(C1086)-c.*COS(t.4)</f>
        <v>1.9733260544712319E-2</v>
      </c>
      <c r="H1086" s="8" t="s">
        <v>7</v>
      </c>
      <c r="I1086" s="8" t="s">
        <v>9</v>
      </c>
      <c r="J1086" s="4"/>
      <c r="K1086" s="8" t="s">
        <v>7</v>
      </c>
      <c r="L1086" s="8" t="s">
        <v>9</v>
      </c>
      <c r="M1086" s="20"/>
      <c r="O1086" s="22"/>
    </row>
    <row r="1087" spans="1:15" x14ac:dyDescent="0.35">
      <c r="A1087" s="2" t="s">
        <v>9</v>
      </c>
      <c r="B1087" s="6">
        <f>O1081+B1080</f>
        <v>-1.726365492107905</v>
      </c>
      <c r="C1087" s="3"/>
      <c r="E1087" s="11" t="s">
        <v>11</v>
      </c>
      <c r="F1087" s="1">
        <f>-B1087*SIN(t.1)+a*SIN(C1084)+b*SIN(C1086)-c.*SIN(t.4)</f>
        <v>-2.6832800561436443E-2</v>
      </c>
      <c r="H1087" s="3">
        <f>-b*SIN(C1086)</f>
        <v>-5.0712434107918796</v>
      </c>
      <c r="I1087" s="3">
        <f>-COS(t.1)</f>
        <v>-1</v>
      </c>
      <c r="J1087" s="4"/>
      <c r="K1087" s="3" cm="1">
        <f t="array" ref="K1087:L1088">MINVERSE(H1087:I1088)</f>
        <v>0</v>
      </c>
      <c r="L1087" s="3">
        <v>-0.31185366072133336</v>
      </c>
      <c r="M1087" s="3">
        <f>-F1086</f>
        <v>-1.9733260544712319E-2</v>
      </c>
      <c r="O1087" s="1" cm="1">
        <f t="array" ref="O1087:O1088">MMULT(K1087:L1088,M1087:M1088)</f>
        <v>-8.3679070824894033E-3</v>
      </c>
    </row>
    <row r="1088" spans="1:15" x14ac:dyDescent="0.35">
      <c r="H1088" s="3">
        <f>b*COS(C1086)</f>
        <v>-3.206632231563193</v>
      </c>
      <c r="I1088" s="3">
        <f>-SIN(t.1)</f>
        <v>0</v>
      </c>
      <c r="J1088" s="4"/>
      <c r="K1088" s="3">
        <v>-1</v>
      </c>
      <c r="L1088" s="3">
        <v>1.5814858220643881</v>
      </c>
      <c r="M1088" s="3">
        <f>-F1087</f>
        <v>2.6832800561436443E-2</v>
      </c>
      <c r="O1088" s="1">
        <v>6.2168954198905411E-2</v>
      </c>
    </row>
    <row r="1090" spans="1:15" x14ac:dyDescent="0.35">
      <c r="A1090" s="9" t="s">
        <v>19</v>
      </c>
      <c r="C1090" s="2" t="s">
        <v>4</v>
      </c>
    </row>
    <row r="1091" spans="1:15" x14ac:dyDescent="0.35">
      <c r="A1091" s="2" t="s">
        <v>5</v>
      </c>
      <c r="B1091" s="6">
        <v>300</v>
      </c>
      <c r="C1091" s="3">
        <f>B1091*PI()/180</f>
        <v>5.2359877559829888</v>
      </c>
    </row>
    <row r="1092" spans="1:15" x14ac:dyDescent="0.35">
      <c r="A1092" s="4"/>
      <c r="B1092" s="4"/>
      <c r="C1092" s="1"/>
      <c r="H1092" s="18" t="s">
        <v>12</v>
      </c>
      <c r="I1092" s="18"/>
      <c r="J1092" s="4"/>
      <c r="K1092" s="18" t="s">
        <v>13</v>
      </c>
      <c r="L1092" s="18"/>
      <c r="M1092" s="19" t="s">
        <v>14</v>
      </c>
      <c r="O1092" s="21" t="s">
        <v>15</v>
      </c>
    </row>
    <row r="1093" spans="1:15" x14ac:dyDescent="0.35">
      <c r="A1093" s="2" t="s">
        <v>7</v>
      </c>
      <c r="B1093" s="6">
        <f>C1093*180/PI()</f>
        <v>121.82640803254246</v>
      </c>
      <c r="C1093" s="3">
        <f>O1087+C1086</f>
        <v>2.1262719360459332</v>
      </c>
      <c r="E1093" s="11" t="s">
        <v>10</v>
      </c>
      <c r="F1093" s="1">
        <f>-B1094*COS(t.1)+a*COS(C1091)+b*COS(C1093)-c.*COS(t.4)</f>
        <v>1.1177129980606499E-4</v>
      </c>
      <c r="H1093" s="8" t="s">
        <v>7</v>
      </c>
      <c r="I1093" s="8" t="s">
        <v>9</v>
      </c>
      <c r="J1093" s="4"/>
      <c r="K1093" s="8" t="s">
        <v>7</v>
      </c>
      <c r="L1093" s="8" t="s">
        <v>9</v>
      </c>
      <c r="M1093" s="20"/>
      <c r="O1093" s="22"/>
    </row>
    <row r="1094" spans="1:15" x14ac:dyDescent="0.35">
      <c r="A1094" s="2" t="s">
        <v>9</v>
      </c>
      <c r="B1094" s="6">
        <f>O1088+B1087</f>
        <v>-1.6641965379089996</v>
      </c>
      <c r="C1094" s="3"/>
      <c r="E1094" s="11" t="s">
        <v>11</v>
      </c>
      <c r="F1094" s="1">
        <f>-B1094*SIN(t.1)+a*SIN(C1091)+b*SIN(C1093)-c.*SIN(t.4)</f>
        <v>-1.7786108076034424E-4</v>
      </c>
      <c r="H1094" s="3">
        <f>-b*SIN(C1093)</f>
        <v>-5.0978983502725557</v>
      </c>
      <c r="I1094" s="3">
        <f>-COS(t.1)</f>
        <v>-1</v>
      </c>
      <c r="J1094" s="4"/>
      <c r="K1094" s="3" cm="1">
        <f t="array" ref="K1094:L1095">MINVERSE(H1094:I1095)</f>
        <v>0</v>
      </c>
      <c r="L1094" s="3">
        <v>-0.3160471585821813</v>
      </c>
      <c r="M1094" s="3">
        <f>-F1093</f>
        <v>-1.1177129980606499E-4</v>
      </c>
      <c r="O1094" s="1" cm="1">
        <f t="array" ref="O1094:O1095">MMULT(K1094:L1095,M1094:M1095)</f>
        <v>-5.6212489196662667E-5</v>
      </c>
    </row>
    <row r="1095" spans="1:15" x14ac:dyDescent="0.35">
      <c r="H1095" s="3">
        <f>b*COS(C1093)</f>
        <v>-3.1640847666091938</v>
      </c>
      <c r="I1095" s="3">
        <f>-SIN(t.1)</f>
        <v>0</v>
      </c>
      <c r="J1095" s="4"/>
      <c r="K1095" s="3">
        <v>-1</v>
      </c>
      <c r="L1095" s="3">
        <v>1.6111762883444309</v>
      </c>
      <c r="M1095" s="3">
        <f>-F1094</f>
        <v>1.7786108076034424E-4</v>
      </c>
      <c r="O1095" s="1">
        <v>3.983368557464455E-4</v>
      </c>
    </row>
    <row r="1097" spans="1:15" x14ac:dyDescent="0.35">
      <c r="A1097" s="9" t="s">
        <v>20</v>
      </c>
      <c r="C1097" s="2" t="s">
        <v>4</v>
      </c>
    </row>
    <row r="1098" spans="1:15" x14ac:dyDescent="0.35">
      <c r="A1098" s="2" t="s">
        <v>5</v>
      </c>
      <c r="B1098" s="6">
        <v>300</v>
      </c>
      <c r="C1098" s="3">
        <f>B1098*PI()/180</f>
        <v>5.2359877559829888</v>
      </c>
    </row>
    <row r="1099" spans="1:15" x14ac:dyDescent="0.35">
      <c r="A1099" s="4"/>
      <c r="B1099" s="4"/>
      <c r="C1099" s="1"/>
      <c r="H1099" s="18" t="s">
        <v>12</v>
      </c>
      <c r="I1099" s="18"/>
      <c r="J1099" s="4"/>
      <c r="K1099" s="18" t="s">
        <v>13</v>
      </c>
      <c r="L1099" s="18"/>
      <c r="M1099" s="19" t="s">
        <v>14</v>
      </c>
      <c r="O1099" s="21" t="s">
        <v>15</v>
      </c>
    </row>
    <row r="1100" spans="1:15" x14ac:dyDescent="0.35">
      <c r="A1100" s="2" t="s">
        <v>7</v>
      </c>
      <c r="B1100" s="6">
        <f>C1100*180/PI()</f>
        <v>121.82318729415557</v>
      </c>
      <c r="C1100" s="3">
        <f>O1094+C1093</f>
        <v>2.1262157235567365</v>
      </c>
      <c r="E1100" s="11" t="s">
        <v>10</v>
      </c>
      <c r="F1100" s="1">
        <f>-B1101*COS(t.1)+a*COS(C1098)+b*COS(C1100)-c.*COS(t.4)</f>
        <v>4.9988562867537244E-9</v>
      </c>
      <c r="H1100" s="8" t="s">
        <v>7</v>
      </c>
      <c r="I1100" s="8" t="s">
        <v>9</v>
      </c>
      <c r="J1100" s="4"/>
      <c r="K1100" s="8" t="s">
        <v>7</v>
      </c>
      <c r="L1100" s="8" t="s">
        <v>9</v>
      </c>
      <c r="M1100" s="20"/>
      <c r="O1100" s="22"/>
    </row>
    <row r="1101" spans="1:15" x14ac:dyDescent="0.35">
      <c r="A1101" s="2" t="s">
        <v>9</v>
      </c>
      <c r="B1101" s="6">
        <f>O1095+B1094</f>
        <v>-1.663798201053253</v>
      </c>
      <c r="C1101" s="3"/>
      <c r="E1101" s="11" t="s">
        <v>11</v>
      </c>
      <c r="F1101" s="1">
        <f>-B1101*SIN(t.1)+a*SIN(C1098)+b*SIN(C1100)-c.*SIN(t.4)</f>
        <v>-8.0543749447770097E-9</v>
      </c>
      <c r="H1101" s="3">
        <f>-b*SIN(C1100)</f>
        <v>-5.0980762032989411</v>
      </c>
      <c r="I1101" s="3">
        <f>-COS(B1058)</f>
        <v>0.81924263493326388</v>
      </c>
      <c r="J1101" s="4"/>
      <c r="K1101" s="3" cm="1">
        <f t="array" ref="K1101:L1102">MINVERSE(H1101:I1102)</f>
        <v>-1.729551007895235</v>
      </c>
      <c r="L1101" s="3">
        <v>2.4708854204075115</v>
      </c>
      <c r="M1101" s="3">
        <f>-F1100</f>
        <v>-4.9988562867537244E-9</v>
      </c>
      <c r="O1101" s="1" cm="1">
        <f t="array" ref="O1101:O1102">MMULT(K1101:L1102,M1101:M1102)</f>
        <v>2.8547214550623402E-8</v>
      </c>
    </row>
    <row r="1102" spans="1:15" x14ac:dyDescent="0.35">
      <c r="H1102" s="3">
        <f>b*COS(C1100)</f>
        <v>-3.163798196054397</v>
      </c>
      <c r="I1102" s="3">
        <f>-SIN(B1058)</f>
        <v>0.57344703775292349</v>
      </c>
      <c r="J1102" s="4"/>
      <c r="K1102" s="3">
        <v>-9.5422070365993665</v>
      </c>
      <c r="L1102" s="3">
        <v>15.376106693817242</v>
      </c>
      <c r="M1102" s="3">
        <f>-F1101</f>
        <v>8.0543749447770097E-9</v>
      </c>
      <c r="O1102" s="1">
        <v>1.7154505013731001E-7</v>
      </c>
    </row>
    <row r="1104" spans="1:15" x14ac:dyDescent="0.35">
      <c r="A1104" s="9" t="s">
        <v>6</v>
      </c>
      <c r="C1104" s="2" t="s">
        <v>4</v>
      </c>
    </row>
    <row r="1105" spans="1:15" x14ac:dyDescent="0.35">
      <c r="A1105" s="2" t="s">
        <v>5</v>
      </c>
      <c r="B1105" s="6">
        <v>0</v>
      </c>
      <c r="C1105" s="3">
        <f>B1105*PI()/180</f>
        <v>0</v>
      </c>
    </row>
    <row r="1106" spans="1:15" x14ac:dyDescent="0.35">
      <c r="A1106" s="4"/>
      <c r="B1106" s="4"/>
      <c r="C1106" s="1"/>
      <c r="H1106" s="18" t="s">
        <v>12</v>
      </c>
      <c r="I1106" s="18"/>
      <c r="J1106" s="4"/>
      <c r="K1106" s="18" t="s">
        <v>13</v>
      </c>
      <c r="L1106" s="18"/>
      <c r="M1106" s="19" t="s">
        <v>14</v>
      </c>
      <c r="O1106" s="21" t="s">
        <v>15</v>
      </c>
    </row>
    <row r="1107" spans="1:15" x14ac:dyDescent="0.35">
      <c r="A1107" s="2" t="s">
        <v>7</v>
      </c>
      <c r="B1107" s="6">
        <v>110</v>
      </c>
      <c r="C1107" s="3">
        <f>B1107*PI()/180</f>
        <v>1.9198621771937625</v>
      </c>
      <c r="E1107" s="11" t="s">
        <v>10</v>
      </c>
      <c r="F1107" s="1">
        <f>-B1108*COS(t.1)+a*COS(C1105)+b*COS(C1107)-c.*COS(t.4)</f>
        <v>-5.0521208599540124</v>
      </c>
      <c r="H1107" s="8" t="s">
        <v>7</v>
      </c>
      <c r="I1107" s="8" t="s">
        <v>9</v>
      </c>
      <c r="J1107" s="4"/>
      <c r="K1107" s="8" t="s">
        <v>7</v>
      </c>
      <c r="L1107" s="8" t="s">
        <v>9</v>
      </c>
      <c r="M1107" s="20"/>
      <c r="O1107" s="22"/>
    </row>
    <row r="1108" spans="1:15" x14ac:dyDescent="0.35">
      <c r="A1108" s="2" t="s">
        <v>9</v>
      </c>
      <c r="B1108" s="6">
        <v>6</v>
      </c>
      <c r="C1108" s="3"/>
      <c r="E1108" s="11" t="s">
        <v>11</v>
      </c>
      <c r="F1108" s="1">
        <f>-B1108*SIN(t.1)+a*SIN(C1105)+b*SIN(C1107)-c.*SIN(t.4)</f>
        <v>3.1381557247154506</v>
      </c>
      <c r="H1108" s="3">
        <f>-b*SIN(C1107)</f>
        <v>-5.6381557247154506</v>
      </c>
      <c r="I1108" s="3">
        <f>-COS(t.1)</f>
        <v>-1</v>
      </c>
      <c r="J1108" s="4"/>
      <c r="K1108" s="3" cm="1">
        <f t="array" ref="K1108:L1109">MINVERSE(H1108:I1109)</f>
        <v>0</v>
      </c>
      <c r="L1108" s="3">
        <v>-0.48730073336051455</v>
      </c>
      <c r="M1108" s="3">
        <f>-F1107</f>
        <v>5.0521208599540124</v>
      </c>
      <c r="O1108" s="1" cm="1">
        <f t="array" ref="O1108:O1109">MMULT(K1108:L1109,M1108:M1109)</f>
        <v>1.5292255860533361</v>
      </c>
    </row>
    <row r="1109" spans="1:15" x14ac:dyDescent="0.35">
      <c r="H1109" s="3">
        <f>b*COS(C1107)</f>
        <v>-2.0521208599540124</v>
      </c>
      <c r="I1109" s="3">
        <f>-SIN(t.1)</f>
        <v>0</v>
      </c>
      <c r="J1109" s="4"/>
      <c r="K1109" s="3">
        <v>-1</v>
      </c>
      <c r="L1109" s="3">
        <v>2.7474774194546225</v>
      </c>
      <c r="M1109" s="3">
        <f>-F1108</f>
        <v>-3.1381557247154506</v>
      </c>
      <c r="O1109" s="1">
        <v>-13.67413285234197</v>
      </c>
    </row>
    <row r="1111" spans="1:15" x14ac:dyDescent="0.35">
      <c r="A1111" s="9" t="s">
        <v>16</v>
      </c>
      <c r="C1111" s="2" t="s">
        <v>4</v>
      </c>
    </row>
    <row r="1112" spans="1:15" x14ac:dyDescent="0.35">
      <c r="A1112" s="2" t="s">
        <v>5</v>
      </c>
      <c r="B1112" s="6">
        <v>312</v>
      </c>
      <c r="C1112" s="3">
        <f>B1112*PI()/180</f>
        <v>5.4454272662223078</v>
      </c>
    </row>
    <row r="1113" spans="1:15" x14ac:dyDescent="0.35">
      <c r="A1113" s="4"/>
      <c r="B1113" s="4"/>
      <c r="C1113" s="1"/>
      <c r="H1113" s="18" t="s">
        <v>12</v>
      </c>
      <c r="I1113" s="18"/>
      <c r="J1113" s="4"/>
      <c r="K1113" s="18" t="s">
        <v>13</v>
      </c>
      <c r="L1113" s="18"/>
      <c r="M1113" s="19" t="s">
        <v>14</v>
      </c>
      <c r="O1113" s="21" t="s">
        <v>15</v>
      </c>
    </row>
    <row r="1114" spans="1:15" x14ac:dyDescent="0.35">
      <c r="A1114" s="2" t="s">
        <v>7</v>
      </c>
      <c r="B1114" s="6">
        <f>C1114*180/PI()</f>
        <v>197.61817200427606</v>
      </c>
      <c r="C1114" s="3">
        <f>O1108+C1107</f>
        <v>3.4490877632470989</v>
      </c>
      <c r="E1114" s="11" t="s">
        <v>10</v>
      </c>
      <c r="F1114" s="1">
        <f>-B1115*COS(t.1)+a*COS(C1112)+b*COS(C1114)-c.*COS(t.4)</f>
        <v>3.9629563524764846</v>
      </c>
      <c r="H1114" s="8" t="s">
        <v>7</v>
      </c>
      <c r="I1114" s="8" t="s">
        <v>9</v>
      </c>
      <c r="J1114" s="4"/>
      <c r="K1114" s="8" t="s">
        <v>7</v>
      </c>
      <c r="L1114" s="8" t="s">
        <v>9</v>
      </c>
      <c r="M1114" s="20"/>
      <c r="O1114" s="22"/>
    </row>
    <row r="1115" spans="1:15" x14ac:dyDescent="0.35">
      <c r="A1115" s="2" t="s">
        <v>9</v>
      </c>
      <c r="B1115" s="6">
        <f>O1109+B1108</f>
        <v>-7.6741328523419696</v>
      </c>
      <c r="C1115" s="3"/>
      <c r="E1115" s="11" t="s">
        <v>11</v>
      </c>
      <c r="F1115" s="1">
        <f>-B1115*SIN(t.1)+a*SIN(C1112)+b*SIN(C1114)-c.*SIN(t.4)</f>
        <v>-6.5454676208412277</v>
      </c>
      <c r="H1115" s="3">
        <f>-b*SIN(C1114)</f>
        <v>1.8160331444090434</v>
      </c>
      <c r="I1115" s="3">
        <f>-COS(t.1)</f>
        <v>-1</v>
      </c>
      <c r="J1115" s="4"/>
      <c r="K1115" s="3" cm="1">
        <f t="array" ref="K1115:L1116">MINVERSE(H1115:I1116)</f>
        <v>0</v>
      </c>
      <c r="L1115" s="3">
        <v>-0.1748689434534903</v>
      </c>
      <c r="M1115" s="3">
        <f>-F1114</f>
        <v>-3.9629563524764846</v>
      </c>
      <c r="O1115" s="1" cm="1">
        <f t="array" ref="O1115:O1116">MMULT(K1115:L1116,M1115:M1116)</f>
        <v>-1.1445990072655363</v>
      </c>
    </row>
    <row r="1116" spans="1:15" x14ac:dyDescent="0.35">
      <c r="H1116" s="3">
        <f>b*COS(C1114)</f>
        <v>-5.7185683189420589</v>
      </c>
      <c r="I1116" s="3">
        <f>-SIN(t.1)</f>
        <v>0</v>
      </c>
      <c r="J1116" s="4"/>
      <c r="K1116" s="3">
        <v>-1</v>
      </c>
      <c r="L1116" s="3">
        <v>-0.31756779723932921</v>
      </c>
      <c r="M1116" s="3">
        <f>-F1115</f>
        <v>6.5454676208412277</v>
      </c>
      <c r="O1116" s="1">
        <v>1.8843266182245832</v>
      </c>
    </row>
    <row r="1118" spans="1:15" x14ac:dyDescent="0.35">
      <c r="A1118" s="9" t="s">
        <v>17</v>
      </c>
      <c r="C1118" s="2" t="s">
        <v>4</v>
      </c>
    </row>
    <row r="1119" spans="1:15" x14ac:dyDescent="0.35">
      <c r="A1119" s="2" t="s">
        <v>5</v>
      </c>
      <c r="B1119" s="6">
        <v>312</v>
      </c>
      <c r="C1119" s="3">
        <f>B1119*PI()/180</f>
        <v>5.4454272662223078</v>
      </c>
    </row>
    <row r="1120" spans="1:15" x14ac:dyDescent="0.35">
      <c r="A1120" s="4"/>
      <c r="B1120" s="4"/>
      <c r="C1120" s="1"/>
      <c r="H1120" s="18" t="s">
        <v>12</v>
      </c>
      <c r="I1120" s="18"/>
      <c r="J1120" s="4"/>
      <c r="K1120" s="18" t="s">
        <v>13</v>
      </c>
      <c r="L1120" s="18"/>
      <c r="M1120" s="19" t="s">
        <v>14</v>
      </c>
      <c r="O1120" s="21" t="s">
        <v>15</v>
      </c>
    </row>
    <row r="1121" spans="1:15" x14ac:dyDescent="0.35">
      <c r="A1121" s="2" t="s">
        <v>7</v>
      </c>
      <c r="B1121" s="6">
        <f>C1121*180/PI()</f>
        <v>132.03747965309699</v>
      </c>
      <c r="C1121" s="3">
        <f>O1115+C1114</f>
        <v>2.3044887559815628</v>
      </c>
      <c r="E1121" s="11" t="s">
        <v>10</v>
      </c>
      <c r="F1121" s="1">
        <f>-B1122*COS(t.1)+a*COS(C1119)+b*COS(C1121)-c.*COS(t.4)</f>
        <v>3.7794985347490293</v>
      </c>
      <c r="H1121" s="8" t="s">
        <v>7</v>
      </c>
      <c r="I1121" s="8" t="s">
        <v>9</v>
      </c>
      <c r="J1121" s="4"/>
      <c r="K1121" s="8" t="s">
        <v>7</v>
      </c>
      <c r="L1121" s="8" t="s">
        <v>9</v>
      </c>
      <c r="M1121" s="20"/>
      <c r="O1121" s="22"/>
    </row>
    <row r="1122" spans="1:15" x14ac:dyDescent="0.35">
      <c r="A1122" s="2" t="s">
        <v>9</v>
      </c>
      <c r="B1122" s="6">
        <f>O1116+B1115</f>
        <v>-5.7898062341173864</v>
      </c>
      <c r="C1122" s="3"/>
      <c r="E1122" s="11" t="s">
        <v>11</v>
      </c>
      <c r="F1122" s="1">
        <f>-B1122*SIN(t.1)+a*SIN(C1119)+b*SIN(C1121)-c.*SIN(t.4)</f>
        <v>-0.27319272137811446</v>
      </c>
      <c r="H1122" s="3">
        <f>-b*SIN(C1121)</f>
        <v>-4.4562417550540694</v>
      </c>
      <c r="I1122" s="3">
        <f>-COS(t.1)</f>
        <v>-1</v>
      </c>
      <c r="J1122" s="4"/>
      <c r="K1122" s="3" cm="1">
        <f t="array" ref="K1122:L1123">MINVERSE(H1122:I1123)</f>
        <v>0</v>
      </c>
      <c r="L1122" s="3">
        <v>-0.24889865342320441</v>
      </c>
      <c r="M1122" s="3">
        <f>-F1121</f>
        <v>-3.7794985347490293</v>
      </c>
      <c r="O1122" s="1" cm="1">
        <f t="array" ref="O1122:O1123">MMULT(K1122:L1123,M1122:M1123)</f>
        <v>-6.7997300476033362E-2</v>
      </c>
    </row>
    <row r="1123" spans="1:15" x14ac:dyDescent="0.35">
      <c r="H1123" s="3">
        <f>b*COS(C1121)</f>
        <v>-4.01769951844493</v>
      </c>
      <c r="I1123" s="3">
        <f>-SIN(t.1)</f>
        <v>0</v>
      </c>
      <c r="J1123" s="4"/>
      <c r="K1123" s="3">
        <v>-1</v>
      </c>
      <c r="L1123" s="3">
        <v>1.109152572161215</v>
      </c>
      <c r="M1123" s="3">
        <f>-F1122</f>
        <v>0.27319272137811446</v>
      </c>
      <c r="O1123" s="1">
        <v>4.082510944361287</v>
      </c>
    </row>
    <row r="1125" spans="1:15" x14ac:dyDescent="0.35">
      <c r="A1125" s="9" t="s">
        <v>18</v>
      </c>
      <c r="C1125" s="2" t="s">
        <v>4</v>
      </c>
    </row>
    <row r="1126" spans="1:15" x14ac:dyDescent="0.35">
      <c r="A1126" s="2" t="s">
        <v>5</v>
      </c>
      <c r="B1126" s="6">
        <v>312</v>
      </c>
      <c r="C1126" s="3">
        <f>B1126*PI()/180</f>
        <v>5.4454272662223078</v>
      </c>
    </row>
    <row r="1127" spans="1:15" x14ac:dyDescent="0.35">
      <c r="A1127" s="4"/>
      <c r="B1127" s="4"/>
      <c r="C1127" s="1"/>
      <c r="H1127" s="18" t="s">
        <v>12</v>
      </c>
      <c r="I1127" s="18"/>
      <c r="J1127" s="4"/>
      <c r="K1127" s="18" t="s">
        <v>13</v>
      </c>
      <c r="L1127" s="18"/>
      <c r="M1127" s="19" t="s">
        <v>14</v>
      </c>
      <c r="O1127" s="21" t="s">
        <v>15</v>
      </c>
    </row>
    <row r="1128" spans="1:15" x14ac:dyDescent="0.35">
      <c r="A1128" s="2" t="s">
        <v>7</v>
      </c>
      <c r="B1128" s="6">
        <f>C1128*180/PI()</f>
        <v>128.14152131753738</v>
      </c>
      <c r="C1128" s="3">
        <f>O1122+C1121</f>
        <v>2.2364914555055293</v>
      </c>
      <c r="E1128" s="11" t="s">
        <v>10</v>
      </c>
      <c r="F1128" s="1">
        <f>-B1129*COS(t.1)+a*COS(C1126)+b*COS(C1128)-c.*COS(t.4)</f>
        <v>9.0511565232883201E-3</v>
      </c>
      <c r="H1128" s="8" t="s">
        <v>7</v>
      </c>
      <c r="I1128" s="8" t="s">
        <v>9</v>
      </c>
      <c r="J1128" s="4"/>
      <c r="K1128" s="8" t="s">
        <v>7</v>
      </c>
      <c r="L1128" s="8" t="s">
        <v>9</v>
      </c>
      <c r="M1128" s="20"/>
      <c r="O1128" s="22"/>
    </row>
    <row r="1129" spans="1:15" x14ac:dyDescent="0.35">
      <c r="A1129" s="2" t="s">
        <v>9</v>
      </c>
      <c r="B1129" s="6">
        <f>O1123+B1122</f>
        <v>-1.7072952897560993</v>
      </c>
      <c r="C1129" s="3"/>
      <c r="E1129" s="11" t="s">
        <v>11</v>
      </c>
      <c r="F1129" s="1">
        <f>-B1129*SIN(t.1)+a*SIN(C1126)+b*SIN(C1128)-c.*SIN(t.4)</f>
        <v>-1.0508519294043062E-2</v>
      </c>
      <c r="H1129" s="3">
        <f>-b*SIN(C1128)</f>
        <v>-4.7189259571381408</v>
      </c>
      <c r="I1129" s="3">
        <f>-COS(t.1)</f>
        <v>-1</v>
      </c>
      <c r="J1129" s="4"/>
      <c r="K1129" s="3" cm="1">
        <f t="array" ref="K1129:L1130">MINVERSE(H1129:I1130)</f>
        <v>0</v>
      </c>
      <c r="L1129" s="3">
        <v>-0.26985921252647371</v>
      </c>
      <c r="M1129" s="3">
        <f>-F1128</f>
        <v>-9.0511565232883201E-3</v>
      </c>
      <c r="O1129" s="1" cm="1">
        <f t="array" ref="O1129:O1130">MMULT(K1129:L1130,M1129:M1130)</f>
        <v>-2.8358207415097162E-3</v>
      </c>
    </row>
    <row r="1130" spans="1:15" x14ac:dyDescent="0.35">
      <c r="H1130" s="3">
        <f>b*COS(C1128)</f>
        <v>-3.7056359523093843</v>
      </c>
      <c r="I1130" s="3">
        <f>-SIN(t.1)</f>
        <v>0</v>
      </c>
      <c r="J1130" s="4"/>
      <c r="K1130" s="3">
        <v>-1</v>
      </c>
      <c r="L1130" s="3">
        <v>1.273445642764035</v>
      </c>
      <c r="M1130" s="3">
        <f>-F1129</f>
        <v>1.0508519294043062E-2</v>
      </c>
      <c r="O1130" s="1">
        <v>2.243318463018925E-2</v>
      </c>
    </row>
    <row r="1132" spans="1:15" x14ac:dyDescent="0.35">
      <c r="A1132" s="9" t="s">
        <v>19</v>
      </c>
      <c r="C1132" s="2" t="s">
        <v>4</v>
      </c>
    </row>
    <row r="1133" spans="1:15" x14ac:dyDescent="0.35">
      <c r="A1133" s="2" t="s">
        <v>5</v>
      </c>
      <c r="B1133" s="6">
        <v>312</v>
      </c>
      <c r="C1133" s="3">
        <f>B1133*PI()/180</f>
        <v>5.4454272662223078</v>
      </c>
    </row>
    <row r="1134" spans="1:15" x14ac:dyDescent="0.35">
      <c r="A1134" s="4"/>
      <c r="B1134" s="4"/>
      <c r="C1134" s="1"/>
      <c r="H1134" s="18" t="s">
        <v>12</v>
      </c>
      <c r="I1134" s="18"/>
      <c r="J1134" s="4"/>
      <c r="K1134" s="18" t="s">
        <v>13</v>
      </c>
      <c r="L1134" s="18"/>
      <c r="M1134" s="19" t="s">
        <v>14</v>
      </c>
      <c r="O1134" s="21" t="s">
        <v>15</v>
      </c>
    </row>
    <row r="1135" spans="1:15" x14ac:dyDescent="0.35">
      <c r="A1135" s="2" t="s">
        <v>7</v>
      </c>
      <c r="B1135" s="6">
        <f>C1135*180/PI()</f>
        <v>127.97904075759321</v>
      </c>
      <c r="C1135" s="3">
        <f>O1129+C1128</f>
        <v>2.2336556347640197</v>
      </c>
      <c r="E1135" s="11" t="s">
        <v>10</v>
      </c>
      <c r="F1135" s="1">
        <f>-B1136*COS(t.1)+a*COS(C1133)+b*COS(C1135)-c.*COS(t.4)</f>
        <v>1.4882192400047579E-5</v>
      </c>
      <c r="H1135" s="8" t="s">
        <v>7</v>
      </c>
      <c r="I1135" s="8" t="s">
        <v>9</v>
      </c>
      <c r="J1135" s="4"/>
      <c r="K1135" s="8" t="s">
        <v>7</v>
      </c>
      <c r="L1135" s="8" t="s">
        <v>9</v>
      </c>
      <c r="M1135" s="20"/>
      <c r="O1135" s="22"/>
    </row>
    <row r="1136" spans="1:15" x14ac:dyDescent="0.35">
      <c r="A1136" s="2" t="s">
        <v>9</v>
      </c>
      <c r="B1136" s="6">
        <f>O1130+B1129</f>
        <v>-1.6848621051259101</v>
      </c>
      <c r="C1136" s="3"/>
      <c r="E1136" s="11" t="s">
        <v>11</v>
      </c>
      <c r="F1136" s="1">
        <f>-B1136*SIN(t.1)+a*SIN(C1133)+b*SIN(C1135)-c.*SIN(t.4)</f>
        <v>-1.8988588420754127E-5</v>
      </c>
      <c r="H1136" s="3">
        <f>-b*SIN(C1135)</f>
        <v>-4.7294154878437631</v>
      </c>
      <c r="I1136" s="3">
        <f>-COS(t.1)</f>
        <v>-1</v>
      </c>
      <c r="J1136" s="4"/>
      <c r="K1136" s="3" cm="1">
        <f t="array" ref="K1136:L1137">MINVERSE(H1136:I1137)</f>
        <v>0</v>
      </c>
      <c r="L1136" s="3">
        <v>-0.27083836897396341</v>
      </c>
      <c r="M1136" s="3">
        <f>-F1135</f>
        <v>-1.4882192400047579E-5</v>
      </c>
      <c r="O1136" s="1" cm="1">
        <f t="array" ref="O1136:O1137">MMULT(K1136:L1137,M1136:M1137)</f>
        <v>-5.1428383169949348E-6</v>
      </c>
    </row>
    <row r="1137" spans="1:15" x14ac:dyDescent="0.35">
      <c r="H1137" s="3">
        <f>b*COS(C1135)</f>
        <v>-3.6922390420100832</v>
      </c>
      <c r="I1137" s="3">
        <f>-SIN(t.1)</f>
        <v>0</v>
      </c>
      <c r="J1137" s="4"/>
      <c r="K1137" s="3">
        <v>-1</v>
      </c>
      <c r="L1137" s="3">
        <v>1.2809071769278062</v>
      </c>
      <c r="M1137" s="3">
        <f>-F1136</f>
        <v>1.8988588420754127E-5</v>
      </c>
      <c r="O1137" s="1">
        <v>3.920481158791978E-5</v>
      </c>
    </row>
    <row r="1139" spans="1:15" x14ac:dyDescent="0.35">
      <c r="A1139" s="9" t="s">
        <v>20</v>
      </c>
      <c r="C1139" s="2" t="s">
        <v>4</v>
      </c>
    </row>
    <row r="1140" spans="1:15" x14ac:dyDescent="0.35">
      <c r="A1140" s="2" t="s">
        <v>5</v>
      </c>
      <c r="B1140" s="6">
        <v>312</v>
      </c>
      <c r="C1140" s="3">
        <f>B1140*PI()/180</f>
        <v>5.4454272662223078</v>
      </c>
    </row>
    <row r="1141" spans="1:15" x14ac:dyDescent="0.35">
      <c r="A1141" s="4"/>
      <c r="B1141" s="4"/>
      <c r="C1141" s="1"/>
      <c r="H1141" s="18" t="s">
        <v>12</v>
      </c>
      <c r="I1141" s="18"/>
      <c r="J1141" s="4"/>
      <c r="K1141" s="18" t="s">
        <v>13</v>
      </c>
      <c r="L1141" s="18"/>
      <c r="M1141" s="19" t="s">
        <v>14</v>
      </c>
      <c r="O1141" s="21" t="s">
        <v>15</v>
      </c>
    </row>
    <row r="1142" spans="1:15" x14ac:dyDescent="0.35">
      <c r="A1142" s="2" t="s">
        <v>7</v>
      </c>
      <c r="B1142" s="6">
        <f>C1142*180/PI()</f>
        <v>127.97874609466294</v>
      </c>
      <c r="C1142" s="3">
        <f>O1136+C1135</f>
        <v>2.2336504919257028</v>
      </c>
      <c r="E1142" s="11" t="s">
        <v>10</v>
      </c>
      <c r="F1142" s="1">
        <f>-B1143*COS(t.1)+a*COS(C1140)+b*COS(C1142)-c.*COS(t.4)</f>
        <v>4.8827011390247671E-11</v>
      </c>
      <c r="H1142" s="8" t="s">
        <v>7</v>
      </c>
      <c r="I1142" s="8" t="s">
        <v>9</v>
      </c>
      <c r="J1142" s="4"/>
      <c r="K1142" s="8" t="s">
        <v>7</v>
      </c>
      <c r="L1142" s="8" t="s">
        <v>9</v>
      </c>
      <c r="M1142" s="20"/>
      <c r="O1142" s="22"/>
    </row>
    <row r="1143" spans="1:15" x14ac:dyDescent="0.35">
      <c r="A1143" s="2" t="s">
        <v>9</v>
      </c>
      <c r="B1143" s="6">
        <f>O1137+B1136</f>
        <v>-1.6848229003143222</v>
      </c>
      <c r="C1143" s="3"/>
      <c r="E1143" s="11" t="s">
        <v>11</v>
      </c>
      <c r="F1143" s="1">
        <f>-B1143*SIN(t.1)+a*SIN(C1140)+b*SIN(C1142)-c.*SIN(t.4)</f>
        <v>-6.2543747958443419E-11</v>
      </c>
      <c r="H1143" s="3">
        <f>-b*SIN(C1142)</f>
        <v>-4.7294344763696401</v>
      </c>
      <c r="I1143" s="3">
        <f>-COS(B1100)</f>
        <v>0.76553350982730095</v>
      </c>
      <c r="J1143" s="4"/>
      <c r="K1143" s="3" cm="1">
        <f t="array" ref="K1143:L1144">MINVERSE(H1143:I1144)</f>
        <v>-0.10961845373047127</v>
      </c>
      <c r="L1143" s="3">
        <v>-0.13042760031209436</v>
      </c>
      <c r="M1143" s="3">
        <f>-F1142</f>
        <v>-4.8827011390247671E-11</v>
      </c>
      <c r="O1143" s="1" cm="1">
        <f t="array" ref="O1143:O1144">MMULT(K1143:L1144,M1143:M1144)</f>
        <v>-2.8050894718651674E-12</v>
      </c>
    </row>
    <row r="1144" spans="1:15" x14ac:dyDescent="0.35">
      <c r="H1144" s="3">
        <f>b*COS(C1142)</f>
        <v>-3.6922147193420685</v>
      </c>
      <c r="I1144" s="3">
        <f>-SIN(B1100)</f>
        <v>-0.64339602526864714</v>
      </c>
      <c r="J1144" s="4"/>
      <c r="K1144" s="3">
        <v>0.62906025601598692</v>
      </c>
      <c r="L1144" s="3">
        <v>-0.80577633985654729</v>
      </c>
      <c r="M1144" s="3">
        <f>-F1143</f>
        <v>6.2543747958443419E-11</v>
      </c>
      <c r="O1144" s="1">
        <v>-8.1111404596509642E-11</v>
      </c>
    </row>
    <row r="1146" spans="1:15" x14ac:dyDescent="0.35">
      <c r="A1146" s="9" t="s">
        <v>6</v>
      </c>
      <c r="C1146" s="2" t="s">
        <v>4</v>
      </c>
    </row>
    <row r="1147" spans="1:15" x14ac:dyDescent="0.35">
      <c r="A1147" s="2" t="s">
        <v>5</v>
      </c>
      <c r="B1147" s="6">
        <v>0</v>
      </c>
      <c r="C1147" s="3">
        <f>B1147*PI()/180</f>
        <v>0</v>
      </c>
    </row>
    <row r="1148" spans="1:15" x14ac:dyDescent="0.35">
      <c r="A1148" s="4"/>
      <c r="B1148" s="4"/>
      <c r="C1148" s="1"/>
      <c r="H1148" s="18" t="s">
        <v>12</v>
      </c>
      <c r="I1148" s="18"/>
      <c r="J1148" s="4"/>
      <c r="K1148" s="18" t="s">
        <v>13</v>
      </c>
      <c r="L1148" s="18"/>
      <c r="M1148" s="19" t="s">
        <v>14</v>
      </c>
      <c r="O1148" s="21" t="s">
        <v>15</v>
      </c>
    </row>
    <row r="1149" spans="1:15" x14ac:dyDescent="0.35">
      <c r="A1149" s="2" t="s">
        <v>7</v>
      </c>
      <c r="B1149" s="6">
        <v>110</v>
      </c>
      <c r="C1149" s="3">
        <f>B1149*PI()/180</f>
        <v>1.9198621771937625</v>
      </c>
      <c r="E1149" s="11" t="s">
        <v>10</v>
      </c>
      <c r="F1149" s="1">
        <f>-B1150*COS(t.1)+a*COS(C1147)+b*COS(C1149)-c.*COS(t.4)</f>
        <v>-5.0521208599540124</v>
      </c>
      <c r="H1149" s="8" t="s">
        <v>7</v>
      </c>
      <c r="I1149" s="8" t="s">
        <v>9</v>
      </c>
      <c r="J1149" s="4"/>
      <c r="K1149" s="8" t="s">
        <v>7</v>
      </c>
      <c r="L1149" s="8" t="s">
        <v>9</v>
      </c>
      <c r="M1149" s="20"/>
      <c r="O1149" s="22"/>
    </row>
    <row r="1150" spans="1:15" x14ac:dyDescent="0.35">
      <c r="A1150" s="2" t="s">
        <v>9</v>
      </c>
      <c r="B1150" s="6">
        <v>6</v>
      </c>
      <c r="C1150" s="3"/>
      <c r="E1150" s="11" t="s">
        <v>11</v>
      </c>
      <c r="F1150" s="1">
        <f>-B1150*SIN(t.1)+a*SIN(C1147)+b*SIN(C1149)-c.*SIN(t.4)</f>
        <v>3.1381557247154506</v>
      </c>
      <c r="H1150" s="3">
        <f>-b*SIN(C1149)</f>
        <v>-5.6381557247154506</v>
      </c>
      <c r="I1150" s="3">
        <f>-COS(t.1)</f>
        <v>-1</v>
      </c>
      <c r="J1150" s="4"/>
      <c r="K1150" s="3" cm="1">
        <f t="array" ref="K1150:L1151">MINVERSE(H1150:I1151)</f>
        <v>0</v>
      </c>
      <c r="L1150" s="3">
        <v>-0.48730073336051455</v>
      </c>
      <c r="M1150" s="3">
        <f>-F1149</f>
        <v>5.0521208599540124</v>
      </c>
      <c r="O1150" s="1" cm="1">
        <f t="array" ref="O1150:O1151">MMULT(K1150:L1151,M1150:M1151)</f>
        <v>1.5292255860533361</v>
      </c>
    </row>
    <row r="1151" spans="1:15" x14ac:dyDescent="0.35">
      <c r="H1151" s="3">
        <f>b*COS(C1149)</f>
        <v>-2.0521208599540124</v>
      </c>
      <c r="I1151" s="3">
        <f>-SIN(t.1)</f>
        <v>0</v>
      </c>
      <c r="J1151" s="4"/>
      <c r="K1151" s="3">
        <v>-1</v>
      </c>
      <c r="L1151" s="3">
        <v>2.7474774194546225</v>
      </c>
      <c r="M1151" s="3">
        <f>-F1150</f>
        <v>-3.1381557247154506</v>
      </c>
      <c r="O1151" s="1">
        <v>-13.67413285234197</v>
      </c>
    </row>
    <row r="1153" spans="1:15" x14ac:dyDescent="0.35">
      <c r="A1153" s="9" t="s">
        <v>16</v>
      </c>
      <c r="C1153" s="2" t="s">
        <v>4</v>
      </c>
    </row>
    <row r="1154" spans="1:15" x14ac:dyDescent="0.35">
      <c r="A1154" s="2" t="s">
        <v>5</v>
      </c>
      <c r="B1154" s="6">
        <v>324</v>
      </c>
      <c r="C1154" s="3">
        <f>B1154*PI()/180</f>
        <v>5.6548667764616276</v>
      </c>
    </row>
    <row r="1155" spans="1:15" x14ac:dyDescent="0.35">
      <c r="A1155" s="4"/>
      <c r="B1155" s="4"/>
      <c r="C1155" s="1"/>
      <c r="H1155" s="18" t="s">
        <v>12</v>
      </c>
      <c r="I1155" s="18"/>
      <c r="J1155" s="4"/>
      <c r="K1155" s="18" t="s">
        <v>13</v>
      </c>
      <c r="L1155" s="18"/>
      <c r="M1155" s="19" t="s">
        <v>14</v>
      </c>
      <c r="O1155" s="21" t="s">
        <v>15</v>
      </c>
    </row>
    <row r="1156" spans="1:15" x14ac:dyDescent="0.35">
      <c r="A1156" s="2" t="s">
        <v>7</v>
      </c>
      <c r="B1156" s="6">
        <f>C1156*180/PI()</f>
        <v>197.61817200427606</v>
      </c>
      <c r="C1156" s="3">
        <f>O1150+C1149</f>
        <v>3.4490877632470989</v>
      </c>
      <c r="E1156" s="11" t="s">
        <v>10</v>
      </c>
      <c r="F1156" s="1">
        <f>-B1157*COS(t.1)+a*COS(C1154)+b*COS(C1156)-c.*COS(t.4)</f>
        <v>4.3826155165247522</v>
      </c>
      <c r="H1156" s="8" t="s">
        <v>7</v>
      </c>
      <c r="I1156" s="8" t="s">
        <v>9</v>
      </c>
      <c r="J1156" s="4"/>
      <c r="K1156" s="8" t="s">
        <v>7</v>
      </c>
      <c r="L1156" s="8" t="s">
        <v>9</v>
      </c>
      <c r="M1156" s="20"/>
      <c r="O1156" s="22"/>
    </row>
    <row r="1157" spans="1:15" x14ac:dyDescent="0.35">
      <c r="A1157" s="2" t="s">
        <v>9</v>
      </c>
      <c r="B1157" s="6">
        <f>O1151+B1150</f>
        <v>-7.6741328523419696</v>
      </c>
      <c r="C1157" s="3"/>
      <c r="E1157" s="11" t="s">
        <v>11</v>
      </c>
      <c r="F1157" s="1">
        <f>-B1157*SIN(t.1)+a*SIN(C1154)+b*SIN(C1156)-c.*SIN(t.4)</f>
        <v>-6.0793889012864639</v>
      </c>
      <c r="H1157" s="3">
        <f>-b*SIN(C1156)</f>
        <v>1.8160331444090434</v>
      </c>
      <c r="I1157" s="3">
        <f>-COS(t.1)</f>
        <v>-1</v>
      </c>
      <c r="J1157" s="4"/>
      <c r="K1157" s="3" cm="1">
        <f t="array" ref="K1157:L1158">MINVERSE(H1157:I1158)</f>
        <v>0</v>
      </c>
      <c r="L1157" s="3">
        <v>-0.1748689434534903</v>
      </c>
      <c r="M1157" s="3">
        <f>-F1156</f>
        <v>-4.3826155165247522</v>
      </c>
      <c r="O1157" s="1" cm="1">
        <f t="array" ref="O1157:O1158">MMULT(K1157:L1158,M1157:M1158)</f>
        <v>-1.0630963140108391</v>
      </c>
    </row>
    <row r="1158" spans="1:15" x14ac:dyDescent="0.35">
      <c r="H1158" s="3">
        <f>b*COS(C1156)</f>
        <v>-5.7185683189420589</v>
      </c>
      <c r="I1158" s="3">
        <f>-SIN(t.1)</f>
        <v>0</v>
      </c>
      <c r="J1158" s="4"/>
      <c r="K1158" s="3">
        <v>-1</v>
      </c>
      <c r="L1158" s="3">
        <v>-0.31756779723932921</v>
      </c>
      <c r="M1158" s="3">
        <f>-F1157</f>
        <v>6.0793889012864639</v>
      </c>
      <c r="O1158" s="1">
        <v>2.4519973745819841</v>
      </c>
    </row>
    <row r="1160" spans="1:15" x14ac:dyDescent="0.35">
      <c r="A1160" s="9" t="s">
        <v>17</v>
      </c>
      <c r="C1160" s="2" t="s">
        <v>4</v>
      </c>
    </row>
    <row r="1161" spans="1:15" x14ac:dyDescent="0.35">
      <c r="A1161" s="2" t="s">
        <v>5</v>
      </c>
      <c r="B1161" s="6">
        <v>324</v>
      </c>
      <c r="C1161" s="3">
        <f>B1161*PI()/180</f>
        <v>5.6548667764616276</v>
      </c>
    </row>
    <row r="1162" spans="1:15" x14ac:dyDescent="0.35">
      <c r="A1162" s="4"/>
      <c r="B1162" s="4"/>
      <c r="C1162" s="1"/>
      <c r="H1162" s="18" t="s">
        <v>12</v>
      </c>
      <c r="I1162" s="18"/>
      <c r="J1162" s="4"/>
      <c r="K1162" s="18" t="s">
        <v>13</v>
      </c>
      <c r="L1162" s="18"/>
      <c r="M1162" s="19" t="s">
        <v>14</v>
      </c>
      <c r="O1162" s="21" t="s">
        <v>15</v>
      </c>
    </row>
    <row r="1163" spans="1:15" x14ac:dyDescent="0.35">
      <c r="A1163" s="2" t="s">
        <v>7</v>
      </c>
      <c r="B1163" s="6">
        <f>C1163*180/PI()</f>
        <v>136.70723999554048</v>
      </c>
      <c r="C1163" s="3">
        <f>O1157+C1156</f>
        <v>2.3859914492362595</v>
      </c>
      <c r="E1163" s="11" t="s">
        <v>10</v>
      </c>
      <c r="F1163" s="1">
        <f>-B1164*COS(t.1)+a*COS(C1161)+b*COS(C1163)-c.*COS(t.4)</f>
        <v>3.2820299825198909</v>
      </c>
      <c r="H1163" s="8" t="s">
        <v>7</v>
      </c>
      <c r="I1163" s="8" t="s">
        <v>9</v>
      </c>
      <c r="J1163" s="4"/>
      <c r="K1163" s="8" t="s">
        <v>7</v>
      </c>
      <c r="L1163" s="8" t="s">
        <v>9</v>
      </c>
      <c r="M1163" s="20"/>
      <c r="O1163" s="22"/>
    </row>
    <row r="1164" spans="1:15" x14ac:dyDescent="0.35">
      <c r="A1164" s="2" t="s">
        <v>9</v>
      </c>
      <c r="B1164" s="6">
        <f>O1158+B1157</f>
        <v>-5.222135477759986</v>
      </c>
      <c r="C1164" s="3"/>
      <c r="E1164" s="11" t="s">
        <v>11</v>
      </c>
      <c r="F1164" s="1">
        <f>-B1164*SIN(t.1)+a*SIN(C1161)+b*SIN(C1163)-c.*SIN(t.4)</f>
        <v>-0.14899744804295878</v>
      </c>
      <c r="H1164" s="3">
        <f>-b*SIN(C1163)</f>
        <v>-4.1143583088344613</v>
      </c>
      <c r="I1164" s="3">
        <f>-COS(t.1)</f>
        <v>-1</v>
      </c>
      <c r="J1164" s="4"/>
      <c r="K1164" s="3" cm="1">
        <f t="array" ref="K1164:L1165">MINVERSE(H1164:I1165)</f>
        <v>0</v>
      </c>
      <c r="L1164" s="3">
        <v>-0.22898194854112486</v>
      </c>
      <c r="M1164" s="3">
        <f>-F1163</f>
        <v>-3.2820299825198909</v>
      </c>
      <c r="O1164" s="1" cm="1">
        <f t="array" ref="O1164:O1165">MMULT(K1164:L1165,M1164:M1165)</f>
        <v>-3.4117725980531713E-2</v>
      </c>
    </row>
    <row r="1165" spans="1:15" x14ac:dyDescent="0.35">
      <c r="H1165" s="3">
        <f>b*COS(C1163)</f>
        <v>-4.3671564783649366</v>
      </c>
      <c r="I1165" s="3">
        <f>-SIN(t.1)</f>
        <v>0</v>
      </c>
      <c r="J1165" s="4"/>
      <c r="K1165" s="3">
        <v>-1</v>
      </c>
      <c r="L1165" s="3">
        <v>0.94211378255328215</v>
      </c>
      <c r="M1165" s="3">
        <f>-F1164</f>
        <v>0.14899744804295878</v>
      </c>
      <c r="O1165" s="1">
        <v>3.4224025318864291</v>
      </c>
    </row>
    <row r="1167" spans="1:15" x14ac:dyDescent="0.35">
      <c r="A1167" s="9" t="s">
        <v>18</v>
      </c>
      <c r="C1167" s="2" t="s">
        <v>4</v>
      </c>
    </row>
    <row r="1168" spans="1:15" x14ac:dyDescent="0.35">
      <c r="A1168" s="2" t="s">
        <v>5</v>
      </c>
      <c r="B1168" s="6">
        <v>324</v>
      </c>
      <c r="C1168" s="3">
        <f>B1168*PI()/180</f>
        <v>5.6548667764616276</v>
      </c>
    </row>
    <row r="1169" spans="1:15" x14ac:dyDescent="0.35">
      <c r="A1169" s="4"/>
      <c r="B1169" s="4"/>
      <c r="C1169" s="1"/>
      <c r="H1169" s="18" t="s">
        <v>12</v>
      </c>
      <c r="I1169" s="18"/>
      <c r="J1169" s="4"/>
      <c r="K1169" s="18" t="s">
        <v>13</v>
      </c>
      <c r="L1169" s="18"/>
      <c r="M1169" s="19" t="s">
        <v>14</v>
      </c>
      <c r="O1169" s="21" t="s">
        <v>15</v>
      </c>
    </row>
    <row r="1170" spans="1:15" x14ac:dyDescent="0.35">
      <c r="A1170" s="2" t="s">
        <v>7</v>
      </c>
      <c r="B1170" s="6">
        <f>C1170*180/PI()</f>
        <v>134.75243829027218</v>
      </c>
      <c r="C1170" s="3">
        <f>O1164+C1163</f>
        <v>2.3518737232557276</v>
      </c>
      <c r="E1170" s="11" t="s">
        <v>10</v>
      </c>
      <c r="F1170" s="1">
        <f>-B1171*COS(t.1)+a*COS(C1168)+b*COS(C1170)-c.*COS(t.4)</f>
        <v>2.5142493705832681E-3</v>
      </c>
      <c r="H1170" s="8" t="s">
        <v>7</v>
      </c>
      <c r="I1170" s="8" t="s">
        <v>9</v>
      </c>
      <c r="J1170" s="4"/>
      <c r="K1170" s="8" t="s">
        <v>7</v>
      </c>
      <c r="L1170" s="8" t="s">
        <v>9</v>
      </c>
      <c r="M1170" s="20"/>
      <c r="O1170" s="22"/>
    </row>
    <row r="1171" spans="1:15" x14ac:dyDescent="0.35">
      <c r="A1171" s="2" t="s">
        <v>9</v>
      </c>
      <c r="B1171" s="6">
        <f>O1165+B1164</f>
        <v>-1.7997329458735569</v>
      </c>
      <c r="C1171" s="3"/>
      <c r="E1171" s="11" t="s">
        <v>11</v>
      </c>
      <c r="F1171" s="1">
        <f>-B1171*SIN(t.1)+a*SIN(C1168)+b*SIN(C1170)-c.*SIN(t.4)</f>
        <v>-2.4232681166438397E-3</v>
      </c>
      <c r="H1171" s="3">
        <f>-b*SIN(C1170)</f>
        <v>-4.2609324887607762</v>
      </c>
      <c r="I1171" s="3">
        <f>-COS(t.1)</f>
        <v>-1</v>
      </c>
      <c r="J1171" s="4"/>
      <c r="K1171" s="3" cm="1">
        <f t="array" ref="K1171:L1172">MINVERSE(H1171:I1172)</f>
        <v>0</v>
      </c>
      <c r="L1171" s="3">
        <v>-0.23672731047988066</v>
      </c>
      <c r="M1171" s="3">
        <f>-F1170</f>
        <v>-2.5142493705832681E-3</v>
      </c>
      <c r="O1171" s="1" cm="1">
        <f t="array" ref="O1171:O1172">MMULT(K1171:L1172,M1171:M1172)</f>
        <v>-5.7365374382474185E-4</v>
      </c>
    </row>
    <row r="1172" spans="1:15" x14ac:dyDescent="0.35">
      <c r="H1172" s="3">
        <f>b*COS(C1170)</f>
        <v>-4.2242696796278159</v>
      </c>
      <c r="I1172" s="3">
        <f>-SIN(t.1)</f>
        <v>0</v>
      </c>
      <c r="J1172" s="4"/>
      <c r="K1172" s="3">
        <v>-1</v>
      </c>
      <c r="L1172" s="3">
        <v>1.0086790882006829</v>
      </c>
      <c r="M1172" s="3">
        <f>-F1171</f>
        <v>2.4232681166438397E-3</v>
      </c>
      <c r="O1172" s="1">
        <v>4.9585492449453622E-3</v>
      </c>
    </row>
    <row r="1174" spans="1:15" x14ac:dyDescent="0.35">
      <c r="A1174" s="9" t="s">
        <v>19</v>
      </c>
      <c r="C1174" s="2" t="s">
        <v>4</v>
      </c>
    </row>
    <row r="1175" spans="1:15" x14ac:dyDescent="0.35">
      <c r="A1175" s="2" t="s">
        <v>5</v>
      </c>
      <c r="B1175" s="6">
        <v>324</v>
      </c>
      <c r="C1175" s="3">
        <f>B1175*PI()/180</f>
        <v>5.6548667764616276</v>
      </c>
    </row>
    <row r="1176" spans="1:15" x14ac:dyDescent="0.35">
      <c r="A1176" s="4"/>
      <c r="B1176" s="4"/>
      <c r="C1176" s="1"/>
      <c r="H1176" s="18" t="s">
        <v>12</v>
      </c>
      <c r="I1176" s="18"/>
      <c r="J1176" s="4"/>
      <c r="K1176" s="18" t="s">
        <v>13</v>
      </c>
      <c r="L1176" s="18"/>
      <c r="M1176" s="19" t="s">
        <v>14</v>
      </c>
      <c r="O1176" s="21" t="s">
        <v>15</v>
      </c>
    </row>
    <row r="1177" spans="1:15" x14ac:dyDescent="0.35">
      <c r="A1177" s="2" t="s">
        <v>7</v>
      </c>
      <c r="B1177" s="6">
        <f>C1177*180/PI()</f>
        <v>134.71957035184914</v>
      </c>
      <c r="C1177" s="3">
        <f>O1171+C1170</f>
        <v>2.3513000695119031</v>
      </c>
      <c r="E1177" s="11" t="s">
        <v>10</v>
      </c>
      <c r="F1177" s="1">
        <f>-B1178*COS(t.1)+a*COS(C1175)+b*COS(C1177)-c.*COS(t.4)</f>
        <v>6.9492433214752907E-7</v>
      </c>
      <c r="H1177" s="8" t="s">
        <v>7</v>
      </c>
      <c r="I1177" s="8" t="s">
        <v>9</v>
      </c>
      <c r="J1177" s="4"/>
      <c r="K1177" s="8" t="s">
        <v>7</v>
      </c>
      <c r="L1177" s="8" t="s">
        <v>9</v>
      </c>
      <c r="M1177" s="20"/>
      <c r="O1177" s="22"/>
    </row>
    <row r="1178" spans="1:15" x14ac:dyDescent="0.35">
      <c r="A1178" s="2" t="s">
        <v>9</v>
      </c>
      <c r="B1178" s="6">
        <f>O1172+B1171</f>
        <v>-1.7947743966286116</v>
      </c>
      <c r="C1178" s="3"/>
      <c r="E1178" s="11" t="s">
        <v>11</v>
      </c>
      <c r="F1178" s="1">
        <f>-B1178*SIN(t.1)+a*SIN(C1175)+b*SIN(C1177)-c.*SIN(t.4)</f>
        <v>-7.012237750458894E-7</v>
      </c>
      <c r="H1178" s="3">
        <f>-b*SIN(C1177)</f>
        <v>-4.263355055653645</v>
      </c>
      <c r="I1178" s="3">
        <f>-COS(t.1)</f>
        <v>-1</v>
      </c>
      <c r="J1178" s="4"/>
      <c r="K1178" s="3" cm="1">
        <f t="array" ref="K1178:L1179">MINVERSE(H1178:I1179)</f>
        <v>0</v>
      </c>
      <c r="L1178" s="3">
        <v>-0.23686440689814556</v>
      </c>
      <c r="M1178" s="3">
        <f>-F1177</f>
        <v>-6.9492433214752907E-7</v>
      </c>
      <c r="O1178" s="1" cm="1">
        <f t="array" ref="O1178:O1179">MMULT(K1178:L1179,M1178:M1179)</f>
        <v>-1.6609495357912322E-7</v>
      </c>
    </row>
    <row r="1179" spans="1:15" x14ac:dyDescent="0.35">
      <c r="H1179" s="3">
        <f>b*COS(C1177)</f>
        <v>-4.2218246848291212</v>
      </c>
      <c r="I1179" s="3">
        <f>-SIN(t.1)</f>
        <v>0</v>
      </c>
      <c r="J1179" s="4"/>
      <c r="K1179" s="3">
        <v>-1</v>
      </c>
      <c r="L1179" s="3">
        <v>1.0098370666536109</v>
      </c>
      <c r="M1179" s="3">
        <f>-F1178</f>
        <v>7.012237750458894E-7</v>
      </c>
      <c r="O1179" s="1">
        <v>1.4030460922076415E-6</v>
      </c>
    </row>
    <row r="1181" spans="1:15" x14ac:dyDescent="0.35">
      <c r="A1181" s="9" t="s">
        <v>20</v>
      </c>
      <c r="C1181" s="2" t="s">
        <v>4</v>
      </c>
    </row>
    <row r="1182" spans="1:15" x14ac:dyDescent="0.35">
      <c r="A1182" s="2" t="s">
        <v>5</v>
      </c>
      <c r="B1182" s="6">
        <v>324</v>
      </c>
      <c r="C1182" s="3">
        <f>B1182*PI()/180</f>
        <v>5.6548667764616276</v>
      </c>
    </row>
    <row r="1183" spans="1:15" x14ac:dyDescent="0.35">
      <c r="A1183" s="4"/>
      <c r="B1183" s="4"/>
      <c r="C1183" s="1"/>
      <c r="H1183" s="18" t="s">
        <v>12</v>
      </c>
      <c r="I1183" s="18"/>
      <c r="J1183" s="4"/>
      <c r="K1183" s="18" t="s">
        <v>13</v>
      </c>
      <c r="L1183" s="18"/>
      <c r="M1183" s="19" t="s">
        <v>14</v>
      </c>
      <c r="O1183" s="21" t="s">
        <v>15</v>
      </c>
    </row>
    <row r="1184" spans="1:15" x14ac:dyDescent="0.35">
      <c r="A1184" s="2" t="s">
        <v>7</v>
      </c>
      <c r="B1184" s="6">
        <f>C1184*180/PI()</f>
        <v>134.7195608353093</v>
      </c>
      <c r="C1184" s="3">
        <f>O1178+C1177</f>
        <v>2.3512999034169493</v>
      </c>
      <c r="E1184" s="11" t="s">
        <v>10</v>
      </c>
      <c r="F1184" s="1">
        <f>-B1185*COS(t.1)+a*COS(C1182)+b*COS(C1184)-c.*COS(t.4)</f>
        <v>5.8466632143344688E-14</v>
      </c>
      <c r="H1184" s="8" t="s">
        <v>7</v>
      </c>
      <c r="I1184" s="8" t="s">
        <v>9</v>
      </c>
      <c r="J1184" s="4"/>
      <c r="K1184" s="8" t="s">
        <v>7</v>
      </c>
      <c r="L1184" s="8" t="s">
        <v>9</v>
      </c>
      <c r="M1184" s="20"/>
      <c r="O1184" s="22"/>
    </row>
    <row r="1185" spans="1:15" x14ac:dyDescent="0.35">
      <c r="A1185" s="2" t="s">
        <v>9</v>
      </c>
      <c r="B1185" s="6">
        <f>O1179+B1178</f>
        <v>-1.7947729935825194</v>
      </c>
      <c r="C1185" s="3"/>
      <c r="E1185" s="11" t="s">
        <v>11</v>
      </c>
      <c r="F1185" s="1">
        <f>-B1185*SIN(t.1)+a*SIN(C1182)+b*SIN(C1184)-c.*SIN(t.4)</f>
        <v>-5.8619775700208265E-14</v>
      </c>
      <c r="H1185" s="3">
        <f>-b*SIN(C1184)</f>
        <v>-4.2633557568773615</v>
      </c>
      <c r="I1185" s="3">
        <f>-COS(B1142)</f>
        <v>0.67741561392932914</v>
      </c>
      <c r="J1185" s="4"/>
      <c r="K1185" s="3" cm="1">
        <f t="array" ref="K1185:L1186">MINVERSE(H1185:I1186)</f>
        <v>-0.12268072274483813</v>
      </c>
      <c r="L1185" s="3">
        <v>-0.11297686427938608</v>
      </c>
      <c r="M1185" s="3">
        <f>-F1184</f>
        <v>-5.8466632143344688E-14</v>
      </c>
      <c r="O1185" s="1" cm="1">
        <f t="array" ref="O1185:O1186">MMULT(K1185:L1186,M1185:M1186)</f>
        <v>5.5005024443162758E-16</v>
      </c>
    </row>
    <row r="1186" spans="1:15" x14ac:dyDescent="0.35">
      <c r="H1186" s="3">
        <f>b*COS(C1184)</f>
        <v>-4.2218239767073023</v>
      </c>
      <c r="I1186" s="3">
        <f>-SIN(B1142)</f>
        <v>-0.73560049347777778</v>
      </c>
      <c r="J1186" s="4"/>
      <c r="K1186" s="3">
        <v>0.70410014859456471</v>
      </c>
      <c r="L1186" s="3">
        <v>-0.71102666489426658</v>
      </c>
      <c r="M1186" s="3">
        <f>-F1185</f>
        <v>5.8619775700208265E-14</v>
      </c>
      <c r="O1186" s="1">
        <v>-8.2846587992921801E-14</v>
      </c>
    </row>
    <row r="1188" spans="1:15" x14ac:dyDescent="0.35">
      <c r="A1188" s="9" t="s">
        <v>6</v>
      </c>
      <c r="C1188" s="2" t="s">
        <v>4</v>
      </c>
    </row>
    <row r="1189" spans="1:15" x14ac:dyDescent="0.35">
      <c r="A1189" s="2" t="s">
        <v>5</v>
      </c>
      <c r="B1189" s="6">
        <v>0</v>
      </c>
      <c r="C1189" s="3">
        <f>B1189*PI()/180</f>
        <v>0</v>
      </c>
    </row>
    <row r="1190" spans="1:15" x14ac:dyDescent="0.35">
      <c r="A1190" s="4"/>
      <c r="B1190" s="4"/>
      <c r="C1190" s="1"/>
      <c r="H1190" s="18" t="s">
        <v>12</v>
      </c>
      <c r="I1190" s="18"/>
      <c r="J1190" s="4"/>
      <c r="K1190" s="18" t="s">
        <v>13</v>
      </c>
      <c r="L1190" s="18"/>
      <c r="M1190" s="19" t="s">
        <v>14</v>
      </c>
      <c r="O1190" s="21" t="s">
        <v>15</v>
      </c>
    </row>
    <row r="1191" spans="1:15" x14ac:dyDescent="0.35">
      <c r="A1191" s="2" t="s">
        <v>7</v>
      </c>
      <c r="B1191" s="6">
        <v>110</v>
      </c>
      <c r="C1191" s="3">
        <f>B1191*PI()/180</f>
        <v>1.9198621771937625</v>
      </c>
      <c r="E1191" s="11" t="s">
        <v>10</v>
      </c>
      <c r="F1191" s="1">
        <f>-B1192*COS(t.1)+a*COS(C1189)+b*COS(C1191)-c.*COS(t.4)</f>
        <v>-5.0521208599540124</v>
      </c>
      <c r="H1191" s="8" t="s">
        <v>7</v>
      </c>
      <c r="I1191" s="8" t="s">
        <v>9</v>
      </c>
      <c r="J1191" s="4"/>
      <c r="K1191" s="8" t="s">
        <v>7</v>
      </c>
      <c r="L1191" s="8" t="s">
        <v>9</v>
      </c>
      <c r="M1191" s="20"/>
      <c r="O1191" s="22"/>
    </row>
    <row r="1192" spans="1:15" x14ac:dyDescent="0.35">
      <c r="A1192" s="2" t="s">
        <v>9</v>
      </c>
      <c r="B1192" s="6">
        <v>6</v>
      </c>
      <c r="C1192" s="3"/>
      <c r="E1192" s="11" t="s">
        <v>11</v>
      </c>
      <c r="F1192" s="1">
        <f>-B1192*SIN(t.1)+a*SIN(C1189)+b*SIN(C1191)-c.*SIN(t.4)</f>
        <v>3.1381557247154506</v>
      </c>
      <c r="H1192" s="3">
        <f>-b*SIN(C1191)</f>
        <v>-5.6381557247154506</v>
      </c>
      <c r="I1192" s="3">
        <f>-COS(t.1)</f>
        <v>-1</v>
      </c>
      <c r="J1192" s="4"/>
      <c r="K1192" s="3" cm="1">
        <f t="array" ref="K1192:L1193">MINVERSE(H1192:I1193)</f>
        <v>0</v>
      </c>
      <c r="L1192" s="3">
        <v>-0.48730073336051455</v>
      </c>
      <c r="M1192" s="3">
        <f>-F1191</f>
        <v>5.0521208599540124</v>
      </c>
      <c r="O1192" s="1" cm="1">
        <f t="array" ref="O1192:O1193">MMULT(K1192:L1193,M1192:M1193)</f>
        <v>1.5292255860533361</v>
      </c>
    </row>
    <row r="1193" spans="1:15" x14ac:dyDescent="0.35">
      <c r="H1193" s="3">
        <f>b*COS(C1191)</f>
        <v>-2.0521208599540124</v>
      </c>
      <c r="I1193" s="3">
        <f>-SIN(t.1)</f>
        <v>0</v>
      </c>
      <c r="J1193" s="4"/>
      <c r="K1193" s="3">
        <v>-1</v>
      </c>
      <c r="L1193" s="3">
        <v>2.7474774194546225</v>
      </c>
      <c r="M1193" s="3">
        <f>-F1192</f>
        <v>-3.1381557247154506</v>
      </c>
      <c r="O1193" s="1">
        <v>-13.67413285234197</v>
      </c>
    </row>
    <row r="1195" spans="1:15" x14ac:dyDescent="0.35">
      <c r="A1195" s="9" t="s">
        <v>16</v>
      </c>
      <c r="C1195" s="2" t="s">
        <v>4</v>
      </c>
    </row>
    <row r="1196" spans="1:15" x14ac:dyDescent="0.35">
      <c r="A1196" s="2" t="s">
        <v>5</v>
      </c>
      <c r="B1196" s="6">
        <v>336</v>
      </c>
      <c r="C1196" s="3">
        <f>B1196*PI()/180</f>
        <v>5.8643062867009474</v>
      </c>
    </row>
    <row r="1197" spans="1:15" x14ac:dyDescent="0.35">
      <c r="A1197" s="4"/>
      <c r="B1197" s="4"/>
      <c r="C1197" s="1"/>
      <c r="H1197" s="18" t="s">
        <v>12</v>
      </c>
      <c r="I1197" s="18"/>
      <c r="J1197" s="4"/>
      <c r="K1197" s="18" t="s">
        <v>13</v>
      </c>
      <c r="L1197" s="18"/>
      <c r="M1197" s="19" t="s">
        <v>14</v>
      </c>
      <c r="O1197" s="21" t="s">
        <v>15</v>
      </c>
    </row>
    <row r="1198" spans="1:15" x14ac:dyDescent="0.35">
      <c r="A1198" s="2" t="s">
        <v>7</v>
      </c>
      <c r="B1198" s="6">
        <f>C1198*180/PI()</f>
        <v>197.61817200427606</v>
      </c>
      <c r="C1198" s="3">
        <f>O1192+C1191</f>
        <v>3.4490877632470989</v>
      </c>
      <c r="E1198" s="11" t="s">
        <v>10</v>
      </c>
      <c r="F1198" s="1">
        <f>-B1199*COS(t.1)+a*COS(C1196)+b*COS(C1198)-c.*COS(t.4)</f>
        <v>4.6962009063277135</v>
      </c>
      <c r="H1198" s="8" t="s">
        <v>7</v>
      </c>
      <c r="I1198" s="8" t="s">
        <v>9</v>
      </c>
      <c r="J1198" s="4"/>
      <c r="K1198" s="8" t="s">
        <v>7</v>
      </c>
      <c r="L1198" s="8" t="s">
        <v>9</v>
      </c>
      <c r="M1198" s="20"/>
      <c r="O1198" s="22"/>
    </row>
    <row r="1199" spans="1:15" x14ac:dyDescent="0.35">
      <c r="A1199" s="2" t="s">
        <v>9</v>
      </c>
      <c r="B1199" s="6">
        <f>O1193+B1192</f>
        <v>-7.6741328523419696</v>
      </c>
      <c r="C1199" s="3"/>
      <c r="E1199" s="11" t="s">
        <v>11</v>
      </c>
      <c r="F1199" s="1">
        <f>-B1199*SIN(t.1)+a*SIN(C1196)+b*SIN(C1198)-c.*SIN(t.4)</f>
        <v>-5.5362430736364434</v>
      </c>
      <c r="H1199" s="3">
        <f>-b*SIN(C1198)</f>
        <v>1.8160331444090434</v>
      </c>
      <c r="I1199" s="3">
        <f>-COS(t.1)</f>
        <v>-1</v>
      </c>
      <c r="J1199" s="4"/>
      <c r="K1199" s="3" cm="1">
        <f t="array" ref="K1199:L1200">MINVERSE(H1199:I1200)</f>
        <v>0</v>
      </c>
      <c r="L1199" s="3">
        <v>-0.1748689434534903</v>
      </c>
      <c r="M1199" s="3">
        <f>-F1198</f>
        <v>-4.6962009063277135</v>
      </c>
      <c r="O1199" s="1" cm="1">
        <f t="array" ref="O1199:O1200">MMULT(K1199:L1200,M1199:M1200)</f>
        <v>-0.96811697698850852</v>
      </c>
    </row>
    <row r="1200" spans="1:15" x14ac:dyDescent="0.35">
      <c r="H1200" s="3">
        <f>b*COS(C1198)</f>
        <v>-5.7185683189420589</v>
      </c>
      <c r="I1200" s="3">
        <f>-SIN(t.1)</f>
        <v>0</v>
      </c>
      <c r="J1200" s="4"/>
      <c r="K1200" s="3">
        <v>-1</v>
      </c>
      <c r="L1200" s="3">
        <v>-0.31756779723932921</v>
      </c>
      <c r="M1200" s="3">
        <f>-F1199</f>
        <v>5.5362430736364434</v>
      </c>
      <c r="O1200" s="1">
        <v>2.9380683884514944</v>
      </c>
    </row>
    <row r="1202" spans="1:15" x14ac:dyDescent="0.35">
      <c r="A1202" s="9" t="s">
        <v>17</v>
      </c>
      <c r="C1202" s="2" t="s">
        <v>4</v>
      </c>
    </row>
    <row r="1203" spans="1:15" x14ac:dyDescent="0.35">
      <c r="A1203" s="2" t="s">
        <v>5</v>
      </c>
      <c r="B1203" s="6">
        <v>336</v>
      </c>
      <c r="C1203" s="3">
        <f>B1203*PI()/180</f>
        <v>5.8643062867009474</v>
      </c>
    </row>
    <row r="1204" spans="1:15" x14ac:dyDescent="0.35">
      <c r="A1204" s="4"/>
      <c r="B1204" s="4"/>
      <c r="C1204" s="1"/>
      <c r="H1204" s="18" t="s">
        <v>12</v>
      </c>
      <c r="I1204" s="18"/>
      <c r="J1204" s="4"/>
      <c r="K1204" s="18" t="s">
        <v>13</v>
      </c>
      <c r="L1204" s="18"/>
      <c r="M1204" s="19" t="s">
        <v>14</v>
      </c>
      <c r="O1204" s="21" t="s">
        <v>15</v>
      </c>
    </row>
    <row r="1205" spans="1:15" x14ac:dyDescent="0.35">
      <c r="A1205" s="2" t="s">
        <v>7</v>
      </c>
      <c r="B1205" s="6">
        <f>C1205*180/PI()</f>
        <v>142.14915514787069</v>
      </c>
      <c r="C1205" s="3">
        <f>O1199+C1198</f>
        <v>2.4809707862585904</v>
      </c>
      <c r="E1205" s="11" t="s">
        <v>10</v>
      </c>
      <c r="F1205" s="1">
        <f>-B1206*COS(t.1)+a*COS(C1203)+b*COS(C1205)-c.*COS(t.4)</f>
        <v>2.7390360282442883</v>
      </c>
      <c r="H1205" s="8" t="s">
        <v>7</v>
      </c>
      <c r="I1205" s="8" t="s">
        <v>9</v>
      </c>
      <c r="J1205" s="4"/>
      <c r="K1205" s="8" t="s">
        <v>7</v>
      </c>
      <c r="L1205" s="8" t="s">
        <v>9</v>
      </c>
      <c r="M1205" s="20"/>
      <c r="O1205" s="22"/>
    </row>
    <row r="1206" spans="1:15" x14ac:dyDescent="0.35">
      <c r="A1206" s="2" t="s">
        <v>9</v>
      </c>
      <c r="B1206" s="6">
        <f>O1200+B1199</f>
        <v>-4.7360644638904752</v>
      </c>
      <c r="C1206" s="3"/>
      <c r="E1206" s="11" t="s">
        <v>11</v>
      </c>
      <c r="F1206" s="1">
        <f>-B1206*SIN(t.1)+a*SIN(C1203)+b*SIN(C1205)-c.*SIN(t.4)</f>
        <v>-3.8561906724491557E-2</v>
      </c>
      <c r="H1206" s="3">
        <f>-b*SIN(C1205)</f>
        <v>-3.6816480225029089</v>
      </c>
      <c r="I1206" s="3">
        <f>-COS(t.1)</f>
        <v>-1</v>
      </c>
      <c r="J1206" s="4"/>
      <c r="K1206" s="3" cm="1">
        <f t="array" ref="K1206:L1207">MINVERSE(H1206:I1207)</f>
        <v>0</v>
      </c>
      <c r="L1206" s="3">
        <v>-0.21107445131834776</v>
      </c>
      <c r="M1206" s="3">
        <f>-F1205</f>
        <v>-2.7390360282442883</v>
      </c>
      <c r="O1206" s="1" cm="1">
        <f t="array" ref="O1206:O1207">MMULT(K1206:L1207,M1206:M1207)</f>
        <v>-8.1394333036613597E-3</v>
      </c>
    </row>
    <row r="1207" spans="1:15" x14ac:dyDescent="0.35">
      <c r="H1207" s="3">
        <f>b*COS(C1205)</f>
        <v>-4.7376648085739896</v>
      </c>
      <c r="I1207" s="3">
        <f>-SIN(t.1)</f>
        <v>0</v>
      </c>
      <c r="J1207" s="4"/>
      <c r="K1207" s="3">
        <v>-1</v>
      </c>
      <c r="L1207" s="3">
        <v>0.77710183629708163</v>
      </c>
      <c r="M1207" s="3">
        <f>-F1206</f>
        <v>3.8561906724491557E-2</v>
      </c>
      <c r="O1207" s="1">
        <v>2.7690025567710075</v>
      </c>
    </row>
    <row r="1209" spans="1:15" x14ac:dyDescent="0.35">
      <c r="A1209" s="9" t="s">
        <v>18</v>
      </c>
      <c r="C1209" s="2" t="s">
        <v>4</v>
      </c>
    </row>
    <row r="1210" spans="1:15" x14ac:dyDescent="0.35">
      <c r="A1210" s="2" t="s">
        <v>5</v>
      </c>
      <c r="B1210" s="6">
        <v>336</v>
      </c>
      <c r="C1210" s="3">
        <f>B1210*PI()/180</f>
        <v>5.8643062867009474</v>
      </c>
    </row>
    <row r="1211" spans="1:15" x14ac:dyDescent="0.35">
      <c r="A1211" s="4"/>
      <c r="B1211" s="4"/>
      <c r="C1211" s="1"/>
      <c r="H1211" s="18" t="s">
        <v>12</v>
      </c>
      <c r="I1211" s="18"/>
      <c r="J1211" s="4"/>
      <c r="K1211" s="18" t="s">
        <v>13</v>
      </c>
      <c r="L1211" s="18"/>
      <c r="M1211" s="19" t="s">
        <v>14</v>
      </c>
      <c r="O1211" s="21" t="s">
        <v>15</v>
      </c>
    </row>
    <row r="1212" spans="1:15" x14ac:dyDescent="0.35">
      <c r="A1212" s="2" t="s">
        <v>7</v>
      </c>
      <c r="B1212" s="6">
        <f>C1212*180/PI()</f>
        <v>141.68279997194267</v>
      </c>
      <c r="C1212" s="3">
        <f>O1206+C1205</f>
        <v>2.4728313529549291</v>
      </c>
      <c r="E1212" s="11" t="s">
        <v>10</v>
      </c>
      <c r="F1212" s="1">
        <f>-B1213*COS(t.1)+a*COS(C1210)+b*COS(C1212)-c.*COS(t.4)</f>
        <v>1.5660428630843943E-4</v>
      </c>
      <c r="H1212" s="8" t="s">
        <v>7</v>
      </c>
      <c r="I1212" s="8" t="s">
        <v>9</v>
      </c>
      <c r="J1212" s="4"/>
      <c r="K1212" s="8" t="s">
        <v>7</v>
      </c>
      <c r="L1212" s="8" t="s">
        <v>9</v>
      </c>
      <c r="M1212" s="20"/>
      <c r="O1212" s="22"/>
    </row>
    <row r="1213" spans="1:15" x14ac:dyDescent="0.35">
      <c r="A1213" s="2" t="s">
        <v>9</v>
      </c>
      <c r="B1213" s="6">
        <f>O1207+B1206</f>
        <v>-1.9670619071194677</v>
      </c>
      <c r="C1213" s="3"/>
      <c r="E1213" s="11" t="s">
        <v>11</v>
      </c>
      <c r="F1213" s="1">
        <f>-B1213*SIN(t.1)+a*SIN(C1210)+b*SIN(C1212)-c.*SIN(t.4)</f>
        <v>-1.2238039556233815E-4</v>
      </c>
      <c r="H1213" s="3">
        <f>-b*SIN(C1212)</f>
        <v>-3.7200875488318381</v>
      </c>
      <c r="I1213" s="3">
        <f>-COS(t.1)</f>
        <v>-1</v>
      </c>
      <c r="J1213" s="4"/>
      <c r="K1213" s="3" cm="1">
        <f t="array" ref="K1213:L1214">MINVERSE(H1213:I1214)</f>
        <v>0</v>
      </c>
      <c r="L1213" s="3">
        <v>-0.21242509761495687</v>
      </c>
      <c r="M1213" s="3">
        <f>-F1212</f>
        <v>-1.5660428630843943E-4</v>
      </c>
      <c r="O1213" s="1" cm="1">
        <f t="array" ref="O1213:O1214">MMULT(K1213:L1214,M1213:M1214)</f>
        <v>-2.5996667473486716E-5</v>
      </c>
    </row>
    <row r="1214" spans="1:15" x14ac:dyDescent="0.35">
      <c r="H1214" s="3">
        <f>b*COS(C1212)</f>
        <v>-4.7075416757609618</v>
      </c>
      <c r="I1214" s="3">
        <f>-SIN(t.1)</f>
        <v>0</v>
      </c>
      <c r="J1214" s="4"/>
      <c r="K1214" s="3">
        <v>-1</v>
      </c>
      <c r="L1214" s="3">
        <v>0.79023996069678892</v>
      </c>
      <c r="M1214" s="3">
        <f>-F1213</f>
        <v>1.2238039556233815E-4</v>
      </c>
      <c r="O1214" s="1">
        <v>2.5331416528767903E-4</v>
      </c>
    </row>
    <row r="1216" spans="1:15" x14ac:dyDescent="0.35">
      <c r="A1216" s="9" t="s">
        <v>19</v>
      </c>
      <c r="C1216" s="2" t="s">
        <v>4</v>
      </c>
    </row>
    <row r="1217" spans="1:15" x14ac:dyDescent="0.35">
      <c r="A1217" s="2" t="s">
        <v>5</v>
      </c>
      <c r="B1217" s="6">
        <v>336</v>
      </c>
      <c r="C1217" s="3">
        <f>B1217*PI()/180</f>
        <v>5.8643062867009474</v>
      </c>
    </row>
    <row r="1218" spans="1:15" x14ac:dyDescent="0.35">
      <c r="A1218" s="4"/>
      <c r="B1218" s="4"/>
      <c r="C1218" s="1"/>
      <c r="H1218" s="18" t="s">
        <v>12</v>
      </c>
      <c r="I1218" s="18"/>
      <c r="J1218" s="4"/>
      <c r="K1218" s="18" t="s">
        <v>13</v>
      </c>
      <c r="L1218" s="18"/>
      <c r="M1218" s="19" t="s">
        <v>14</v>
      </c>
      <c r="O1218" s="21" t="s">
        <v>15</v>
      </c>
    </row>
    <row r="1219" spans="1:15" x14ac:dyDescent="0.35">
      <c r="A1219" s="2" t="s">
        <v>7</v>
      </c>
      <c r="B1219" s="6">
        <f>C1219*180/PI()</f>
        <v>141.68131047261502</v>
      </c>
      <c r="C1219" s="3">
        <f>O1213+C1212</f>
        <v>2.4728053562874557</v>
      </c>
      <c r="E1219" s="11" t="s">
        <v>10</v>
      </c>
      <c r="F1219" s="1">
        <f>-B1220*COS(t.1)+a*COS(C1217)+b*COS(C1219)-c.*COS(t.4)</f>
        <v>1.5907300610746265E-9</v>
      </c>
      <c r="H1219" s="8" t="s">
        <v>7</v>
      </c>
      <c r="I1219" s="8" t="s">
        <v>9</v>
      </c>
      <c r="J1219" s="4"/>
      <c r="K1219" s="8" t="s">
        <v>7</v>
      </c>
      <c r="L1219" s="8" t="s">
        <v>9</v>
      </c>
      <c r="M1219" s="20"/>
      <c r="O1219" s="22"/>
    </row>
    <row r="1220" spans="1:15" x14ac:dyDescent="0.35">
      <c r="A1220" s="2" t="s">
        <v>9</v>
      </c>
      <c r="B1220" s="6">
        <f>O1214+B1213</f>
        <v>-1.9668085929541801</v>
      </c>
      <c r="C1220" s="3"/>
      <c r="E1220" s="11" t="s">
        <v>11</v>
      </c>
      <c r="F1220" s="1">
        <f>-B1220*SIN(t.1)+a*SIN(C1217)+b*SIN(C1219)-c.*SIN(t.4)</f>
        <v>-1.2570815499657328E-9</v>
      </c>
      <c r="H1220" s="3">
        <f>-b*SIN(C1219)</f>
        <v>-3.7202099279703189</v>
      </c>
      <c r="I1220" s="3">
        <f>-COS(t.1)</f>
        <v>-1</v>
      </c>
      <c r="J1220" s="4"/>
      <c r="K1220" s="3" cm="1">
        <f t="array" ref="K1220:L1221">MINVERSE(H1220:I1221)</f>
        <v>0</v>
      </c>
      <c r="L1220" s="3">
        <v>-0.21242946175379424</v>
      </c>
      <c r="M1220" s="3">
        <f>-F1219</f>
        <v>-1.5907300610746265E-9</v>
      </c>
      <c r="O1220" s="1" cm="1">
        <f t="array" ref="O1220:O1221">MMULT(K1220:L1221,M1220:M1221)</f>
        <v>-2.6704115703984602E-10</v>
      </c>
    </row>
    <row r="1221" spans="1:15" x14ac:dyDescent="0.35">
      <c r="H1221" s="3">
        <f>b*COS(C1219)</f>
        <v>-4.7074449642912528</v>
      </c>
      <c r="I1221" s="3">
        <f>-SIN(t.1)</f>
        <v>0</v>
      </c>
      <c r="J1221" s="4"/>
      <c r="K1221" s="3">
        <v>-1</v>
      </c>
      <c r="L1221" s="3">
        <v>0.79028219260985655</v>
      </c>
      <c r="M1221" s="3">
        <f>-F1220</f>
        <v>1.2570815499657328E-9</v>
      </c>
      <c r="O1221" s="1">
        <v>2.5841792246709428E-9</v>
      </c>
    </row>
    <row r="1223" spans="1:15" x14ac:dyDescent="0.35">
      <c r="A1223" s="9" t="s">
        <v>20</v>
      </c>
      <c r="C1223" s="2" t="s">
        <v>4</v>
      </c>
    </row>
    <row r="1224" spans="1:15" x14ac:dyDescent="0.35">
      <c r="A1224" s="2" t="s">
        <v>5</v>
      </c>
      <c r="B1224" s="6">
        <v>336</v>
      </c>
      <c r="C1224" s="3">
        <f>B1224*PI()/180</f>
        <v>5.8643062867009474</v>
      </c>
    </row>
    <row r="1225" spans="1:15" x14ac:dyDescent="0.35">
      <c r="A1225" s="4"/>
      <c r="B1225" s="4"/>
      <c r="C1225" s="1"/>
      <c r="H1225" s="18" t="s">
        <v>12</v>
      </c>
      <c r="I1225" s="18"/>
      <c r="J1225" s="4"/>
      <c r="K1225" s="18" t="s">
        <v>13</v>
      </c>
      <c r="L1225" s="18"/>
      <c r="M1225" s="19" t="s">
        <v>14</v>
      </c>
      <c r="O1225" s="21" t="s">
        <v>15</v>
      </c>
    </row>
    <row r="1226" spans="1:15" x14ac:dyDescent="0.35">
      <c r="A1226" s="2" t="s">
        <v>7</v>
      </c>
      <c r="B1226" s="6">
        <f>C1226*180/PI()</f>
        <v>141.68131045731471</v>
      </c>
      <c r="C1226" s="3">
        <f>O1220+C1219</f>
        <v>2.4728053560204146</v>
      </c>
      <c r="E1226" s="11" t="s">
        <v>10</v>
      </c>
      <c r="F1226" s="1">
        <f>-B1227*COS(t.1)+a*COS(C1224)+b*COS(C1226)-c.*COS(t.4)</f>
        <v>-1.0413219765637027E-15</v>
      </c>
      <c r="H1226" s="8" t="s">
        <v>7</v>
      </c>
      <c r="I1226" s="8" t="s">
        <v>9</v>
      </c>
      <c r="J1226" s="4"/>
      <c r="K1226" s="8" t="s">
        <v>7</v>
      </c>
      <c r="L1226" s="8" t="s">
        <v>9</v>
      </c>
      <c r="M1226" s="20"/>
      <c r="O1226" s="22"/>
    </row>
    <row r="1227" spans="1:15" x14ac:dyDescent="0.35">
      <c r="A1227" s="2" t="s">
        <v>9</v>
      </c>
      <c r="B1227" s="6">
        <f>O1221+B1220</f>
        <v>-1.9668085903700008</v>
      </c>
      <c r="C1227" s="3"/>
      <c r="E1227" s="11" t="s">
        <v>11</v>
      </c>
      <c r="F1227" s="1">
        <f>-B1227*SIN(t.1)+a*SIN(C1224)+b*SIN(C1226)-c.*SIN(t.4)</f>
        <v>0</v>
      </c>
      <c r="H1227" s="3">
        <f>-b*SIN(C1226)</f>
        <v>-3.7202099292274005</v>
      </c>
      <c r="I1227" s="3">
        <f>-COS(B1184)</f>
        <v>0.93271616761115317</v>
      </c>
      <c r="J1227" s="4"/>
      <c r="K1227" s="3" cm="1">
        <f t="array" ref="K1227:L1228">MINVERSE(H1227:I1228)</f>
        <v>-6.2909107116939103E-2</v>
      </c>
      <c r="L1227" s="3">
        <v>-0.16271351466383066</v>
      </c>
      <c r="M1227" s="3">
        <f>-F1226</f>
        <v>1.0413219765637027E-15</v>
      </c>
      <c r="O1227" s="1" cm="1">
        <f t="array" ref="O1227:O1228">MMULT(K1227:L1228,M1227:M1228)</f>
        <v>-6.5508635766868723E-17</v>
      </c>
    </row>
    <row r="1228" spans="1:15" x14ac:dyDescent="0.35">
      <c r="H1228" s="3">
        <f>b*COS(C1226)</f>
        <v>-4.7074449632978039</v>
      </c>
      <c r="I1228" s="3">
        <f>-SIN(B1184)</f>
        <v>-0.36061135683275874</v>
      </c>
      <c r="J1228" s="4"/>
      <c r="K1228" s="3">
        <v>0.82121972542461785</v>
      </c>
      <c r="L1228" s="3">
        <v>-0.6489953255792934</v>
      </c>
      <c r="M1228" s="3">
        <f>-F1227</f>
        <v>0</v>
      </c>
      <c r="O1228" s="1">
        <v>8.5515414767226429E-16</v>
      </c>
    </row>
    <row r="1230" spans="1:15" x14ac:dyDescent="0.35">
      <c r="A1230" s="9" t="s">
        <v>6</v>
      </c>
      <c r="C1230" s="2" t="s">
        <v>4</v>
      </c>
    </row>
    <row r="1231" spans="1:15" x14ac:dyDescent="0.35">
      <c r="A1231" s="2" t="s">
        <v>5</v>
      </c>
      <c r="B1231" s="6">
        <v>0</v>
      </c>
      <c r="C1231" s="3">
        <f>B1231*PI()/180</f>
        <v>0</v>
      </c>
    </row>
    <row r="1232" spans="1:15" x14ac:dyDescent="0.35">
      <c r="A1232" s="4"/>
      <c r="B1232" s="4"/>
      <c r="C1232" s="1"/>
      <c r="H1232" s="18" t="s">
        <v>12</v>
      </c>
      <c r="I1232" s="18"/>
      <c r="J1232" s="4"/>
      <c r="K1232" s="18" t="s">
        <v>13</v>
      </c>
      <c r="L1232" s="18"/>
      <c r="M1232" s="19" t="s">
        <v>14</v>
      </c>
      <c r="O1232" s="21" t="s">
        <v>15</v>
      </c>
    </row>
    <row r="1233" spans="1:15" x14ac:dyDescent="0.35">
      <c r="A1233" s="2" t="s">
        <v>7</v>
      </c>
      <c r="B1233" s="6">
        <v>110</v>
      </c>
      <c r="C1233" s="3">
        <f>B1233*PI()/180</f>
        <v>1.9198621771937625</v>
      </c>
      <c r="E1233" s="11" t="s">
        <v>10</v>
      </c>
      <c r="F1233" s="1">
        <f>-B1234*COS(t.1)+a*COS(C1231)+b*COS(C1233)-c.*COS(t.4)</f>
        <v>-5.0521208599540124</v>
      </c>
      <c r="H1233" s="8" t="s">
        <v>7</v>
      </c>
      <c r="I1233" s="8" t="s">
        <v>9</v>
      </c>
      <c r="J1233" s="4"/>
      <c r="K1233" s="8" t="s">
        <v>7</v>
      </c>
      <c r="L1233" s="8" t="s">
        <v>9</v>
      </c>
      <c r="M1233" s="20"/>
      <c r="O1233" s="22"/>
    </row>
    <row r="1234" spans="1:15" x14ac:dyDescent="0.35">
      <c r="A1234" s="2" t="s">
        <v>9</v>
      </c>
      <c r="B1234" s="6">
        <v>6</v>
      </c>
      <c r="C1234" s="3"/>
      <c r="E1234" s="11" t="s">
        <v>11</v>
      </c>
      <c r="F1234" s="1">
        <f>-B1234*SIN(t.1)+a*SIN(C1231)+b*SIN(C1233)-c.*SIN(t.4)</f>
        <v>3.1381557247154506</v>
      </c>
      <c r="H1234" s="3">
        <f>-b*SIN(C1233)</f>
        <v>-5.6381557247154506</v>
      </c>
      <c r="I1234" s="3">
        <f>-COS(t.1)</f>
        <v>-1</v>
      </c>
      <c r="J1234" s="4"/>
      <c r="K1234" s="3" cm="1">
        <f t="array" ref="K1234:L1235">MINVERSE(H1234:I1235)</f>
        <v>0</v>
      </c>
      <c r="L1234" s="3">
        <v>-0.48730073336051455</v>
      </c>
      <c r="M1234" s="3">
        <f>-F1233</f>
        <v>5.0521208599540124</v>
      </c>
      <c r="O1234" s="1" cm="1">
        <f t="array" ref="O1234:O1235">MMULT(K1234:L1235,M1234:M1235)</f>
        <v>1.5292255860533361</v>
      </c>
    </row>
    <row r="1235" spans="1:15" x14ac:dyDescent="0.35">
      <c r="H1235" s="3">
        <f>b*COS(C1233)</f>
        <v>-2.0521208599540124</v>
      </c>
      <c r="I1235" s="3">
        <f>-SIN(t.1)</f>
        <v>0</v>
      </c>
      <c r="J1235" s="4"/>
      <c r="K1235" s="3">
        <v>-1</v>
      </c>
      <c r="L1235" s="3">
        <v>2.7474774194546225</v>
      </c>
      <c r="M1235" s="3">
        <f>-F1234</f>
        <v>-3.1381557247154506</v>
      </c>
      <c r="O1235" s="1">
        <v>-13.67413285234197</v>
      </c>
    </row>
    <row r="1237" spans="1:15" x14ac:dyDescent="0.35">
      <c r="A1237" s="9" t="s">
        <v>16</v>
      </c>
      <c r="C1237" s="2" t="s">
        <v>4</v>
      </c>
    </row>
    <row r="1238" spans="1:15" x14ac:dyDescent="0.35">
      <c r="A1238" s="2" t="s">
        <v>5</v>
      </c>
      <c r="B1238" s="6">
        <v>348</v>
      </c>
      <c r="C1238" s="3">
        <f>B1238*PI()/180</f>
        <v>6.0737457969402664</v>
      </c>
    </row>
    <row r="1239" spans="1:15" x14ac:dyDescent="0.35">
      <c r="A1239" s="4"/>
      <c r="B1239" s="4"/>
      <c r="C1239" s="1"/>
      <c r="H1239" s="18" t="s">
        <v>12</v>
      </c>
      <c r="I1239" s="18"/>
      <c r="J1239" s="4"/>
      <c r="K1239" s="18" t="s">
        <v>13</v>
      </c>
      <c r="L1239" s="18"/>
      <c r="M1239" s="19" t="s">
        <v>14</v>
      </c>
      <c r="O1239" s="21" t="s">
        <v>15</v>
      </c>
    </row>
    <row r="1240" spans="1:15" x14ac:dyDescent="0.35">
      <c r="A1240" s="2" t="s">
        <v>7</v>
      </c>
      <c r="B1240" s="6">
        <f>C1240*180/PI()</f>
        <v>197.61817200427606</v>
      </c>
      <c r="C1240" s="3">
        <f>O1234+C1233</f>
        <v>3.4490877632470989</v>
      </c>
      <c r="E1240" s="11" t="s">
        <v>10</v>
      </c>
      <c r="F1240" s="1">
        <f>-B1241*COS(t.1)+a*COS(C1238)+b*COS(C1240)-c.*COS(t.4)</f>
        <v>4.8900073356013278</v>
      </c>
      <c r="H1240" s="8" t="s">
        <v>7</v>
      </c>
      <c r="I1240" s="8" t="s">
        <v>9</v>
      </c>
      <c r="J1240" s="4"/>
      <c r="K1240" s="8" t="s">
        <v>7</v>
      </c>
      <c r="L1240" s="8" t="s">
        <v>9</v>
      </c>
      <c r="M1240" s="20"/>
      <c r="O1240" s="22"/>
    </row>
    <row r="1241" spans="1:15" x14ac:dyDescent="0.35">
      <c r="A1241" s="2" t="s">
        <v>9</v>
      </c>
      <c r="B1241" s="6">
        <f>O1235+B1234</f>
        <v>-7.6741328523419696</v>
      </c>
      <c r="C1241" s="3"/>
      <c r="E1241" s="11" t="s">
        <v>11</v>
      </c>
      <c r="F1241" s="1">
        <f>-B1241*SIN(t.1)+a*SIN(C1238)+b*SIN(C1240)-c.*SIN(t.4)</f>
        <v>-4.9397682168623227</v>
      </c>
      <c r="H1241" s="3">
        <f>-b*SIN(C1240)</f>
        <v>1.8160331444090434</v>
      </c>
      <c r="I1241" s="3">
        <f>-COS(t.1)</f>
        <v>-1</v>
      </c>
      <c r="J1241" s="4"/>
      <c r="K1241" s="3" cm="1">
        <f t="array" ref="K1241:L1242">MINVERSE(H1241:I1242)</f>
        <v>0</v>
      </c>
      <c r="L1241" s="3">
        <v>-0.1748689434534903</v>
      </c>
      <c r="M1241" s="3">
        <f>-F1240</f>
        <v>-4.8900073356013278</v>
      </c>
      <c r="O1241" s="1" cm="1">
        <f t="array" ref="O1241:O1242">MMULT(K1241:L1242,M1241:M1242)</f>
        <v>-0.86381204898784614</v>
      </c>
    </row>
    <row r="1242" spans="1:15" x14ac:dyDescent="0.35">
      <c r="H1242" s="3">
        <f>b*COS(C1240)</f>
        <v>-5.7185683189420589</v>
      </c>
      <c r="I1242" s="3">
        <f>-SIN(t.1)</f>
        <v>0</v>
      </c>
      <c r="J1242" s="4"/>
      <c r="K1242" s="3">
        <v>-1</v>
      </c>
      <c r="L1242" s="3">
        <v>-0.31756779723932921</v>
      </c>
      <c r="M1242" s="3">
        <f>-F1241</f>
        <v>4.9397682168623227</v>
      </c>
      <c r="O1242" s="1">
        <v>3.3212960240995111</v>
      </c>
    </row>
    <row r="1244" spans="1:15" x14ac:dyDescent="0.35">
      <c r="A1244" s="9" t="s">
        <v>17</v>
      </c>
      <c r="C1244" s="2" t="s">
        <v>4</v>
      </c>
    </row>
    <row r="1245" spans="1:15" x14ac:dyDescent="0.35">
      <c r="A1245" s="2" t="s">
        <v>5</v>
      </c>
      <c r="B1245" s="6">
        <v>348</v>
      </c>
      <c r="C1245" s="3">
        <f>B1245*PI()/180</f>
        <v>6.0737457969402664</v>
      </c>
    </row>
    <row r="1246" spans="1:15" x14ac:dyDescent="0.35">
      <c r="A1246" s="4"/>
      <c r="B1246" s="4"/>
      <c r="C1246" s="1"/>
      <c r="H1246" s="18" t="s">
        <v>12</v>
      </c>
      <c r="I1246" s="18"/>
      <c r="J1246" s="4"/>
      <c r="K1246" s="18" t="s">
        <v>13</v>
      </c>
      <c r="L1246" s="18"/>
      <c r="M1246" s="19" t="s">
        <v>14</v>
      </c>
      <c r="O1246" s="21" t="s">
        <v>15</v>
      </c>
    </row>
    <row r="1247" spans="1:15" x14ac:dyDescent="0.35">
      <c r="A1247" s="2" t="s">
        <v>7</v>
      </c>
      <c r="B1247" s="6">
        <f>C1247*180/PI()</f>
        <v>148.12538730472457</v>
      </c>
      <c r="C1247" s="3">
        <f>O1241+C1240</f>
        <v>2.5852757142592528</v>
      </c>
      <c r="E1247" s="11" t="s">
        <v>10</v>
      </c>
      <c r="F1247" s="1">
        <f>-B1248*COS(t.1)+a*COS(C1245)+b*COS(C1247)-c.*COS(t.4)</f>
        <v>2.1920451237841725</v>
      </c>
      <c r="H1247" s="8" t="s">
        <v>7</v>
      </c>
      <c r="I1247" s="8" t="s">
        <v>9</v>
      </c>
      <c r="J1247" s="4"/>
      <c r="K1247" s="8" t="s">
        <v>7</v>
      </c>
      <c r="L1247" s="8" t="s">
        <v>9</v>
      </c>
      <c r="M1247" s="20"/>
      <c r="O1247" s="22"/>
    </row>
    <row r="1248" spans="1:15" x14ac:dyDescent="0.35">
      <c r="A1248" s="2" t="s">
        <v>9</v>
      </c>
      <c r="B1248" s="6">
        <f>O1242+B1241</f>
        <v>-4.3528368282424585</v>
      </c>
      <c r="C1248" s="3"/>
      <c r="E1248" s="11" t="s">
        <v>11</v>
      </c>
      <c r="F1248" s="1">
        <f>-B1248*SIN(t.1)+a*SIN(C1245)+b*SIN(C1247)-c.*SIN(t.4)</f>
        <v>4.4637589047298754E-2</v>
      </c>
      <c r="H1248" s="3">
        <f>-b*SIN(C1247)</f>
        <v>-3.1683726615005785</v>
      </c>
      <c r="I1248" s="3">
        <f>-COS(t.1)</f>
        <v>-1</v>
      </c>
      <c r="J1248" s="4"/>
      <c r="K1248" s="3" cm="1">
        <f t="array" ref="K1248:L1249">MINVERSE(H1248:I1249)</f>
        <v>0</v>
      </c>
      <c r="L1248" s="3">
        <v>-0.19626182047027566</v>
      </c>
      <c r="M1248" s="3">
        <f>-F1247</f>
        <v>-2.1920451237841725</v>
      </c>
      <c r="O1248" s="1" cm="1">
        <f t="array" ref="O1248:O1249">MMULT(K1248:L1249,M1248:M1249)</f>
        <v>8.7606544878268914E-3</v>
      </c>
    </row>
    <row r="1249" spans="1:15" x14ac:dyDescent="0.35">
      <c r="H1249" s="3">
        <f>b*COS(C1247)</f>
        <v>-5.0952345066597022</v>
      </c>
      <c r="I1249" s="3">
        <f>-SIN(t.1)</f>
        <v>0</v>
      </c>
      <c r="J1249" s="4"/>
      <c r="K1249" s="3">
        <v>-1</v>
      </c>
      <c r="L1249" s="3">
        <v>0.62183058647435596</v>
      </c>
      <c r="M1249" s="3">
        <f>-F1248</f>
        <v>-4.4637589047298754E-2</v>
      </c>
      <c r="O1249" s="1">
        <v>2.1642881056080894</v>
      </c>
    </row>
    <row r="1251" spans="1:15" x14ac:dyDescent="0.35">
      <c r="A1251" s="9" t="s">
        <v>18</v>
      </c>
      <c r="C1251" s="2" t="s">
        <v>4</v>
      </c>
    </row>
    <row r="1252" spans="1:15" x14ac:dyDescent="0.35">
      <c r="A1252" s="2" t="s">
        <v>5</v>
      </c>
      <c r="B1252" s="6">
        <v>348</v>
      </c>
      <c r="C1252" s="3">
        <f>B1252*PI()/180</f>
        <v>6.0737457969402664</v>
      </c>
    </row>
    <row r="1253" spans="1:15" x14ac:dyDescent="0.35">
      <c r="A1253" s="4"/>
      <c r="B1253" s="4"/>
      <c r="C1253" s="1"/>
      <c r="H1253" s="18" t="s">
        <v>12</v>
      </c>
      <c r="I1253" s="18"/>
      <c r="J1253" s="4"/>
      <c r="K1253" s="18" t="s">
        <v>13</v>
      </c>
      <c r="L1253" s="18"/>
      <c r="M1253" s="19" t="s">
        <v>14</v>
      </c>
      <c r="O1253" s="21" t="s">
        <v>15</v>
      </c>
    </row>
    <row r="1254" spans="1:15" x14ac:dyDescent="0.35">
      <c r="A1254" s="2" t="s">
        <v>7</v>
      </c>
      <c r="B1254" s="6">
        <f>C1254*180/PI()</f>
        <v>148.62733583264938</v>
      </c>
      <c r="C1254" s="3">
        <f>O1248+C1247</f>
        <v>2.5940363687470795</v>
      </c>
      <c r="E1254" s="11" t="s">
        <v>10</v>
      </c>
      <c r="F1254" s="1">
        <f>-B1255*COS(t.1)+a*COS(C1252)+b*COS(C1254)-c.*COS(t.4)</f>
        <v>1.9588104971275617E-4</v>
      </c>
      <c r="H1254" s="8" t="s">
        <v>7</v>
      </c>
      <c r="I1254" s="8" t="s">
        <v>9</v>
      </c>
      <c r="J1254" s="4"/>
      <c r="K1254" s="8" t="s">
        <v>7</v>
      </c>
      <c r="L1254" s="8" t="s">
        <v>9</v>
      </c>
      <c r="M1254" s="20"/>
      <c r="O1254" s="22"/>
    </row>
    <row r="1255" spans="1:15" x14ac:dyDescent="0.35">
      <c r="A1255" s="2" t="s">
        <v>9</v>
      </c>
      <c r="B1255" s="6">
        <f>O1249+B1248</f>
        <v>-2.1885487226343692</v>
      </c>
      <c r="C1255" s="3"/>
      <c r="E1255" s="11" t="s">
        <v>11</v>
      </c>
      <c r="F1255" s="1">
        <f>-B1255*SIN(t.1)+a*SIN(C1252)+b*SIN(C1254)-c.*SIN(t.4)</f>
        <v>-1.2101306527245725E-4</v>
      </c>
      <c r="H1255" s="3">
        <f>-b*SIN(C1254)</f>
        <v>-3.1236140593880073</v>
      </c>
      <c r="I1255" s="3">
        <f>-COS(t.1)</f>
        <v>-1</v>
      </c>
      <c r="J1255" s="4"/>
      <c r="K1255" s="3" cm="1">
        <f t="array" ref="K1255:L1256">MINVERSE(H1255:I1256)</f>
        <v>0</v>
      </c>
      <c r="L1255" s="3">
        <v>-0.19520591285209576</v>
      </c>
      <c r="M1255" s="3">
        <f>-F1254</f>
        <v>-1.9588104971275617E-4</v>
      </c>
      <c r="O1255" s="1" cm="1">
        <f t="array" ref="O1255:O1256">MMULT(K1255:L1256,M1255:M1256)</f>
        <v>-2.3622465873540268E-5</v>
      </c>
    </row>
    <row r="1256" spans="1:15" x14ac:dyDescent="0.35">
      <c r="H1256" s="3">
        <f>b*COS(C1254)</f>
        <v>-5.1227956437860733</v>
      </c>
      <c r="I1256" s="3">
        <f>-SIN(t.1)</f>
        <v>0</v>
      </c>
      <c r="J1256" s="4"/>
      <c r="K1256" s="3">
        <v>-1</v>
      </c>
      <c r="L1256" s="3">
        <v>0.60974793386047643</v>
      </c>
      <c r="M1256" s="3">
        <f>-F1255</f>
        <v>1.2101306527245725E-4</v>
      </c>
      <c r="O1256" s="1">
        <v>2.6966851623275997E-4</v>
      </c>
    </row>
    <row r="1258" spans="1:15" x14ac:dyDescent="0.35">
      <c r="A1258" s="9" t="s">
        <v>19</v>
      </c>
      <c r="C1258" s="2" t="s">
        <v>4</v>
      </c>
    </row>
    <row r="1259" spans="1:15" x14ac:dyDescent="0.35">
      <c r="A1259" s="2" t="s">
        <v>5</v>
      </c>
      <c r="B1259" s="6">
        <v>348</v>
      </c>
      <c r="C1259" s="3">
        <f>B1259*PI()/180</f>
        <v>6.0737457969402664</v>
      </c>
    </row>
    <row r="1260" spans="1:15" x14ac:dyDescent="0.35">
      <c r="A1260" s="4"/>
      <c r="B1260" s="4"/>
      <c r="C1260" s="1"/>
      <c r="H1260" s="18" t="s">
        <v>12</v>
      </c>
      <c r="I1260" s="18"/>
      <c r="J1260" s="4"/>
      <c r="K1260" s="18" t="s">
        <v>13</v>
      </c>
      <c r="L1260" s="18"/>
      <c r="M1260" s="19" t="s">
        <v>14</v>
      </c>
      <c r="O1260" s="21" t="s">
        <v>15</v>
      </c>
    </row>
    <row r="1261" spans="1:15" x14ac:dyDescent="0.35">
      <c r="A1261" s="2" t="s">
        <v>7</v>
      </c>
      <c r="B1261" s="6">
        <f>C1261*180/PI()</f>
        <v>148.62598236505315</v>
      </c>
      <c r="C1261" s="3">
        <f>O1255+C1254</f>
        <v>2.5940127462812059</v>
      </c>
      <c r="E1261" s="11" t="s">
        <v>10</v>
      </c>
      <c r="F1261" s="1">
        <f>-B1262*COS(t.1)+a*COS(C1259)+b*COS(C1261)-c.*COS(t.4)</f>
        <v>1.4293054096509682E-9</v>
      </c>
      <c r="H1261" s="8" t="s">
        <v>7</v>
      </c>
      <c r="I1261" s="8" t="s">
        <v>9</v>
      </c>
      <c r="J1261" s="4"/>
      <c r="K1261" s="8" t="s">
        <v>7</v>
      </c>
      <c r="L1261" s="8" t="s">
        <v>9</v>
      </c>
      <c r="M1261" s="20"/>
      <c r="O1261" s="22"/>
    </row>
    <row r="1262" spans="1:15" x14ac:dyDescent="0.35">
      <c r="A1262" s="2" t="s">
        <v>9</v>
      </c>
      <c r="B1262" s="6">
        <f>O1256+B1255</f>
        <v>-2.1882790541181363</v>
      </c>
      <c r="C1262" s="3"/>
      <c r="E1262" s="11" t="s">
        <v>11</v>
      </c>
      <c r="F1262" s="1">
        <f>-B1262*SIN(t.1)+a*SIN(C1259)+b*SIN(C1261)-c.*SIN(t.4)</f>
        <v>-8.7153217975810549E-10</v>
      </c>
      <c r="H1262" s="3">
        <f>-b*SIN(C1261)</f>
        <v>-3.1237350715817476</v>
      </c>
      <c r="I1262" s="3">
        <f>-COS(t.1)</f>
        <v>-1</v>
      </c>
      <c r="J1262" s="4"/>
      <c r="K1262" s="3" cm="1">
        <f t="array" ref="K1262:L1263">MINVERSE(H1262:I1263)</f>
        <v>0</v>
      </c>
      <c r="L1262" s="3">
        <v>-0.19520872464418132</v>
      </c>
      <c r="M1262" s="3">
        <f>-F1261</f>
        <v>-1.4293054096509682E-9</v>
      </c>
      <c r="O1262" s="1" cm="1">
        <f t="array" ref="O1262:O1263">MMULT(K1262:L1263,M1262:M1263)</f>
        <v>-1.7013068529694314E-10</v>
      </c>
    </row>
    <row r="1263" spans="1:15" x14ac:dyDescent="0.35">
      <c r="H1263" s="3">
        <f>b*COS(C1261)</f>
        <v>-5.1227218548902469</v>
      </c>
      <c r="I1263" s="3">
        <f>-SIN(t.1)</f>
        <v>0</v>
      </c>
      <c r="J1263" s="4"/>
      <c r="K1263" s="3">
        <v>-1</v>
      </c>
      <c r="L1263" s="3">
        <v>0.60978033944977339</v>
      </c>
      <c r="M1263" s="3">
        <f>-F1262</f>
        <v>8.7153217975810549E-10</v>
      </c>
      <c r="O1263" s="1">
        <v>1.9607485980652666E-9</v>
      </c>
    </row>
    <row r="1265" spans="1:15" x14ac:dyDescent="0.35">
      <c r="A1265" s="9" t="s">
        <v>20</v>
      </c>
      <c r="C1265" s="2" t="s">
        <v>4</v>
      </c>
    </row>
    <row r="1266" spans="1:15" x14ac:dyDescent="0.35">
      <c r="A1266" s="2" t="s">
        <v>5</v>
      </c>
      <c r="B1266" s="6">
        <v>348</v>
      </c>
      <c r="C1266" s="3">
        <f>B1266*PI()/180</f>
        <v>6.0737457969402664</v>
      </c>
    </row>
    <row r="1267" spans="1:15" x14ac:dyDescent="0.35">
      <c r="A1267" s="4"/>
      <c r="B1267" s="4"/>
      <c r="C1267" s="1"/>
      <c r="H1267" s="18" t="s">
        <v>12</v>
      </c>
      <c r="I1267" s="18"/>
      <c r="J1267" s="4"/>
      <c r="K1267" s="18" t="s">
        <v>13</v>
      </c>
      <c r="L1267" s="18"/>
      <c r="M1267" s="19" t="s">
        <v>14</v>
      </c>
      <c r="O1267" s="21" t="s">
        <v>15</v>
      </c>
    </row>
    <row r="1268" spans="1:15" x14ac:dyDescent="0.35">
      <c r="A1268" s="2" t="s">
        <v>7</v>
      </c>
      <c r="B1268" s="6">
        <f>C1268*180/PI()</f>
        <v>148.62598235530535</v>
      </c>
      <c r="C1268" s="3">
        <f>O1262+C1261</f>
        <v>2.5940127461110754</v>
      </c>
      <c r="E1268" s="11" t="s">
        <v>10</v>
      </c>
      <c r="F1268" s="1">
        <f>-B1269*COS(t.1)+a*COS(C1266)+b*COS(C1268)-c.*COS(t.4)</f>
        <v>-1.531435568635775E-16</v>
      </c>
      <c r="H1268" s="8" t="s">
        <v>7</v>
      </c>
      <c r="I1268" s="8" t="s">
        <v>9</v>
      </c>
      <c r="J1268" s="4"/>
      <c r="K1268" s="8" t="s">
        <v>7</v>
      </c>
      <c r="L1268" s="8" t="s">
        <v>9</v>
      </c>
      <c r="M1268" s="20"/>
      <c r="O1268" s="22"/>
    </row>
    <row r="1269" spans="1:15" x14ac:dyDescent="0.35">
      <c r="A1269" s="2" t="s">
        <v>9</v>
      </c>
      <c r="B1269" s="6">
        <f>O1263+B1262</f>
        <v>-2.1882790521573878</v>
      </c>
      <c r="C1269" s="3"/>
      <c r="E1269" s="11" t="s">
        <v>11</v>
      </c>
      <c r="F1269" s="1">
        <f>-B1269*SIN(t.1)+a*SIN(C1266)+b*SIN(C1268)-c.*SIN(t.4)</f>
        <v>0</v>
      </c>
      <c r="H1269" s="3">
        <f>-b*SIN(C1268)</f>
        <v>-3.1237350724532797</v>
      </c>
      <c r="I1269" s="3">
        <f>-COS(B1226)</f>
        <v>0.95244301061688497</v>
      </c>
      <c r="J1269" s="4"/>
      <c r="K1269" s="3" cm="1">
        <f t="array" ref="K1269:L1270">MINVERSE(H1269:I1270)</f>
        <v>7.7590443929459199E-2</v>
      </c>
      <c r="L1269" s="3">
        <v>-0.24252185191990583</v>
      </c>
      <c r="M1269" s="3">
        <f>-F1268</f>
        <v>1.531435568635775E-16</v>
      </c>
      <c r="O1269" s="1" cm="1">
        <f t="array" ref="O1269:O1270">MMULT(K1269:L1270,M1269:M1270)</f>
        <v>1.1882476561981357E-17</v>
      </c>
    </row>
    <row r="1270" spans="1:15" x14ac:dyDescent="0.35">
      <c r="H1270" s="3">
        <f>b*COS(C1268)</f>
        <v>-5.1227218543588044</v>
      </c>
      <c r="I1270" s="3">
        <f>-SIN(B1226)</f>
        <v>0.30471677263820646</v>
      </c>
      <c r="J1270" s="4"/>
      <c r="K1270" s="3">
        <v>1.3044055939735473</v>
      </c>
      <c r="L1270" s="3">
        <v>-0.79540088617780891</v>
      </c>
      <c r="M1270" s="3">
        <f>-F1269</f>
        <v>0</v>
      </c>
      <c r="O1270" s="1">
        <v>1.9976131225385652E-16</v>
      </c>
    </row>
    <row r="1272" spans="1:15" x14ac:dyDescent="0.35">
      <c r="A1272" s="9" t="s">
        <v>6</v>
      </c>
      <c r="C1272" s="2" t="s">
        <v>4</v>
      </c>
    </row>
    <row r="1273" spans="1:15" x14ac:dyDescent="0.35">
      <c r="A1273" s="2" t="s">
        <v>5</v>
      </c>
      <c r="B1273" s="6">
        <v>0</v>
      </c>
      <c r="C1273" s="3">
        <f>B1273*PI()/180</f>
        <v>0</v>
      </c>
    </row>
    <row r="1274" spans="1:15" x14ac:dyDescent="0.35">
      <c r="A1274" s="4"/>
      <c r="B1274" s="4"/>
      <c r="C1274" s="1"/>
      <c r="H1274" s="18" t="s">
        <v>12</v>
      </c>
      <c r="I1274" s="18"/>
      <c r="J1274" s="4"/>
      <c r="K1274" s="18" t="s">
        <v>13</v>
      </c>
      <c r="L1274" s="18"/>
      <c r="M1274" s="19" t="s">
        <v>14</v>
      </c>
      <c r="O1274" s="21" t="s">
        <v>15</v>
      </c>
    </row>
    <row r="1275" spans="1:15" x14ac:dyDescent="0.35">
      <c r="A1275" s="2" t="s">
        <v>7</v>
      </c>
      <c r="B1275" s="6">
        <v>110</v>
      </c>
      <c r="C1275" s="3">
        <f>B1275*PI()/180</f>
        <v>1.9198621771937625</v>
      </c>
      <c r="E1275" s="11" t="s">
        <v>10</v>
      </c>
      <c r="F1275" s="1">
        <f>-B1276*COS(t.1)+a*COS(C1273)+b*COS(C1275)-c.*COS(t.4)</f>
        <v>-5.0521208599540124</v>
      </c>
      <c r="H1275" s="8" t="s">
        <v>7</v>
      </c>
      <c r="I1275" s="8" t="s">
        <v>9</v>
      </c>
      <c r="J1275" s="4"/>
      <c r="K1275" s="8" t="s">
        <v>7</v>
      </c>
      <c r="L1275" s="8" t="s">
        <v>9</v>
      </c>
      <c r="M1275" s="20"/>
      <c r="O1275" s="22"/>
    </row>
    <row r="1276" spans="1:15" x14ac:dyDescent="0.35">
      <c r="A1276" s="2" t="s">
        <v>9</v>
      </c>
      <c r="B1276" s="6">
        <v>6</v>
      </c>
      <c r="C1276" s="3"/>
      <c r="E1276" s="11" t="s">
        <v>11</v>
      </c>
      <c r="F1276" s="1">
        <f>-B1276*SIN(t.1)+a*SIN(C1273)+b*SIN(C1275)-c.*SIN(t.4)</f>
        <v>3.1381557247154506</v>
      </c>
      <c r="H1276" s="3">
        <f>-b*SIN(C1275)</f>
        <v>-5.6381557247154506</v>
      </c>
      <c r="I1276" s="3">
        <f>-COS(t.1)</f>
        <v>-1</v>
      </c>
      <c r="J1276" s="4"/>
      <c r="K1276" s="3" cm="1">
        <f t="array" ref="K1276:L1277">MINVERSE(H1276:I1277)</f>
        <v>0</v>
      </c>
      <c r="L1276" s="3">
        <v>-0.48730073336051455</v>
      </c>
      <c r="M1276" s="3">
        <f>-F1275</f>
        <v>5.0521208599540124</v>
      </c>
      <c r="O1276" s="1" cm="1">
        <f t="array" ref="O1276:O1277">MMULT(K1276:L1277,M1276:M1277)</f>
        <v>1.5292255860533361</v>
      </c>
    </row>
    <row r="1277" spans="1:15" x14ac:dyDescent="0.35">
      <c r="H1277" s="3">
        <f>b*COS(C1275)</f>
        <v>-2.0521208599540124</v>
      </c>
      <c r="I1277" s="3">
        <f>-SIN(t.1)</f>
        <v>0</v>
      </c>
      <c r="J1277" s="4"/>
      <c r="K1277" s="3">
        <v>-1</v>
      </c>
      <c r="L1277" s="3">
        <v>2.7474774194546225</v>
      </c>
      <c r="M1277" s="3">
        <f>-F1276</f>
        <v>-3.1381557247154506</v>
      </c>
      <c r="O1277" s="1">
        <v>-13.67413285234197</v>
      </c>
    </row>
    <row r="1279" spans="1:15" x14ac:dyDescent="0.35">
      <c r="A1279" s="9" t="s">
        <v>16</v>
      </c>
      <c r="C1279" s="2" t="s">
        <v>4</v>
      </c>
    </row>
    <row r="1280" spans="1:15" x14ac:dyDescent="0.35">
      <c r="A1280" s="2" t="s">
        <v>5</v>
      </c>
      <c r="B1280" s="6">
        <v>360</v>
      </c>
      <c r="C1280" s="3">
        <f>B1280*PI()/180</f>
        <v>6.2831853071795862</v>
      </c>
    </row>
    <row r="1281" spans="1:15" x14ac:dyDescent="0.35">
      <c r="A1281" s="4"/>
      <c r="B1281" s="4"/>
      <c r="C1281" s="1"/>
      <c r="H1281" s="18" t="s">
        <v>12</v>
      </c>
      <c r="I1281" s="18"/>
      <c r="J1281" s="4"/>
      <c r="K1281" s="18" t="s">
        <v>13</v>
      </c>
      <c r="L1281" s="18"/>
      <c r="M1281" s="19" t="s">
        <v>14</v>
      </c>
      <c r="O1281" s="21" t="s">
        <v>15</v>
      </c>
    </row>
    <row r="1282" spans="1:15" x14ac:dyDescent="0.35">
      <c r="A1282" s="2" t="s">
        <v>7</v>
      </c>
      <c r="B1282" s="6">
        <f>C1282*180/PI()</f>
        <v>197.61817200427606</v>
      </c>
      <c r="C1282" s="3">
        <f>O1276+C1275</f>
        <v>3.4490877632470989</v>
      </c>
      <c r="E1282" s="11" t="s">
        <v>10</v>
      </c>
      <c r="F1282" s="1">
        <f>-B1283*COS(t.1)+a*COS(C1280)+b*COS(C1282)-c.*COS(t.4)</f>
        <v>4.9555645333999108</v>
      </c>
      <c r="H1282" s="8" t="s">
        <v>7</v>
      </c>
      <c r="I1282" s="8" t="s">
        <v>9</v>
      </c>
      <c r="J1282" s="4"/>
      <c r="K1282" s="8" t="s">
        <v>7</v>
      </c>
      <c r="L1282" s="8" t="s">
        <v>9</v>
      </c>
      <c r="M1282" s="20"/>
      <c r="O1282" s="22"/>
    </row>
    <row r="1283" spans="1:15" x14ac:dyDescent="0.35">
      <c r="A1283" s="2" t="s">
        <v>9</v>
      </c>
      <c r="B1283" s="6">
        <f>O1277+B1276</f>
        <v>-7.6741328523419696</v>
      </c>
      <c r="C1283" s="3"/>
      <c r="E1283" s="11" t="s">
        <v>11</v>
      </c>
      <c r="F1283" s="1">
        <f>-B1283*SIN(t.1)+a*SIN(C1280)+b*SIN(C1282)-c.*SIN(t.4)</f>
        <v>-4.3160331444090438</v>
      </c>
      <c r="H1283" s="3">
        <f>-b*SIN(C1282)</f>
        <v>1.8160331444090434</v>
      </c>
      <c r="I1283" s="3">
        <f>-COS(t.1)</f>
        <v>-1</v>
      </c>
      <c r="J1283" s="4"/>
      <c r="K1283" s="3" cm="1">
        <f t="array" ref="K1283:L1284">MINVERSE(H1283:I1284)</f>
        <v>0</v>
      </c>
      <c r="L1283" s="3">
        <v>-0.1748689434534903</v>
      </c>
      <c r="M1283" s="3">
        <f>-F1282</f>
        <v>-4.9555645333999108</v>
      </c>
      <c r="O1283" s="1" cm="1">
        <f t="array" ref="O1283:O1284">MMULT(K1283:L1284,M1283:M1284)</f>
        <v>-0.75474015587305499</v>
      </c>
    </row>
    <row r="1284" spans="1:15" x14ac:dyDescent="0.35">
      <c r="H1284" s="3">
        <f>b*COS(C1282)</f>
        <v>-5.7185683189420589</v>
      </c>
      <c r="I1284" s="3">
        <f>-SIN(t.1)</f>
        <v>0</v>
      </c>
      <c r="J1284" s="4"/>
      <c r="K1284" s="3">
        <v>-1</v>
      </c>
      <c r="L1284" s="3">
        <v>-0.31756779723932921</v>
      </c>
      <c r="M1284" s="3">
        <f>-F1283</f>
        <v>4.3160331444090438</v>
      </c>
      <c r="O1284" s="1">
        <v>3.5849313949179953</v>
      </c>
    </row>
    <row r="1286" spans="1:15" x14ac:dyDescent="0.35">
      <c r="A1286" s="9" t="s">
        <v>17</v>
      </c>
      <c r="C1286" s="2" t="s">
        <v>4</v>
      </c>
    </row>
    <row r="1287" spans="1:15" x14ac:dyDescent="0.35">
      <c r="A1287" s="2" t="s">
        <v>5</v>
      </c>
      <c r="B1287" s="6">
        <v>360</v>
      </c>
      <c r="C1287" s="3">
        <f>B1287*PI()/180</f>
        <v>6.2831853071795862</v>
      </c>
    </row>
    <row r="1288" spans="1:15" x14ac:dyDescent="0.35">
      <c r="A1288" s="4"/>
      <c r="B1288" s="4"/>
      <c r="C1288" s="1"/>
      <c r="H1288" s="18" t="s">
        <v>12</v>
      </c>
      <c r="I1288" s="18"/>
      <c r="J1288" s="4"/>
      <c r="K1288" s="18" t="s">
        <v>13</v>
      </c>
      <c r="L1288" s="18"/>
      <c r="M1288" s="19" t="s">
        <v>14</v>
      </c>
      <c r="O1288" s="21" t="s">
        <v>15</v>
      </c>
    </row>
    <row r="1289" spans="1:15" x14ac:dyDescent="0.35">
      <c r="A1289" s="2" t="s">
        <v>7</v>
      </c>
      <c r="B1289" s="6">
        <f>C1289*180/PI()</f>
        <v>154.37474644370411</v>
      </c>
      <c r="C1289" s="3">
        <f>O1283+C1282</f>
        <v>2.694347607374044</v>
      </c>
      <c r="E1289" s="11" t="s">
        <v>10</v>
      </c>
      <c r="F1289" s="1">
        <f>-B1290*COS(t.1)+a*COS(C1287)+b*COS(C1289)-c.*COS(t.4)</f>
        <v>1.679349495284695</v>
      </c>
      <c r="H1289" s="8" t="s">
        <v>7</v>
      </c>
      <c r="I1289" s="8" t="s">
        <v>9</v>
      </c>
      <c r="J1289" s="4"/>
      <c r="K1289" s="8" t="s">
        <v>7</v>
      </c>
      <c r="L1289" s="8" t="s">
        <v>9</v>
      </c>
      <c r="M1289" s="20"/>
      <c r="O1289" s="22"/>
    </row>
    <row r="1290" spans="1:15" x14ac:dyDescent="0.35">
      <c r="A1290" s="2" t="s">
        <v>9</v>
      </c>
      <c r="B1290" s="6">
        <f>O1284+B1283</f>
        <v>-4.0892014574239743</v>
      </c>
      <c r="C1290" s="3"/>
      <c r="E1290" s="11" t="s">
        <v>11</v>
      </c>
      <c r="F1290" s="1">
        <f>-B1290*SIN(t.1)+a*SIN(C1287)+b*SIN(C1289)-c.*SIN(t.4)</f>
        <v>9.4899178723094391E-2</v>
      </c>
      <c r="H1290" s="3">
        <f>-b*SIN(C1289)</f>
        <v>-2.5948991787230953</v>
      </c>
      <c r="I1290" s="3">
        <f>-COS(t.1)</f>
        <v>-1</v>
      </c>
      <c r="J1290" s="4"/>
      <c r="K1290" s="3" cm="1">
        <f t="array" ref="K1290:L1291">MINVERSE(H1290:I1291)</f>
        <v>0</v>
      </c>
      <c r="L1290" s="3">
        <v>-0.18484794168093255</v>
      </c>
      <c r="M1290" s="3">
        <f>-F1289</f>
        <v>-1.679349495284695</v>
      </c>
      <c r="O1290" s="1" cm="1">
        <f t="array" ref="O1290:O1291">MMULT(K1290:L1291,M1290:M1291)</f>
        <v>1.7541917854174947E-2</v>
      </c>
    </row>
    <row r="1291" spans="1:15" x14ac:dyDescent="0.35">
      <c r="H1291" s="3">
        <f>b*COS(C1289)</f>
        <v>-5.4098519621392791</v>
      </c>
      <c r="I1291" s="3">
        <f>-SIN(t.1)</f>
        <v>0</v>
      </c>
      <c r="J1291" s="4"/>
      <c r="K1291" s="3">
        <v>-1</v>
      </c>
      <c r="L1291" s="3">
        <v>0.47966177205650651</v>
      </c>
      <c r="M1291" s="3">
        <f>-F1290</f>
        <v>-9.4899178723094391E-2</v>
      </c>
      <c r="O1291" s="1">
        <v>1.6338299870516684</v>
      </c>
    </row>
    <row r="1293" spans="1:15" x14ac:dyDescent="0.35">
      <c r="A1293" s="9" t="s">
        <v>18</v>
      </c>
      <c r="C1293" s="2" t="s">
        <v>4</v>
      </c>
    </row>
    <row r="1294" spans="1:15" x14ac:dyDescent="0.35">
      <c r="A1294" s="2" t="s">
        <v>5</v>
      </c>
      <c r="B1294" s="6">
        <v>360</v>
      </c>
      <c r="C1294" s="3">
        <f>B1294*PI()/180</f>
        <v>6.2831853071795862</v>
      </c>
    </row>
    <row r="1295" spans="1:15" x14ac:dyDescent="0.35">
      <c r="A1295" s="4"/>
      <c r="B1295" s="4"/>
      <c r="C1295" s="1"/>
      <c r="H1295" s="18" t="s">
        <v>12</v>
      </c>
      <c r="I1295" s="18"/>
      <c r="J1295" s="4"/>
      <c r="K1295" s="18" t="s">
        <v>13</v>
      </c>
      <c r="L1295" s="18"/>
      <c r="M1295" s="19" t="s">
        <v>14</v>
      </c>
      <c r="O1295" s="21" t="s">
        <v>15</v>
      </c>
    </row>
    <row r="1296" spans="1:15" x14ac:dyDescent="0.35">
      <c r="A1296" s="2" t="s">
        <v>7</v>
      </c>
      <c r="B1296" s="6">
        <f>C1296*180/PI()</f>
        <v>155.37982430131353</v>
      </c>
      <c r="C1296" s="3">
        <f>O1290+C1289</f>
        <v>2.7118895252282189</v>
      </c>
      <c r="E1296" s="11" t="s">
        <v>10</v>
      </c>
      <c r="F1296" s="1">
        <f>-B1297*COS(t.1)+a*COS(C1294)+b*COS(C1296)-c.*COS(t.4)</f>
        <v>8.3466995413401758E-4</v>
      </c>
      <c r="H1296" s="8" t="s">
        <v>7</v>
      </c>
      <c r="I1296" s="8" t="s">
        <v>9</v>
      </c>
      <c r="J1296" s="4"/>
      <c r="K1296" s="8" t="s">
        <v>7</v>
      </c>
      <c r="L1296" s="8" t="s">
        <v>9</v>
      </c>
      <c r="M1296" s="20"/>
      <c r="O1296" s="22"/>
    </row>
    <row r="1297" spans="1:15" x14ac:dyDescent="0.35">
      <c r="A1297" s="2" t="s">
        <v>9</v>
      </c>
      <c r="B1297" s="6">
        <f>O1291+B1290</f>
        <v>-2.455371470372306</v>
      </c>
      <c r="C1297" s="3"/>
      <c r="E1297" s="11" t="s">
        <v>11</v>
      </c>
      <c r="F1297" s="1">
        <f>-B1297*SIN(t.1)+a*SIN(C1294)+b*SIN(C1296)-c.*SIN(t.4)</f>
        <v>-3.9437252916130205E-4</v>
      </c>
      <c r="H1297" s="3">
        <f>-b*SIN(C1296)</f>
        <v>-2.4996056274708396</v>
      </c>
      <c r="I1297" s="3">
        <f>-COS(t.1)</f>
        <v>-1</v>
      </c>
      <c r="J1297" s="4"/>
      <c r="K1297" s="3" cm="1">
        <f t="array" ref="K1297:L1298">MINVERSE(H1297:I1298)</f>
        <v>0</v>
      </c>
      <c r="L1297" s="3">
        <v>-0.1833336242086285</v>
      </c>
      <c r="M1297" s="3">
        <f>-F1296</f>
        <v>-8.3466995413401758E-4</v>
      </c>
      <c r="O1297" s="1" cm="1">
        <f t="array" ref="O1297:O1298">MMULT(K1297:L1298,M1297:M1298)</f>
        <v>-7.2301745059464534E-5</v>
      </c>
    </row>
    <row r="1298" spans="1:15" x14ac:dyDescent="0.35">
      <c r="H1298" s="3">
        <f>b*COS(C1296)</f>
        <v>-5.4545368004181718</v>
      </c>
      <c r="I1298" s="3">
        <f>-SIN(t.1)</f>
        <v>0</v>
      </c>
      <c r="J1298" s="4"/>
      <c r="K1298" s="3">
        <v>-1</v>
      </c>
      <c r="L1298" s="3">
        <v>0.45826175877651193</v>
      </c>
      <c r="M1298" s="3">
        <f>-F1297</f>
        <v>3.9437252916130205E-4</v>
      </c>
      <c r="O1298" s="1">
        <v>1.0153958029606172E-3</v>
      </c>
    </row>
    <row r="1300" spans="1:15" x14ac:dyDescent="0.35">
      <c r="A1300" s="9" t="s">
        <v>19</v>
      </c>
      <c r="C1300" s="2" t="s">
        <v>4</v>
      </c>
    </row>
    <row r="1301" spans="1:15" x14ac:dyDescent="0.35">
      <c r="A1301" s="2" t="s">
        <v>5</v>
      </c>
      <c r="B1301" s="6">
        <v>360</v>
      </c>
      <c r="C1301" s="3">
        <f>B1301*PI()/180</f>
        <v>6.2831853071795862</v>
      </c>
    </row>
    <row r="1302" spans="1:15" x14ac:dyDescent="0.35">
      <c r="A1302" s="4"/>
      <c r="B1302" s="4"/>
      <c r="C1302" s="1"/>
      <c r="H1302" s="18" t="s">
        <v>12</v>
      </c>
      <c r="I1302" s="18"/>
      <c r="J1302" s="4"/>
      <c r="K1302" s="18" t="s">
        <v>13</v>
      </c>
      <c r="L1302" s="18"/>
      <c r="M1302" s="19" t="s">
        <v>14</v>
      </c>
      <c r="O1302" s="21" t="s">
        <v>15</v>
      </c>
    </row>
    <row r="1303" spans="1:15" x14ac:dyDescent="0.35">
      <c r="A1303" s="2" t="s">
        <v>7</v>
      </c>
      <c r="B1303" s="6">
        <f>C1303*180/PI()</f>
        <v>155.37568171647018</v>
      </c>
      <c r="C1303" s="3">
        <f>O1297+C1296</f>
        <v>2.7118172234831595</v>
      </c>
      <c r="E1303" s="11" t="s">
        <v>10</v>
      </c>
      <c r="F1303" s="1">
        <f>-B1304*COS(t.1)+a*COS(C1301)+b*COS(C1303)-c.*COS(t.4)</f>
        <v>1.425675295825329E-8</v>
      </c>
      <c r="H1303" s="8" t="s">
        <v>7</v>
      </c>
      <c r="I1303" s="8" t="s">
        <v>9</v>
      </c>
      <c r="J1303" s="4"/>
      <c r="K1303" s="8" t="s">
        <v>7</v>
      </c>
      <c r="L1303" s="8" t="s">
        <v>9</v>
      </c>
      <c r="M1303" s="20"/>
      <c r="O1303" s="22"/>
    </row>
    <row r="1304" spans="1:15" x14ac:dyDescent="0.35">
      <c r="A1304" s="2" t="s">
        <v>9</v>
      </c>
      <c r="B1304" s="6">
        <f>O1298+B1297</f>
        <v>-2.4543560745693451</v>
      </c>
      <c r="C1304" s="3"/>
      <c r="E1304" s="11" t="s">
        <v>11</v>
      </c>
      <c r="F1304" s="1">
        <f>-B1304*SIN(t.1)+a*SIN(C1301)+b*SIN(C1303)-c.*SIN(t.4)</f>
        <v>-6.5337406596199799E-9</v>
      </c>
      <c r="H1304" s="3">
        <f>-b*SIN(C1303)</f>
        <v>-2.4999999934662602</v>
      </c>
      <c r="I1304" s="3">
        <f>-COS(t.1)</f>
        <v>-1</v>
      </c>
      <c r="J1304" s="4"/>
      <c r="K1304" s="3" cm="1">
        <f t="array" ref="K1304:L1305">MINVERSE(H1304:I1305)</f>
        <v>0</v>
      </c>
      <c r="L1304" s="3">
        <v>-0.1833396993049789</v>
      </c>
      <c r="M1304" s="3">
        <f>-F1303</f>
        <v>-1.425675295825329E-8</v>
      </c>
      <c r="O1304" s="1" cm="1">
        <f t="array" ref="O1304:O1305">MMULT(K1304:L1305,M1304:M1305)</f>
        <v>-1.1978940478714415E-9</v>
      </c>
    </row>
    <row r="1305" spans="1:15" x14ac:dyDescent="0.35">
      <c r="H1305" s="3">
        <f>b*COS(C1303)</f>
        <v>-5.454356060312592</v>
      </c>
      <c r="I1305" s="3">
        <f>-SIN(t.1)</f>
        <v>0</v>
      </c>
      <c r="J1305" s="4"/>
      <c r="K1305" s="3">
        <v>-1</v>
      </c>
      <c r="L1305" s="3">
        <v>0.45834924706455338</v>
      </c>
      <c r="M1305" s="3">
        <f>-F1304</f>
        <v>6.5337406596199799E-9</v>
      </c>
      <c r="O1305" s="1">
        <v>1.7251488070105165E-8</v>
      </c>
    </row>
    <row r="1307" spans="1:15" x14ac:dyDescent="0.35">
      <c r="A1307" s="9" t="s">
        <v>20</v>
      </c>
      <c r="C1307" s="2" t="s">
        <v>4</v>
      </c>
    </row>
    <row r="1308" spans="1:15" x14ac:dyDescent="0.35">
      <c r="A1308" s="2" t="s">
        <v>5</v>
      </c>
      <c r="B1308" s="6">
        <v>360</v>
      </c>
      <c r="C1308" s="3">
        <f>B1308*PI()/180</f>
        <v>6.2831853071795862</v>
      </c>
    </row>
    <row r="1309" spans="1:15" x14ac:dyDescent="0.35">
      <c r="A1309" s="4"/>
      <c r="B1309" s="4"/>
      <c r="C1309" s="1"/>
      <c r="H1309" s="18" t="s">
        <v>12</v>
      </c>
      <c r="I1309" s="18"/>
      <c r="J1309" s="4"/>
      <c r="K1309" s="18" t="s">
        <v>13</v>
      </c>
      <c r="L1309" s="18"/>
      <c r="M1309" s="19" t="s">
        <v>14</v>
      </c>
      <c r="O1309" s="21" t="s">
        <v>15</v>
      </c>
    </row>
    <row r="1310" spans="1:15" x14ac:dyDescent="0.35">
      <c r="A1310" s="2" t="s">
        <v>7</v>
      </c>
      <c r="B1310" s="6">
        <f>C1310*180/PI()</f>
        <v>155.3756816478359</v>
      </c>
      <c r="C1310" s="3">
        <f>O1304+C1303</f>
        <v>2.7118172222852652</v>
      </c>
      <c r="E1310" s="11" t="s">
        <v>10</v>
      </c>
      <c r="F1310" s="1">
        <f>-B1311*COS(t.1)+a*COS(C1308)+b*COS(C1310)-c.*COS(t.4)</f>
        <v>7.3503486283654773E-16</v>
      </c>
      <c r="H1310" s="8" t="s">
        <v>7</v>
      </c>
      <c r="I1310" s="8" t="s">
        <v>9</v>
      </c>
      <c r="J1310" s="4"/>
      <c r="K1310" s="8" t="s">
        <v>7</v>
      </c>
      <c r="L1310" s="8" t="s">
        <v>9</v>
      </c>
      <c r="M1310" s="20"/>
      <c r="O1310" s="22"/>
    </row>
    <row r="1311" spans="1:15" x14ac:dyDescent="0.35">
      <c r="A1311" s="2" t="s">
        <v>9</v>
      </c>
      <c r="B1311" s="6">
        <f>O1305+B1304</f>
        <v>-2.4543560573178569</v>
      </c>
      <c r="C1311" s="3"/>
      <c r="E1311" s="11" t="s">
        <v>11</v>
      </c>
      <c r="F1311" s="1">
        <f>-B1311*SIN(t.1)+a*SIN(C1308)+b*SIN(C1310)-c.*SIN(t.4)</f>
        <v>0</v>
      </c>
      <c r="H1311" s="3">
        <f>-b*SIN(C1310)</f>
        <v>-2.5000000000000018</v>
      </c>
      <c r="I1311" s="3">
        <f>-COS(B1268)</f>
        <v>0.56436900064131568</v>
      </c>
      <c r="J1311" s="4"/>
      <c r="K1311" s="3" cm="1">
        <f t="array" ref="K1311:L1312">MINVERSE(H1311:I1312)</f>
        <v>0.8137534277024997</v>
      </c>
      <c r="L1311" s="3">
        <v>-0.55632297146886101</v>
      </c>
      <c r="M1311" s="3">
        <f>-F1310</f>
        <v>-7.3503486283654773E-16</v>
      </c>
      <c r="O1311" s="1" cm="1">
        <f t="array" ref="O1311:O1312">MMULT(K1311:L1312,M1311:M1312)</f>
        <v>-5.9813713911407747E-16</v>
      </c>
    </row>
    <row r="1312" spans="1:15" x14ac:dyDescent="0.35">
      <c r="H1312" s="3">
        <f>b*COS(C1310)</f>
        <v>-5.454356057317856</v>
      </c>
      <c r="I1312" s="3">
        <f>-SIN(B1268)</f>
        <v>0.82552264118867302</v>
      </c>
      <c r="J1312" s="4"/>
      <c r="K1312" s="3">
        <v>5.3765950394301525</v>
      </c>
      <c r="L1312" s="3">
        <v>-2.464358295887481</v>
      </c>
      <c r="M1312" s="3">
        <f>-F1311</f>
        <v>0</v>
      </c>
      <c r="O1312" s="1">
        <v>-3.9519847973352049E-15</v>
      </c>
    </row>
  </sheetData>
  <mergeCells count="744">
    <mergeCell ref="H1309:I1309"/>
    <mergeCell ref="K1309:L1309"/>
    <mergeCell ref="M1309:M1310"/>
    <mergeCell ref="O1309:O1310"/>
    <mergeCell ref="H1295:I1295"/>
    <mergeCell ref="K1295:L1295"/>
    <mergeCell ref="M1295:M1296"/>
    <mergeCell ref="O1295:O1296"/>
    <mergeCell ref="H1302:I1302"/>
    <mergeCell ref="K1302:L1302"/>
    <mergeCell ref="M1302:M1303"/>
    <mergeCell ref="O1302:O1303"/>
    <mergeCell ref="H1281:I1281"/>
    <mergeCell ref="K1281:L1281"/>
    <mergeCell ref="M1281:M1282"/>
    <mergeCell ref="O1281:O1282"/>
    <mergeCell ref="H1288:I1288"/>
    <mergeCell ref="K1288:L1288"/>
    <mergeCell ref="M1288:M1289"/>
    <mergeCell ref="O1288:O1289"/>
    <mergeCell ref="H1267:I1267"/>
    <mergeCell ref="K1267:L1267"/>
    <mergeCell ref="M1267:M1268"/>
    <mergeCell ref="O1267:O1268"/>
    <mergeCell ref="H1274:I1274"/>
    <mergeCell ref="K1274:L1274"/>
    <mergeCell ref="M1274:M1275"/>
    <mergeCell ref="O1274:O1275"/>
    <mergeCell ref="H1253:I1253"/>
    <mergeCell ref="K1253:L1253"/>
    <mergeCell ref="M1253:M1254"/>
    <mergeCell ref="O1253:O1254"/>
    <mergeCell ref="H1260:I1260"/>
    <mergeCell ref="K1260:L1260"/>
    <mergeCell ref="M1260:M1261"/>
    <mergeCell ref="O1260:O1261"/>
    <mergeCell ref="H1246:I1246"/>
    <mergeCell ref="K1246:L1246"/>
    <mergeCell ref="M1246:M1247"/>
    <mergeCell ref="O1246:O1247"/>
    <mergeCell ref="H1232:I1232"/>
    <mergeCell ref="K1232:L1232"/>
    <mergeCell ref="M1232:M1233"/>
    <mergeCell ref="O1232:O1233"/>
    <mergeCell ref="H1239:I1239"/>
    <mergeCell ref="K1239:L1239"/>
    <mergeCell ref="M1239:M1240"/>
    <mergeCell ref="O1239:O1240"/>
    <mergeCell ref="H1218:I1218"/>
    <mergeCell ref="K1218:L1218"/>
    <mergeCell ref="M1218:M1219"/>
    <mergeCell ref="O1218:O1219"/>
    <mergeCell ref="H1225:I1225"/>
    <mergeCell ref="K1225:L1225"/>
    <mergeCell ref="M1225:M1226"/>
    <mergeCell ref="O1225:O1226"/>
    <mergeCell ref="H1204:I1204"/>
    <mergeCell ref="K1204:L1204"/>
    <mergeCell ref="M1204:M1205"/>
    <mergeCell ref="O1204:O1205"/>
    <mergeCell ref="H1211:I1211"/>
    <mergeCell ref="K1211:L1211"/>
    <mergeCell ref="M1211:M1212"/>
    <mergeCell ref="O1211:O1212"/>
    <mergeCell ref="H1190:I1190"/>
    <mergeCell ref="K1190:L1190"/>
    <mergeCell ref="M1190:M1191"/>
    <mergeCell ref="O1190:O1191"/>
    <mergeCell ref="H1197:I1197"/>
    <mergeCell ref="K1197:L1197"/>
    <mergeCell ref="M1197:M1198"/>
    <mergeCell ref="O1197:O1198"/>
    <mergeCell ref="H1176:I1176"/>
    <mergeCell ref="K1176:L1176"/>
    <mergeCell ref="M1176:M1177"/>
    <mergeCell ref="O1176:O1177"/>
    <mergeCell ref="H1183:I1183"/>
    <mergeCell ref="K1183:L1183"/>
    <mergeCell ref="M1183:M1184"/>
    <mergeCell ref="O1183:O1184"/>
    <mergeCell ref="H1162:I1162"/>
    <mergeCell ref="K1162:L1162"/>
    <mergeCell ref="M1162:M1163"/>
    <mergeCell ref="O1162:O1163"/>
    <mergeCell ref="H1169:I1169"/>
    <mergeCell ref="K1169:L1169"/>
    <mergeCell ref="M1169:M1170"/>
    <mergeCell ref="O1169:O1170"/>
    <mergeCell ref="H1148:I1148"/>
    <mergeCell ref="K1148:L1148"/>
    <mergeCell ref="M1148:M1149"/>
    <mergeCell ref="O1148:O1149"/>
    <mergeCell ref="H1155:I1155"/>
    <mergeCell ref="K1155:L1155"/>
    <mergeCell ref="M1155:M1156"/>
    <mergeCell ref="O1155:O1156"/>
    <mergeCell ref="H1134:I1134"/>
    <mergeCell ref="K1134:L1134"/>
    <mergeCell ref="M1134:M1135"/>
    <mergeCell ref="O1134:O1135"/>
    <mergeCell ref="H1141:I1141"/>
    <mergeCell ref="K1141:L1141"/>
    <mergeCell ref="M1141:M1142"/>
    <mergeCell ref="O1141:O1142"/>
    <mergeCell ref="H1120:I1120"/>
    <mergeCell ref="K1120:L1120"/>
    <mergeCell ref="M1120:M1121"/>
    <mergeCell ref="O1120:O1121"/>
    <mergeCell ref="H1127:I1127"/>
    <mergeCell ref="K1127:L1127"/>
    <mergeCell ref="M1127:M1128"/>
    <mergeCell ref="O1127:O1128"/>
    <mergeCell ref="H1106:I1106"/>
    <mergeCell ref="K1106:L1106"/>
    <mergeCell ref="M1106:M1107"/>
    <mergeCell ref="O1106:O1107"/>
    <mergeCell ref="H1113:I1113"/>
    <mergeCell ref="K1113:L1113"/>
    <mergeCell ref="M1113:M1114"/>
    <mergeCell ref="O1113:O1114"/>
    <mergeCell ref="H1092:I1092"/>
    <mergeCell ref="K1092:L1092"/>
    <mergeCell ref="M1092:M1093"/>
    <mergeCell ref="O1092:O1093"/>
    <mergeCell ref="H1099:I1099"/>
    <mergeCell ref="K1099:L1099"/>
    <mergeCell ref="M1099:M1100"/>
    <mergeCell ref="O1099:O1100"/>
    <mergeCell ref="H1078:I1078"/>
    <mergeCell ref="K1078:L1078"/>
    <mergeCell ref="M1078:M1079"/>
    <mergeCell ref="O1078:O1079"/>
    <mergeCell ref="H1085:I1085"/>
    <mergeCell ref="K1085:L1085"/>
    <mergeCell ref="M1085:M1086"/>
    <mergeCell ref="O1085:O1086"/>
    <mergeCell ref="H1064:I1064"/>
    <mergeCell ref="K1064:L1064"/>
    <mergeCell ref="M1064:M1065"/>
    <mergeCell ref="O1064:O1065"/>
    <mergeCell ref="H1071:I1071"/>
    <mergeCell ref="K1071:L1071"/>
    <mergeCell ref="M1071:M1072"/>
    <mergeCell ref="O1071:O1072"/>
    <mergeCell ref="H1050:I1050"/>
    <mergeCell ref="K1050:L1050"/>
    <mergeCell ref="M1050:M1051"/>
    <mergeCell ref="O1050:O1051"/>
    <mergeCell ref="H1057:I1057"/>
    <mergeCell ref="K1057:L1057"/>
    <mergeCell ref="M1057:M1058"/>
    <mergeCell ref="O1057:O1058"/>
    <mergeCell ref="H1036:I1036"/>
    <mergeCell ref="K1036:L1036"/>
    <mergeCell ref="M1036:M1037"/>
    <mergeCell ref="O1036:O1037"/>
    <mergeCell ref="H1043:I1043"/>
    <mergeCell ref="K1043:L1043"/>
    <mergeCell ref="M1043:M1044"/>
    <mergeCell ref="O1043:O1044"/>
    <mergeCell ref="H1022:I1022"/>
    <mergeCell ref="K1022:L1022"/>
    <mergeCell ref="M1022:M1023"/>
    <mergeCell ref="O1022:O1023"/>
    <mergeCell ref="H1029:I1029"/>
    <mergeCell ref="K1029:L1029"/>
    <mergeCell ref="M1029:M1030"/>
    <mergeCell ref="O1029:O1030"/>
    <mergeCell ref="H1008:I1008"/>
    <mergeCell ref="K1008:L1008"/>
    <mergeCell ref="M1008:M1009"/>
    <mergeCell ref="O1008:O1009"/>
    <mergeCell ref="H1015:I1015"/>
    <mergeCell ref="K1015:L1015"/>
    <mergeCell ref="M1015:M1016"/>
    <mergeCell ref="O1015:O1016"/>
    <mergeCell ref="H994:I994"/>
    <mergeCell ref="K994:L994"/>
    <mergeCell ref="M994:M995"/>
    <mergeCell ref="O994:O995"/>
    <mergeCell ref="H1001:I1001"/>
    <mergeCell ref="K1001:L1001"/>
    <mergeCell ref="M1001:M1002"/>
    <mergeCell ref="O1001:O1002"/>
    <mergeCell ref="H980:I980"/>
    <mergeCell ref="K980:L980"/>
    <mergeCell ref="M980:M981"/>
    <mergeCell ref="O980:O981"/>
    <mergeCell ref="H987:I987"/>
    <mergeCell ref="K987:L987"/>
    <mergeCell ref="M987:M988"/>
    <mergeCell ref="O987:O988"/>
    <mergeCell ref="H966:I966"/>
    <mergeCell ref="K966:L966"/>
    <mergeCell ref="M966:M967"/>
    <mergeCell ref="O966:O967"/>
    <mergeCell ref="H973:I973"/>
    <mergeCell ref="K973:L973"/>
    <mergeCell ref="M973:M974"/>
    <mergeCell ref="O973:O974"/>
    <mergeCell ref="H952:I952"/>
    <mergeCell ref="K952:L952"/>
    <mergeCell ref="M952:M953"/>
    <mergeCell ref="O952:O953"/>
    <mergeCell ref="H959:I959"/>
    <mergeCell ref="K959:L959"/>
    <mergeCell ref="M959:M960"/>
    <mergeCell ref="O959:O960"/>
    <mergeCell ref="H938:I938"/>
    <mergeCell ref="K938:L938"/>
    <mergeCell ref="M938:M939"/>
    <mergeCell ref="O938:O939"/>
    <mergeCell ref="H945:I945"/>
    <mergeCell ref="K945:L945"/>
    <mergeCell ref="M945:M946"/>
    <mergeCell ref="O945:O946"/>
    <mergeCell ref="H924:I924"/>
    <mergeCell ref="K924:L924"/>
    <mergeCell ref="M924:M925"/>
    <mergeCell ref="O924:O925"/>
    <mergeCell ref="H931:I931"/>
    <mergeCell ref="K931:L931"/>
    <mergeCell ref="M931:M932"/>
    <mergeCell ref="O931:O932"/>
    <mergeCell ref="H910:I910"/>
    <mergeCell ref="K910:L910"/>
    <mergeCell ref="M910:M911"/>
    <mergeCell ref="O910:O911"/>
    <mergeCell ref="H917:I917"/>
    <mergeCell ref="K917:L917"/>
    <mergeCell ref="M917:M918"/>
    <mergeCell ref="O917:O918"/>
    <mergeCell ref="H896:I896"/>
    <mergeCell ref="K896:L896"/>
    <mergeCell ref="M896:M897"/>
    <mergeCell ref="O896:O897"/>
    <mergeCell ref="H903:I903"/>
    <mergeCell ref="K903:L903"/>
    <mergeCell ref="M903:M904"/>
    <mergeCell ref="O903:O904"/>
    <mergeCell ref="H882:I882"/>
    <mergeCell ref="K882:L882"/>
    <mergeCell ref="M882:M883"/>
    <mergeCell ref="O882:O883"/>
    <mergeCell ref="H889:I889"/>
    <mergeCell ref="K889:L889"/>
    <mergeCell ref="M889:M890"/>
    <mergeCell ref="O889:O890"/>
    <mergeCell ref="H868:I868"/>
    <mergeCell ref="K868:L868"/>
    <mergeCell ref="M868:M869"/>
    <mergeCell ref="O868:O869"/>
    <mergeCell ref="H875:I875"/>
    <mergeCell ref="K875:L875"/>
    <mergeCell ref="M875:M876"/>
    <mergeCell ref="O875:O876"/>
    <mergeCell ref="H854:I854"/>
    <mergeCell ref="K854:L854"/>
    <mergeCell ref="M854:M855"/>
    <mergeCell ref="O854:O855"/>
    <mergeCell ref="H861:I861"/>
    <mergeCell ref="K861:L861"/>
    <mergeCell ref="M861:M862"/>
    <mergeCell ref="O861:O862"/>
    <mergeCell ref="H840:I840"/>
    <mergeCell ref="K840:L840"/>
    <mergeCell ref="M840:M841"/>
    <mergeCell ref="O840:O841"/>
    <mergeCell ref="H847:I847"/>
    <mergeCell ref="K847:L847"/>
    <mergeCell ref="M847:M848"/>
    <mergeCell ref="O847:O848"/>
    <mergeCell ref="H826:I826"/>
    <mergeCell ref="K826:L826"/>
    <mergeCell ref="M826:M827"/>
    <mergeCell ref="O826:O827"/>
    <mergeCell ref="H833:I833"/>
    <mergeCell ref="K833:L833"/>
    <mergeCell ref="M833:M834"/>
    <mergeCell ref="O833:O834"/>
    <mergeCell ref="H812:I812"/>
    <mergeCell ref="K812:L812"/>
    <mergeCell ref="M812:M813"/>
    <mergeCell ref="O812:O813"/>
    <mergeCell ref="H819:I819"/>
    <mergeCell ref="K819:L819"/>
    <mergeCell ref="M819:M820"/>
    <mergeCell ref="O819:O820"/>
    <mergeCell ref="H798:I798"/>
    <mergeCell ref="K798:L798"/>
    <mergeCell ref="M798:M799"/>
    <mergeCell ref="O798:O799"/>
    <mergeCell ref="H805:I805"/>
    <mergeCell ref="K805:L805"/>
    <mergeCell ref="M805:M806"/>
    <mergeCell ref="O805:O806"/>
    <mergeCell ref="H784:I784"/>
    <mergeCell ref="K784:L784"/>
    <mergeCell ref="M784:M785"/>
    <mergeCell ref="O784:O785"/>
    <mergeCell ref="H791:I791"/>
    <mergeCell ref="K791:L791"/>
    <mergeCell ref="M791:M792"/>
    <mergeCell ref="O791:O792"/>
    <mergeCell ref="H770:I770"/>
    <mergeCell ref="K770:L770"/>
    <mergeCell ref="M770:M771"/>
    <mergeCell ref="O770:O771"/>
    <mergeCell ref="H777:I777"/>
    <mergeCell ref="K777:L777"/>
    <mergeCell ref="M777:M778"/>
    <mergeCell ref="O777:O778"/>
    <mergeCell ref="H756:I756"/>
    <mergeCell ref="K756:L756"/>
    <mergeCell ref="M756:M757"/>
    <mergeCell ref="O756:O757"/>
    <mergeCell ref="H763:I763"/>
    <mergeCell ref="K763:L763"/>
    <mergeCell ref="M763:M764"/>
    <mergeCell ref="O763:O764"/>
    <mergeCell ref="H742:I742"/>
    <mergeCell ref="K742:L742"/>
    <mergeCell ref="M742:M743"/>
    <mergeCell ref="O742:O743"/>
    <mergeCell ref="H749:I749"/>
    <mergeCell ref="K749:L749"/>
    <mergeCell ref="M749:M750"/>
    <mergeCell ref="O749:O750"/>
    <mergeCell ref="H728:I728"/>
    <mergeCell ref="K728:L728"/>
    <mergeCell ref="M728:M729"/>
    <mergeCell ref="O728:O729"/>
    <mergeCell ref="H735:I735"/>
    <mergeCell ref="K735:L735"/>
    <mergeCell ref="M735:M736"/>
    <mergeCell ref="O735:O736"/>
    <mergeCell ref="H714:I714"/>
    <mergeCell ref="K714:L714"/>
    <mergeCell ref="M714:M715"/>
    <mergeCell ref="O714:O715"/>
    <mergeCell ref="H721:I721"/>
    <mergeCell ref="K721:L721"/>
    <mergeCell ref="M721:M722"/>
    <mergeCell ref="O721:O722"/>
    <mergeCell ref="H700:I700"/>
    <mergeCell ref="K700:L700"/>
    <mergeCell ref="M700:M701"/>
    <mergeCell ref="O700:O701"/>
    <mergeCell ref="H707:I707"/>
    <mergeCell ref="K707:L707"/>
    <mergeCell ref="M707:M708"/>
    <mergeCell ref="O707:O708"/>
    <mergeCell ref="H686:I686"/>
    <mergeCell ref="K686:L686"/>
    <mergeCell ref="M686:M687"/>
    <mergeCell ref="O686:O687"/>
    <mergeCell ref="H693:I693"/>
    <mergeCell ref="K693:L693"/>
    <mergeCell ref="M693:M694"/>
    <mergeCell ref="O693:O694"/>
    <mergeCell ref="H672:I672"/>
    <mergeCell ref="K672:L672"/>
    <mergeCell ref="M672:M673"/>
    <mergeCell ref="O672:O673"/>
    <mergeCell ref="H679:I679"/>
    <mergeCell ref="K679:L679"/>
    <mergeCell ref="M679:M680"/>
    <mergeCell ref="O679:O680"/>
    <mergeCell ref="H658:I658"/>
    <mergeCell ref="K658:L658"/>
    <mergeCell ref="M658:M659"/>
    <mergeCell ref="O658:O659"/>
    <mergeCell ref="H665:I665"/>
    <mergeCell ref="K665:L665"/>
    <mergeCell ref="M665:M666"/>
    <mergeCell ref="O665:O666"/>
    <mergeCell ref="H644:I644"/>
    <mergeCell ref="K644:L644"/>
    <mergeCell ref="M644:M645"/>
    <mergeCell ref="O644:O645"/>
    <mergeCell ref="H651:I651"/>
    <mergeCell ref="K651:L651"/>
    <mergeCell ref="M651:M652"/>
    <mergeCell ref="O651:O652"/>
    <mergeCell ref="H630:I630"/>
    <mergeCell ref="K630:L630"/>
    <mergeCell ref="M630:M631"/>
    <mergeCell ref="O630:O631"/>
    <mergeCell ref="H637:I637"/>
    <mergeCell ref="K637:L637"/>
    <mergeCell ref="M637:M638"/>
    <mergeCell ref="O637:O638"/>
    <mergeCell ref="H616:I616"/>
    <mergeCell ref="K616:L616"/>
    <mergeCell ref="M616:M617"/>
    <mergeCell ref="O616:O617"/>
    <mergeCell ref="H623:I623"/>
    <mergeCell ref="K623:L623"/>
    <mergeCell ref="M623:M624"/>
    <mergeCell ref="O623:O624"/>
    <mergeCell ref="H602:I602"/>
    <mergeCell ref="K602:L602"/>
    <mergeCell ref="M602:M603"/>
    <mergeCell ref="O602:O603"/>
    <mergeCell ref="H609:I609"/>
    <mergeCell ref="K609:L609"/>
    <mergeCell ref="M609:M610"/>
    <mergeCell ref="O609:O610"/>
    <mergeCell ref="H588:I588"/>
    <mergeCell ref="K588:L588"/>
    <mergeCell ref="M588:M589"/>
    <mergeCell ref="O588:O589"/>
    <mergeCell ref="H595:I595"/>
    <mergeCell ref="K595:L595"/>
    <mergeCell ref="M595:M596"/>
    <mergeCell ref="O595:O596"/>
    <mergeCell ref="H574:I574"/>
    <mergeCell ref="K574:L574"/>
    <mergeCell ref="M574:M575"/>
    <mergeCell ref="O574:O575"/>
    <mergeCell ref="H581:I581"/>
    <mergeCell ref="K581:L581"/>
    <mergeCell ref="M581:M582"/>
    <mergeCell ref="O581:O582"/>
    <mergeCell ref="H560:I560"/>
    <mergeCell ref="K560:L560"/>
    <mergeCell ref="M560:M561"/>
    <mergeCell ref="O560:O561"/>
    <mergeCell ref="H567:I567"/>
    <mergeCell ref="K567:L567"/>
    <mergeCell ref="M567:M568"/>
    <mergeCell ref="O567:O568"/>
    <mergeCell ref="H546:I546"/>
    <mergeCell ref="K546:L546"/>
    <mergeCell ref="M546:M547"/>
    <mergeCell ref="O546:O547"/>
    <mergeCell ref="H553:I553"/>
    <mergeCell ref="K553:L553"/>
    <mergeCell ref="M553:M554"/>
    <mergeCell ref="O553:O554"/>
    <mergeCell ref="H532:I532"/>
    <mergeCell ref="K532:L532"/>
    <mergeCell ref="M532:M533"/>
    <mergeCell ref="O532:O533"/>
    <mergeCell ref="H539:I539"/>
    <mergeCell ref="K539:L539"/>
    <mergeCell ref="M539:M540"/>
    <mergeCell ref="O539:O540"/>
    <mergeCell ref="H518:I518"/>
    <mergeCell ref="K518:L518"/>
    <mergeCell ref="M518:M519"/>
    <mergeCell ref="O518:O519"/>
    <mergeCell ref="H525:I525"/>
    <mergeCell ref="K525:L525"/>
    <mergeCell ref="M525:M526"/>
    <mergeCell ref="O525:O526"/>
    <mergeCell ref="H504:I504"/>
    <mergeCell ref="K504:L504"/>
    <mergeCell ref="M504:M505"/>
    <mergeCell ref="O504:O505"/>
    <mergeCell ref="H511:I511"/>
    <mergeCell ref="K511:L511"/>
    <mergeCell ref="M511:M512"/>
    <mergeCell ref="O511:O512"/>
    <mergeCell ref="H490:I490"/>
    <mergeCell ref="K490:L490"/>
    <mergeCell ref="M490:M491"/>
    <mergeCell ref="O490:O491"/>
    <mergeCell ref="H497:I497"/>
    <mergeCell ref="K497:L497"/>
    <mergeCell ref="M497:M498"/>
    <mergeCell ref="O497:O498"/>
    <mergeCell ref="H476:I476"/>
    <mergeCell ref="K476:L476"/>
    <mergeCell ref="M476:M477"/>
    <mergeCell ref="O476:O477"/>
    <mergeCell ref="H483:I483"/>
    <mergeCell ref="K483:L483"/>
    <mergeCell ref="M483:M484"/>
    <mergeCell ref="O483:O484"/>
    <mergeCell ref="H462:I462"/>
    <mergeCell ref="K462:L462"/>
    <mergeCell ref="M462:M463"/>
    <mergeCell ref="O462:O463"/>
    <mergeCell ref="H469:I469"/>
    <mergeCell ref="K469:L469"/>
    <mergeCell ref="M469:M470"/>
    <mergeCell ref="O469:O470"/>
    <mergeCell ref="H448:I448"/>
    <mergeCell ref="K448:L448"/>
    <mergeCell ref="M448:M449"/>
    <mergeCell ref="O448:O449"/>
    <mergeCell ref="H455:I455"/>
    <mergeCell ref="K455:L455"/>
    <mergeCell ref="M455:M456"/>
    <mergeCell ref="O455:O456"/>
    <mergeCell ref="H434:I434"/>
    <mergeCell ref="K434:L434"/>
    <mergeCell ref="M434:M435"/>
    <mergeCell ref="O434:O435"/>
    <mergeCell ref="H441:I441"/>
    <mergeCell ref="K441:L441"/>
    <mergeCell ref="M441:M442"/>
    <mergeCell ref="O441:O442"/>
    <mergeCell ref="H420:I420"/>
    <mergeCell ref="K420:L420"/>
    <mergeCell ref="M420:M421"/>
    <mergeCell ref="O420:O421"/>
    <mergeCell ref="H427:I427"/>
    <mergeCell ref="K427:L427"/>
    <mergeCell ref="M427:M428"/>
    <mergeCell ref="O427:O428"/>
    <mergeCell ref="H406:I406"/>
    <mergeCell ref="K406:L406"/>
    <mergeCell ref="M406:M407"/>
    <mergeCell ref="O406:O407"/>
    <mergeCell ref="H413:I413"/>
    <mergeCell ref="K413:L413"/>
    <mergeCell ref="M413:M414"/>
    <mergeCell ref="O413:O414"/>
    <mergeCell ref="H392:I392"/>
    <mergeCell ref="K392:L392"/>
    <mergeCell ref="M392:M393"/>
    <mergeCell ref="O392:O393"/>
    <mergeCell ref="H399:I399"/>
    <mergeCell ref="K399:L399"/>
    <mergeCell ref="M399:M400"/>
    <mergeCell ref="O399:O400"/>
    <mergeCell ref="H378:I378"/>
    <mergeCell ref="K378:L378"/>
    <mergeCell ref="M378:M379"/>
    <mergeCell ref="O378:O379"/>
    <mergeCell ref="H385:I385"/>
    <mergeCell ref="K385:L385"/>
    <mergeCell ref="M385:M386"/>
    <mergeCell ref="O385:O386"/>
    <mergeCell ref="H364:I364"/>
    <mergeCell ref="K364:L364"/>
    <mergeCell ref="M364:M365"/>
    <mergeCell ref="O364:O365"/>
    <mergeCell ref="H371:I371"/>
    <mergeCell ref="K371:L371"/>
    <mergeCell ref="M371:M372"/>
    <mergeCell ref="O371:O372"/>
    <mergeCell ref="H350:I350"/>
    <mergeCell ref="K350:L350"/>
    <mergeCell ref="M350:M351"/>
    <mergeCell ref="O350:O351"/>
    <mergeCell ref="H357:I357"/>
    <mergeCell ref="K357:L357"/>
    <mergeCell ref="M357:M358"/>
    <mergeCell ref="O357:O358"/>
    <mergeCell ref="H336:I336"/>
    <mergeCell ref="K336:L336"/>
    <mergeCell ref="M336:M337"/>
    <mergeCell ref="O336:O337"/>
    <mergeCell ref="H343:I343"/>
    <mergeCell ref="K343:L343"/>
    <mergeCell ref="M343:M344"/>
    <mergeCell ref="O343:O344"/>
    <mergeCell ref="H322:I322"/>
    <mergeCell ref="K322:L322"/>
    <mergeCell ref="M322:M323"/>
    <mergeCell ref="O322:O323"/>
    <mergeCell ref="H329:I329"/>
    <mergeCell ref="K329:L329"/>
    <mergeCell ref="M329:M330"/>
    <mergeCell ref="O329:O330"/>
    <mergeCell ref="H308:I308"/>
    <mergeCell ref="K308:L308"/>
    <mergeCell ref="M308:M309"/>
    <mergeCell ref="O308:O309"/>
    <mergeCell ref="H315:I315"/>
    <mergeCell ref="K315:L315"/>
    <mergeCell ref="M315:M316"/>
    <mergeCell ref="O315:O316"/>
    <mergeCell ref="H294:I294"/>
    <mergeCell ref="K294:L294"/>
    <mergeCell ref="M294:M295"/>
    <mergeCell ref="O294:O295"/>
    <mergeCell ref="H301:I301"/>
    <mergeCell ref="K301:L301"/>
    <mergeCell ref="M301:M302"/>
    <mergeCell ref="O301:O302"/>
    <mergeCell ref="H280:I280"/>
    <mergeCell ref="K280:L280"/>
    <mergeCell ref="M280:M281"/>
    <mergeCell ref="O280:O281"/>
    <mergeCell ref="H287:I287"/>
    <mergeCell ref="K287:L287"/>
    <mergeCell ref="M287:M288"/>
    <mergeCell ref="O287:O288"/>
    <mergeCell ref="H266:I266"/>
    <mergeCell ref="K266:L266"/>
    <mergeCell ref="M266:M267"/>
    <mergeCell ref="O266:O267"/>
    <mergeCell ref="H273:I273"/>
    <mergeCell ref="K273:L273"/>
    <mergeCell ref="M273:M274"/>
    <mergeCell ref="O273:O274"/>
    <mergeCell ref="H252:I252"/>
    <mergeCell ref="K252:L252"/>
    <mergeCell ref="M252:M253"/>
    <mergeCell ref="O252:O253"/>
    <mergeCell ref="H259:I259"/>
    <mergeCell ref="K259:L259"/>
    <mergeCell ref="M259:M260"/>
    <mergeCell ref="O259:O260"/>
    <mergeCell ref="H238:I238"/>
    <mergeCell ref="K238:L238"/>
    <mergeCell ref="M238:M239"/>
    <mergeCell ref="O238:O239"/>
    <mergeCell ref="H245:I245"/>
    <mergeCell ref="K245:L245"/>
    <mergeCell ref="M245:M246"/>
    <mergeCell ref="O245:O246"/>
    <mergeCell ref="H224:I224"/>
    <mergeCell ref="K224:L224"/>
    <mergeCell ref="M224:M225"/>
    <mergeCell ref="O224:O225"/>
    <mergeCell ref="H231:I231"/>
    <mergeCell ref="K231:L231"/>
    <mergeCell ref="M231:M232"/>
    <mergeCell ref="O231:O232"/>
    <mergeCell ref="H210:I210"/>
    <mergeCell ref="K210:L210"/>
    <mergeCell ref="M210:M211"/>
    <mergeCell ref="O210:O211"/>
    <mergeCell ref="H217:I217"/>
    <mergeCell ref="K217:L217"/>
    <mergeCell ref="M217:M218"/>
    <mergeCell ref="O217:O218"/>
    <mergeCell ref="H196:I196"/>
    <mergeCell ref="K196:L196"/>
    <mergeCell ref="M196:M197"/>
    <mergeCell ref="O196:O197"/>
    <mergeCell ref="H203:I203"/>
    <mergeCell ref="K203:L203"/>
    <mergeCell ref="M203:M204"/>
    <mergeCell ref="O203:O204"/>
    <mergeCell ref="H182:I182"/>
    <mergeCell ref="K182:L182"/>
    <mergeCell ref="M182:M183"/>
    <mergeCell ref="O182:O183"/>
    <mergeCell ref="H189:I189"/>
    <mergeCell ref="K189:L189"/>
    <mergeCell ref="M189:M190"/>
    <mergeCell ref="O189:O190"/>
    <mergeCell ref="H168:I168"/>
    <mergeCell ref="K168:L168"/>
    <mergeCell ref="M168:M169"/>
    <mergeCell ref="O168:O169"/>
    <mergeCell ref="H175:I175"/>
    <mergeCell ref="K175:L175"/>
    <mergeCell ref="M175:M176"/>
    <mergeCell ref="O175:O176"/>
    <mergeCell ref="H154:I154"/>
    <mergeCell ref="K154:L154"/>
    <mergeCell ref="M154:M155"/>
    <mergeCell ref="O154:O155"/>
    <mergeCell ref="H161:I161"/>
    <mergeCell ref="K161:L161"/>
    <mergeCell ref="M161:M162"/>
    <mergeCell ref="O161:O162"/>
    <mergeCell ref="H140:I140"/>
    <mergeCell ref="K140:L140"/>
    <mergeCell ref="M140:M141"/>
    <mergeCell ref="O140:O141"/>
    <mergeCell ref="H147:I147"/>
    <mergeCell ref="K147:L147"/>
    <mergeCell ref="M147:M148"/>
    <mergeCell ref="O147:O148"/>
    <mergeCell ref="H126:I126"/>
    <mergeCell ref="K126:L126"/>
    <mergeCell ref="M126:M127"/>
    <mergeCell ref="O126:O127"/>
    <mergeCell ref="H133:I133"/>
    <mergeCell ref="K133:L133"/>
    <mergeCell ref="M133:M134"/>
    <mergeCell ref="O133:O134"/>
    <mergeCell ref="H112:I112"/>
    <mergeCell ref="K112:L112"/>
    <mergeCell ref="M112:M113"/>
    <mergeCell ref="O112:O113"/>
    <mergeCell ref="H119:I119"/>
    <mergeCell ref="K119:L119"/>
    <mergeCell ref="M119:M120"/>
    <mergeCell ref="O119:O120"/>
    <mergeCell ref="H13:I13"/>
    <mergeCell ref="K13:L13"/>
    <mergeCell ref="M13:M14"/>
    <mergeCell ref="O13:O14"/>
    <mergeCell ref="H20:I20"/>
    <mergeCell ref="K20:L20"/>
    <mergeCell ref="M20:M21"/>
    <mergeCell ref="O20:O21"/>
    <mergeCell ref="H27:I27"/>
    <mergeCell ref="K27:L27"/>
    <mergeCell ref="M27:M28"/>
    <mergeCell ref="O27:O28"/>
    <mergeCell ref="H34:I34"/>
    <mergeCell ref="K34:L34"/>
    <mergeCell ref="M34:M35"/>
    <mergeCell ref="O34:O35"/>
    <mergeCell ref="H41:I41"/>
    <mergeCell ref="K41:L41"/>
    <mergeCell ref="M41:M42"/>
    <mergeCell ref="O41:O42"/>
    <mergeCell ref="H48:I48"/>
    <mergeCell ref="K48:L48"/>
    <mergeCell ref="M48:M49"/>
    <mergeCell ref="O48:O49"/>
    <mergeCell ref="H55:I55"/>
    <mergeCell ref="K55:L55"/>
    <mergeCell ref="M55:M56"/>
    <mergeCell ref="O55:O56"/>
    <mergeCell ref="H62:I62"/>
    <mergeCell ref="K62:L62"/>
    <mergeCell ref="M62:M63"/>
    <mergeCell ref="O62:O63"/>
    <mergeCell ref="H69:I69"/>
    <mergeCell ref="K69:L69"/>
    <mergeCell ref="M69:M70"/>
    <mergeCell ref="O69:O70"/>
    <mergeCell ref="H76:I76"/>
    <mergeCell ref="K76:L76"/>
    <mergeCell ref="M76:M77"/>
    <mergeCell ref="O76:O77"/>
    <mergeCell ref="H105:I105"/>
    <mergeCell ref="K105:L105"/>
    <mergeCell ref="M105:M106"/>
    <mergeCell ref="O105:O106"/>
    <mergeCell ref="H83:I83"/>
    <mergeCell ref="K83:L83"/>
    <mergeCell ref="M83:M84"/>
    <mergeCell ref="O83:O84"/>
    <mergeCell ref="H90:I90"/>
    <mergeCell ref="K90:L90"/>
    <mergeCell ref="M90:M91"/>
    <mergeCell ref="O90:O91"/>
    <mergeCell ref="H98:I98"/>
    <mergeCell ref="K98:L98"/>
    <mergeCell ref="M98:M99"/>
    <mergeCell ref="O98:O9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51BF-C46C-4006-855A-829F19C90F98}">
  <dimension ref="A1:O92"/>
  <sheetViews>
    <sheetView topLeftCell="A17" workbookViewId="0">
      <selection activeCell="D18" sqref="D18"/>
    </sheetView>
  </sheetViews>
  <sheetFormatPr defaultColWidth="10.90625" defaultRowHeight="14.5" x14ac:dyDescent="0.35"/>
  <sheetData>
    <row r="1" spans="1:15" x14ac:dyDescent="0.35">
      <c r="A1" s="2" t="s">
        <v>0</v>
      </c>
      <c r="B1" s="3">
        <v>6</v>
      </c>
      <c r="C1" s="4"/>
    </row>
    <row r="2" spans="1:15" x14ac:dyDescent="0.35">
      <c r="A2" s="2" t="s">
        <v>1</v>
      </c>
      <c r="B2" s="3">
        <v>12</v>
      </c>
      <c r="C2" s="4"/>
    </row>
    <row r="3" spans="1:15" x14ac:dyDescent="0.35">
      <c r="A3" s="2" t="s">
        <v>2</v>
      </c>
      <c r="B3" s="3">
        <v>4</v>
      </c>
      <c r="C3" s="2" t="s">
        <v>4</v>
      </c>
    </row>
    <row r="4" spans="1:15" x14ac:dyDescent="0.35">
      <c r="A4" s="2" t="s">
        <v>3</v>
      </c>
      <c r="B4" s="3">
        <v>90</v>
      </c>
      <c r="C4" s="3">
        <f>B4*PI()/180</f>
        <v>1.5707963267948966</v>
      </c>
    </row>
    <row r="6" spans="1:15" x14ac:dyDescent="0.35">
      <c r="A6" s="2" t="s">
        <v>8</v>
      </c>
      <c r="B6" s="5">
        <v>0</v>
      </c>
    </row>
    <row r="10" spans="1:15" x14ac:dyDescent="0.35">
      <c r="A10" s="9" t="s">
        <v>6</v>
      </c>
      <c r="C10" s="2" t="s">
        <v>4</v>
      </c>
    </row>
    <row r="11" spans="1:15" x14ac:dyDescent="0.35">
      <c r="A11" s="2" t="s">
        <v>5</v>
      </c>
      <c r="B11" s="6">
        <v>57.29</v>
      </c>
      <c r="C11" s="3">
        <f>B11*PI()/180</f>
        <v>0.99989912846755136</v>
      </c>
    </row>
    <row r="12" spans="1:15" x14ac:dyDescent="0.35">
      <c r="A12" s="4"/>
      <c r="B12" s="4"/>
      <c r="C12" s="1"/>
      <c r="H12" s="18" t="s">
        <v>12</v>
      </c>
      <c r="I12" s="18"/>
      <c r="J12" s="4"/>
      <c r="K12" s="18" t="s">
        <v>13</v>
      </c>
      <c r="L12" s="18"/>
      <c r="M12" s="19" t="s">
        <v>14</v>
      </c>
      <c r="O12" s="21" t="s">
        <v>15</v>
      </c>
    </row>
    <row r="13" spans="1:15" x14ac:dyDescent="0.35">
      <c r="A13" s="2" t="s">
        <v>7</v>
      </c>
      <c r="B13" s="6">
        <v>110</v>
      </c>
      <c r="C13" s="3">
        <f>B13*PI()/180</f>
        <v>1.9198621771937625</v>
      </c>
      <c r="E13" s="10" t="s">
        <v>10</v>
      </c>
      <c r="F13" s="1">
        <f>-B14*COS(B6)+B1*COS(C11)+B2*COS(C13)-B3*COS(C4)</f>
        <v>-6.8619186183863929</v>
      </c>
      <c r="H13" s="8" t="s">
        <v>7</v>
      </c>
      <c r="I13" s="8" t="s">
        <v>9</v>
      </c>
      <c r="J13" s="4"/>
      <c r="K13" s="8" t="s">
        <v>7</v>
      </c>
      <c r="L13" s="8" t="s">
        <v>9</v>
      </c>
      <c r="M13" s="20"/>
      <c r="O13" s="22"/>
    </row>
    <row r="14" spans="1:15" x14ac:dyDescent="0.35">
      <c r="A14" s="2" t="s">
        <v>9</v>
      </c>
      <c r="B14" s="6">
        <v>6</v>
      </c>
      <c r="C14" s="3"/>
      <c r="E14" s="10" t="s">
        <v>11</v>
      </c>
      <c r="F14" s="1">
        <f>-B14*SIN(B6)+B1*SIN(C11)+B2*SIN(C13)-B3*SIN(C4)</f>
        <v>12.324810325863297</v>
      </c>
      <c r="H14" s="3">
        <f>-B2*SIN(C13)</f>
        <v>-11.276311449430901</v>
      </c>
      <c r="I14" s="3">
        <f>-COS(B6)</f>
        <v>-1</v>
      </c>
      <c r="J14" s="4"/>
      <c r="K14" s="3" cm="1">
        <f t="array" ref="K14:L15">MINVERSE(H14:I15)</f>
        <v>0</v>
      </c>
      <c r="L14" s="3">
        <v>-0.24365036668025727</v>
      </c>
      <c r="M14" s="3">
        <f>-F13</f>
        <v>6.8619186183863929</v>
      </c>
      <c r="O14" s="1" cm="1">
        <f t="array" ref="O14:O15">MMULT(K14:L15,M14:M15)</f>
        <v>3.0029445551612133</v>
      </c>
    </row>
    <row r="15" spans="1:15" x14ac:dyDescent="0.35">
      <c r="H15" s="3">
        <f>B2*COS(C13)</f>
        <v>-4.1042417199080248</v>
      </c>
      <c r="I15" s="3">
        <f>-SIN(B6)</f>
        <v>0</v>
      </c>
      <c r="J15" s="4"/>
      <c r="K15" s="3">
        <v>-1</v>
      </c>
      <c r="L15" s="3">
        <v>2.7474774194546225</v>
      </c>
      <c r="M15" s="3">
        <f>-F14</f>
        <v>-12.324810325863297</v>
      </c>
      <c r="O15" s="1">
        <v>-40.724056687756963</v>
      </c>
    </row>
    <row r="17" spans="1:15" x14ac:dyDescent="0.35">
      <c r="A17" s="9" t="s">
        <v>16</v>
      </c>
      <c r="C17" s="2" t="s">
        <v>4</v>
      </c>
    </row>
    <row r="18" spans="1:15" x14ac:dyDescent="0.35">
      <c r="A18" s="2" t="s">
        <v>5</v>
      </c>
      <c r="B18" s="6">
        <v>57.29</v>
      </c>
      <c r="C18" s="3">
        <f>B18*PI()/180</f>
        <v>0.99989912846755136</v>
      </c>
    </row>
    <row r="19" spans="1:15" x14ac:dyDescent="0.35">
      <c r="A19" s="4"/>
      <c r="B19" s="4"/>
      <c r="C19" s="1"/>
      <c r="H19" s="18" t="s">
        <v>12</v>
      </c>
      <c r="I19" s="18"/>
      <c r="J19" s="4"/>
      <c r="K19" s="18" t="s">
        <v>13</v>
      </c>
      <c r="L19" s="18"/>
      <c r="M19" s="19" t="s">
        <v>14</v>
      </c>
      <c r="O19" s="21" t="s">
        <v>15</v>
      </c>
    </row>
    <row r="20" spans="1:15" x14ac:dyDescent="0.35">
      <c r="A20" s="2" t="s">
        <v>7</v>
      </c>
      <c r="B20" s="6">
        <f>C20*180/PI()</f>
        <v>282.05604912252801</v>
      </c>
      <c r="C20" s="3">
        <f>O14+C13</f>
        <v>4.9228067323549762</v>
      </c>
      <c r="E20" s="10" t="s">
        <v>10</v>
      </c>
      <c r="F20" s="1">
        <f>-B21*COS(B6)+B1*COS(C18)+B2*COS(C20)-B3*COS(C4)</f>
        <v>40.472801261110298</v>
      </c>
      <c r="H20" s="8" t="s">
        <v>7</v>
      </c>
      <c r="I20" s="8" t="s">
        <v>9</v>
      </c>
      <c r="J20" s="4"/>
      <c r="K20" s="8" t="s">
        <v>7</v>
      </c>
      <c r="L20" s="8" t="s">
        <v>9</v>
      </c>
      <c r="M20" s="20"/>
      <c r="O20" s="22"/>
    </row>
    <row r="21" spans="1:15" x14ac:dyDescent="0.35">
      <c r="A21" s="2" t="s">
        <v>9</v>
      </c>
      <c r="B21" s="6">
        <f>O15+B14</f>
        <v>-34.724056687756963</v>
      </c>
      <c r="C21" s="3"/>
      <c r="E21" s="10" t="s">
        <v>11</v>
      </c>
      <c r="F21" s="1">
        <f>-B21*SIN(B6)+B1*SIN(C18)+B2*SIN(C20)-B3*SIN(C4)</f>
        <v>-10.686826061784739</v>
      </c>
      <c r="H21" s="3">
        <f>-B2*SIN(C20)</f>
        <v>11.735324938217135</v>
      </c>
      <c r="I21" s="3">
        <f>-COS(B6)</f>
        <v>-1</v>
      </c>
      <c r="J21" s="4"/>
      <c r="K21" s="3" cm="1">
        <f t="array" ref="K21:L22">MINVERSE(H21:I22)</f>
        <v>0</v>
      </c>
      <c r="L21" s="3">
        <v>0.39897519680486793</v>
      </c>
      <c r="M21" s="3">
        <f>-F20</f>
        <v>-40.472801261110298</v>
      </c>
      <c r="O21" s="1" cm="1">
        <f t="array" ref="O21:O22">MMULT(K21:L22,M21:M22)</f>
        <v>4.2637785312199581</v>
      </c>
    </row>
    <row r="22" spans="1:15" x14ac:dyDescent="0.35">
      <c r="H22" s="3">
        <f>B2*COS(C20)</f>
        <v>2.5064214718317022</v>
      </c>
      <c r="I22" s="3">
        <f>-SIN(B6)</f>
        <v>0</v>
      </c>
      <c r="J22" s="4"/>
      <c r="K22" s="3">
        <v>-1</v>
      </c>
      <c r="L22" s="3">
        <v>4.6821035767942556</v>
      </c>
      <c r="M22" s="3">
        <f>-F21</f>
        <v>10.686826061784739</v>
      </c>
      <c r="O22" s="1">
        <v>90.509627789570686</v>
      </c>
    </row>
    <row r="24" spans="1:15" x14ac:dyDescent="0.35">
      <c r="A24" s="9" t="s">
        <v>17</v>
      </c>
      <c r="C24" s="2" t="s">
        <v>4</v>
      </c>
    </row>
    <row r="25" spans="1:15" x14ac:dyDescent="0.35">
      <c r="A25" s="2" t="s">
        <v>5</v>
      </c>
      <c r="B25" s="6">
        <v>57.29</v>
      </c>
      <c r="C25" s="3">
        <f>B25*PI()/180</f>
        <v>0.99989912846755136</v>
      </c>
    </row>
    <row r="26" spans="1:15" x14ac:dyDescent="0.35">
      <c r="A26" s="4"/>
      <c r="B26" s="4"/>
      <c r="C26" s="1"/>
      <c r="H26" s="18" t="s">
        <v>12</v>
      </c>
      <c r="I26" s="18"/>
      <c r="J26" s="4"/>
      <c r="K26" s="18" t="s">
        <v>13</v>
      </c>
      <c r="L26" s="18"/>
      <c r="M26" s="19" t="s">
        <v>14</v>
      </c>
      <c r="O26" s="21" t="s">
        <v>15</v>
      </c>
    </row>
    <row r="27" spans="1:15" x14ac:dyDescent="0.35">
      <c r="A27" s="2" t="s">
        <v>7</v>
      </c>
      <c r="B27" s="6">
        <f>C27*180/PI()</f>
        <v>526.35256373992058</v>
      </c>
      <c r="C27" s="3">
        <f>O21+C20</f>
        <v>9.1865852635749334</v>
      </c>
      <c r="E27" s="10" t="s">
        <v>10</v>
      </c>
      <c r="F27" s="1">
        <f>-B28*COS(B6)+B1*COS(C25)+B2*COS(C27)-B3*COS(C4)</f>
        <v>-64.204439866858252</v>
      </c>
      <c r="H27" s="8" t="s">
        <v>7</v>
      </c>
      <c r="I27" s="8" t="s">
        <v>9</v>
      </c>
      <c r="J27" s="4"/>
      <c r="K27" s="8" t="s">
        <v>7</v>
      </c>
      <c r="L27" s="8" t="s">
        <v>9</v>
      </c>
      <c r="M27" s="20"/>
      <c r="O27" s="22"/>
    </row>
    <row r="28" spans="1:15" x14ac:dyDescent="0.35">
      <c r="A28" s="2" t="s">
        <v>9</v>
      </c>
      <c r="B28" s="6">
        <f>O22+B21</f>
        <v>55.785571101813723</v>
      </c>
      <c r="C28" s="3"/>
      <c r="E28" s="10" t="s">
        <v>11</v>
      </c>
      <c r="F28" s="1">
        <f>-B28*SIN(B6)+B1*SIN(C25)+B2*SIN(C27)-B3*SIN(C4)</f>
        <v>3.8798597243518547</v>
      </c>
      <c r="H28" s="3">
        <f>-B2*SIN(C27)</f>
        <v>-2.8313608479194596</v>
      </c>
      <c r="I28" s="3">
        <f>-COS(B6)</f>
        <v>-1</v>
      </c>
      <c r="J28" s="4"/>
      <c r="K28" s="3" cm="1">
        <f t="array" ref="K28:L29">MINVERSE(H28:I29)</f>
        <v>0</v>
      </c>
      <c r="L28" s="3">
        <v>-8.5754527619694085E-2</v>
      </c>
      <c r="M28" s="3">
        <f>-F27</f>
        <v>64.204439866858252</v>
      </c>
      <c r="O28" s="1" cm="1">
        <f t="array" ref="O28:O29">MMULT(K28:L29,M28:M29)</f>
        <v>0.33271553789246983</v>
      </c>
    </row>
    <row r="29" spans="1:15" x14ac:dyDescent="0.35">
      <c r="H29" s="3">
        <f>B2*COS(C27)</f>
        <v>-11.661191866566162</v>
      </c>
      <c r="I29" s="3">
        <f>-SIN(B6)</f>
        <v>0</v>
      </c>
      <c r="J29" s="4"/>
      <c r="K29" s="3">
        <v>-1</v>
      </c>
      <c r="L29" s="3">
        <v>0.2428020120342298</v>
      </c>
      <c r="M29" s="3">
        <f>-F28</f>
        <v>-3.8798597243518547</v>
      </c>
      <c r="O29" s="1">
        <v>-65.14647761434145</v>
      </c>
    </row>
    <row r="31" spans="1:15" x14ac:dyDescent="0.35">
      <c r="A31" s="9" t="s">
        <v>18</v>
      </c>
      <c r="C31" s="2" t="s">
        <v>4</v>
      </c>
    </row>
    <row r="32" spans="1:15" x14ac:dyDescent="0.35">
      <c r="A32" s="2" t="s">
        <v>5</v>
      </c>
      <c r="B32" s="6">
        <v>57.29</v>
      </c>
      <c r="C32" s="3">
        <f>B32*PI()/180</f>
        <v>0.99989912846755136</v>
      </c>
    </row>
    <row r="33" spans="1:15" x14ac:dyDescent="0.35">
      <c r="A33" s="4"/>
      <c r="B33" s="4"/>
      <c r="C33" s="1"/>
      <c r="H33" s="18" t="s">
        <v>12</v>
      </c>
      <c r="I33" s="18"/>
      <c r="J33" s="4"/>
      <c r="K33" s="18" t="s">
        <v>13</v>
      </c>
      <c r="L33" s="18"/>
      <c r="M33" s="19" t="s">
        <v>14</v>
      </c>
      <c r="O33" s="21" t="s">
        <v>15</v>
      </c>
    </row>
    <row r="34" spans="1:15" x14ac:dyDescent="0.35">
      <c r="A34" s="2" t="s">
        <v>7</v>
      </c>
      <c r="B34" s="6">
        <f>C34*180/PI()</f>
        <v>545.41575983958421</v>
      </c>
      <c r="C34" s="3">
        <f>O28+C27</f>
        <v>9.5193008014674039</v>
      </c>
      <c r="E34" s="10" t="s">
        <v>10</v>
      </c>
      <c r="F34" s="1">
        <f>-B35*COS(B6)+B1*COS(C32)+B2*COS(C34)-B3*COS(C4)</f>
        <v>0.65679711716869149</v>
      </c>
      <c r="H34" s="8" t="s">
        <v>7</v>
      </c>
      <c r="I34" s="8" t="s">
        <v>9</v>
      </c>
      <c r="J34" s="4"/>
      <c r="K34" s="8" t="s">
        <v>7</v>
      </c>
      <c r="L34" s="8" t="s">
        <v>9</v>
      </c>
      <c r="M34" s="20"/>
      <c r="O34" s="22"/>
    </row>
    <row r="35" spans="1:15" x14ac:dyDescent="0.35">
      <c r="A35" s="2" t="s">
        <v>9</v>
      </c>
      <c r="B35" s="6">
        <f>O29+B28</f>
        <v>-9.3609065125277269</v>
      </c>
      <c r="C35" s="3"/>
      <c r="E35" s="10" t="s">
        <v>11</v>
      </c>
      <c r="F35" s="1">
        <f>-B35*SIN(B6)+B1*SIN(C32)+B2*SIN(C34)-B3*SIN(C4)</f>
        <v>-8.4086924941421337E-2</v>
      </c>
      <c r="H35" s="3">
        <f>-B2*SIN(C34)</f>
        <v>1.1325858013738159</v>
      </c>
      <c r="I35" s="3">
        <f>-COS(B6)</f>
        <v>-1</v>
      </c>
      <c r="J35" s="4"/>
      <c r="K35" s="3" cm="1">
        <f t="array" ref="K35:L36">MINVERSE(H35:I36)</f>
        <v>0</v>
      </c>
      <c r="L35" s="3">
        <v>-8.3706997905953096E-2</v>
      </c>
      <c r="M35" s="3">
        <f>-F34</f>
        <v>-0.65679711716869149</v>
      </c>
      <c r="O35" s="1" cm="1">
        <f t="array" ref="O35:O36">MMULT(K35:L36,M35:M36)</f>
        <v>-7.0386640499895906E-3</v>
      </c>
    </row>
    <row r="36" spans="1:15" x14ac:dyDescent="0.35">
      <c r="H36" s="3">
        <f>B2*COS(C34)</f>
        <v>-11.946432496880666</v>
      </c>
      <c r="I36" s="3">
        <f>-SIN(B6)</f>
        <v>0</v>
      </c>
      <c r="J36" s="4"/>
      <c r="K36" s="3">
        <v>-1</v>
      </c>
      <c r="L36" s="3">
        <v>-9.4805357303910223E-2</v>
      </c>
      <c r="M36" s="3">
        <f>-F35</f>
        <v>8.4086924941421337E-2</v>
      </c>
      <c r="O36" s="1">
        <v>0.64882522620503291</v>
      </c>
    </row>
    <row r="38" spans="1:15" x14ac:dyDescent="0.35">
      <c r="A38" s="9" t="s">
        <v>19</v>
      </c>
      <c r="C38" s="2" t="s">
        <v>4</v>
      </c>
    </row>
    <row r="39" spans="1:15" x14ac:dyDescent="0.35">
      <c r="A39" s="2" t="s">
        <v>5</v>
      </c>
      <c r="B39" s="6">
        <v>57.29</v>
      </c>
      <c r="C39" s="3">
        <f>B39*PI()/180</f>
        <v>0.99989912846755136</v>
      </c>
    </row>
    <row r="40" spans="1:15" x14ac:dyDescent="0.35">
      <c r="A40" s="4"/>
      <c r="B40" s="4"/>
      <c r="C40" s="1"/>
      <c r="H40" s="18" t="s">
        <v>12</v>
      </c>
      <c r="I40" s="18"/>
      <c r="J40" s="4"/>
      <c r="K40" s="18" t="s">
        <v>13</v>
      </c>
      <c r="L40" s="18"/>
      <c r="M40" s="19" t="s">
        <v>14</v>
      </c>
      <c r="O40" s="21" t="s">
        <v>15</v>
      </c>
    </row>
    <row r="41" spans="1:15" x14ac:dyDescent="0.35">
      <c r="A41" s="2" t="s">
        <v>7</v>
      </c>
      <c r="B41" s="6">
        <f>C41*180/PI()</f>
        <v>545.01247409610926</v>
      </c>
      <c r="C41" s="3">
        <f>O35+C34</f>
        <v>9.5122621374174141</v>
      </c>
      <c r="E41" s="10" t="s">
        <v>10</v>
      </c>
      <c r="F41" s="1">
        <f>-B42*COS(B6)+B1*COS(C39)+B2*COS(C41)-B3*COS(C4)</f>
        <v>2.959944108569027E-4</v>
      </c>
      <c r="H41" s="8" t="s">
        <v>7</v>
      </c>
      <c r="I41" s="8" t="s">
        <v>9</v>
      </c>
      <c r="J41" s="4"/>
      <c r="K41" s="8" t="s">
        <v>7</v>
      </c>
      <c r="L41" s="8" t="s">
        <v>9</v>
      </c>
      <c r="M41" s="20"/>
      <c r="O41" s="22"/>
    </row>
    <row r="42" spans="1:15" x14ac:dyDescent="0.35">
      <c r="A42" s="2" t="s">
        <v>9</v>
      </c>
      <c r="B42" s="6">
        <f>O36+B35</f>
        <v>-8.7120812863226931</v>
      </c>
      <c r="C42" s="3"/>
      <c r="E42" s="10" t="s">
        <v>11</v>
      </c>
      <c r="F42" s="1">
        <f>-B42*SIN(B6)+B1*SIN(C39)+B2*SIN(C41)-B3*SIN(C4)</f>
        <v>2.7361300227290997E-5</v>
      </c>
      <c r="H42" s="3">
        <f>-B2*SIN(C41)</f>
        <v>1.0484715151321675</v>
      </c>
      <c r="I42" s="3">
        <f>-COS(B6)</f>
        <v>-1</v>
      </c>
      <c r="J42" s="4"/>
      <c r="K42" s="3" cm="1">
        <f t="array" ref="K42:L43">MINVERSE(H42:I43)</f>
        <v>0</v>
      </c>
      <c r="L42" s="3">
        <v>-8.3653248497337684E-2</v>
      </c>
      <c r="M42" s="3">
        <f>-F41</f>
        <v>-2.959944108569027E-4</v>
      </c>
      <c r="O42" s="1" cm="1">
        <f t="array" ref="O42:O43">MMULT(K42:L43,M42:M43)</f>
        <v>2.2888616471238359E-6</v>
      </c>
    </row>
    <row r="43" spans="1:15" x14ac:dyDescent="0.35">
      <c r="H43" s="3">
        <f>B2*COS(C41)</f>
        <v>-11.954108393433467</v>
      </c>
      <c r="I43" s="3">
        <f>-SIN(B6)</f>
        <v>0</v>
      </c>
      <c r="J43" s="4"/>
      <c r="K43" s="3">
        <v>-1</v>
      </c>
      <c r="L43" s="3">
        <v>-8.7708048197731356E-2</v>
      </c>
      <c r="M43" s="3">
        <f>-F42</f>
        <v>-2.7361300227290997E-5</v>
      </c>
      <c r="O43" s="1">
        <v>2.9839421709599055E-4</v>
      </c>
    </row>
    <row r="45" spans="1:15" x14ac:dyDescent="0.35">
      <c r="A45" s="9" t="s">
        <v>20</v>
      </c>
      <c r="C45" s="2" t="s">
        <v>4</v>
      </c>
    </row>
    <row r="46" spans="1:15" x14ac:dyDescent="0.35">
      <c r="A46" s="2" t="s">
        <v>5</v>
      </c>
      <c r="B46" s="6">
        <v>57.29</v>
      </c>
      <c r="C46" s="3">
        <f>B46*PI()/180</f>
        <v>0.99989912846755136</v>
      </c>
    </row>
    <row r="47" spans="1:15" x14ac:dyDescent="0.35">
      <c r="A47" s="4"/>
      <c r="B47" s="4"/>
      <c r="C47" s="1"/>
      <c r="H47" s="18" t="s">
        <v>12</v>
      </c>
      <c r="I47" s="18"/>
      <c r="J47" s="4"/>
      <c r="K47" s="18" t="s">
        <v>13</v>
      </c>
      <c r="L47" s="18"/>
      <c r="M47" s="19" t="s">
        <v>14</v>
      </c>
      <c r="O47" s="21" t="s">
        <v>15</v>
      </c>
    </row>
    <row r="48" spans="1:15" x14ac:dyDescent="0.35">
      <c r="A48" s="2" t="s">
        <v>7</v>
      </c>
      <c r="B48" s="6">
        <f>C48*180/PI()</f>
        <v>545.01260523822168</v>
      </c>
      <c r="C48" s="3">
        <f>O42+C41</f>
        <v>9.5122644262790619</v>
      </c>
      <c r="E48" s="10" t="s">
        <v>10</v>
      </c>
      <c r="F48" s="1">
        <f>-B49*COS(B6)+B1*COS(C46)+B2*COS(C48)-B3*COS(C4)</f>
        <v>3.1316926048935434E-11</v>
      </c>
      <c r="H48" s="8" t="s">
        <v>7</v>
      </c>
      <c r="I48" s="8" t="s">
        <v>9</v>
      </c>
      <c r="J48" s="4"/>
      <c r="K48" s="8" t="s">
        <v>7</v>
      </c>
      <c r="L48" s="8" t="s">
        <v>9</v>
      </c>
      <c r="M48" s="20"/>
      <c r="O48" s="22"/>
    </row>
    <row r="49" spans="1:15" x14ac:dyDescent="0.35">
      <c r="A49" s="2" t="s">
        <v>9</v>
      </c>
      <c r="B49" s="6">
        <f>O43+B42</f>
        <v>-8.7117828921055978</v>
      </c>
      <c r="C49" s="3"/>
      <c r="E49" s="10" t="s">
        <v>11</v>
      </c>
      <c r="F49" s="1">
        <f>-B49*SIN(B6)+B1*SIN(C46)+B2*SIN(C48)-B3*SIN(C4)</f>
        <v>2.7391422463551862E-12</v>
      </c>
      <c r="H49" s="3">
        <f>-B2*SIN(C48)</f>
        <v>1.0484988764296559</v>
      </c>
      <c r="I49" s="3">
        <f>-COS(B6)</f>
        <v>-1</v>
      </c>
      <c r="J49" s="4"/>
      <c r="K49" s="3" cm="1">
        <f t="array" ref="K49:L50">MINVERSE(H49:I50)</f>
        <v>0</v>
      </c>
      <c r="L49" s="3">
        <v>-8.3653265291082649E-2</v>
      </c>
      <c r="M49" s="3">
        <f>-F48</f>
        <v>-3.1316926048935434E-11</v>
      </c>
      <c r="O49" s="1" cm="1">
        <f t="array" ref="O49:O50">MMULT(K49:L50,M49:M50)</f>
        <v>2.2913819300436245E-13</v>
      </c>
    </row>
    <row r="50" spans="1:15" x14ac:dyDescent="0.35">
      <c r="H50" s="3">
        <f>B2*COS(C48)</f>
        <v>-11.954105993595913</v>
      </c>
      <c r="I50" s="3">
        <f>-SIN(B6)</f>
        <v>0</v>
      </c>
      <c r="J50" s="4"/>
      <c r="K50" s="3">
        <v>-1</v>
      </c>
      <c r="L50" s="3">
        <v>-8.7710354667372079E-2</v>
      </c>
      <c r="M50" s="3">
        <f>-F49</f>
        <v>-2.7391422463551862E-12</v>
      </c>
      <c r="O50" s="1">
        <v>3.1557177186847632E-11</v>
      </c>
    </row>
    <row r="52" spans="1:15" x14ac:dyDescent="0.35">
      <c r="A52" s="9" t="s">
        <v>21</v>
      </c>
      <c r="C52" s="2" t="s">
        <v>4</v>
      </c>
    </row>
    <row r="53" spans="1:15" x14ac:dyDescent="0.35">
      <c r="A53" s="2" t="s">
        <v>5</v>
      </c>
      <c r="B53" s="6">
        <v>57.29</v>
      </c>
      <c r="C53" s="3">
        <f>B53*PI()/180</f>
        <v>0.99989912846755136</v>
      </c>
    </row>
    <row r="54" spans="1:15" x14ac:dyDescent="0.35">
      <c r="A54" s="4"/>
      <c r="B54" s="4"/>
      <c r="C54" s="1"/>
      <c r="H54" s="18" t="s">
        <v>12</v>
      </c>
      <c r="I54" s="18"/>
      <c r="J54" s="4"/>
      <c r="K54" s="18" t="s">
        <v>13</v>
      </c>
      <c r="L54" s="18"/>
      <c r="M54" s="19" t="s">
        <v>14</v>
      </c>
      <c r="O54" s="21" t="s">
        <v>15</v>
      </c>
    </row>
    <row r="55" spans="1:15" x14ac:dyDescent="0.35">
      <c r="A55" s="2" t="s">
        <v>7</v>
      </c>
      <c r="B55" s="6">
        <v>110</v>
      </c>
      <c r="C55" s="3">
        <f>O49+C48</f>
        <v>9.512264426279291</v>
      </c>
      <c r="E55" s="10" t="s">
        <v>10</v>
      </c>
      <c r="F55" s="1">
        <f>-B56*COS(B6)+B1*COS(C53)+B2*COS(C55)-B3*COS(C4)</f>
        <v>-2.0213865303819745E-15</v>
      </c>
      <c r="H55" s="8" t="s">
        <v>7</v>
      </c>
      <c r="I55" s="8" t="s">
        <v>9</v>
      </c>
      <c r="J55" s="4"/>
      <c r="K55" s="8" t="s">
        <v>7</v>
      </c>
      <c r="L55" s="8" t="s">
        <v>9</v>
      </c>
      <c r="M55" s="20"/>
      <c r="O55" s="22"/>
    </row>
    <row r="56" spans="1:15" x14ac:dyDescent="0.35">
      <c r="A56" s="2" t="s">
        <v>9</v>
      </c>
      <c r="B56" s="6">
        <f>O50+B49</f>
        <v>-8.7117828920740408</v>
      </c>
      <c r="C56" s="3"/>
      <c r="E56" s="10" t="s">
        <v>11</v>
      </c>
      <c r="F56" s="1">
        <f>-B56*SIN(B6)+B1*SIN(C53)+B2*SIN(C55)-B3*SIN(C4)</f>
        <v>0</v>
      </c>
      <c r="H56" s="3">
        <f>-B2*SIN(C55)</f>
        <v>1.0484988764323953</v>
      </c>
      <c r="I56" s="3">
        <f>-COS(B6)</f>
        <v>-1</v>
      </c>
      <c r="J56" s="4"/>
      <c r="K56" s="3" cm="1">
        <f t="array" ref="K56:L57">MINVERSE(H56:I57)</f>
        <v>0</v>
      </c>
      <c r="L56" s="3">
        <v>-8.3653265291084314E-2</v>
      </c>
      <c r="M56" s="3">
        <f>-F55</f>
        <v>2.0213865303819745E-15</v>
      </c>
      <c r="O56" s="1" cm="1">
        <f t="array" ref="O56:O57">MMULT(K56:L57,M56:M57)</f>
        <v>0</v>
      </c>
    </row>
    <row r="57" spans="1:15" x14ac:dyDescent="0.35">
      <c r="H57" s="3">
        <f>B2*COS(C55)</f>
        <v>-11.954105993595673</v>
      </c>
      <c r="I57" s="3">
        <f>-SIN(B6)</f>
        <v>0</v>
      </c>
      <c r="J57" s="4"/>
      <c r="K57" s="3">
        <v>-1</v>
      </c>
      <c r="L57" s="3">
        <v>-8.7710354667603005E-2</v>
      </c>
      <c r="M57" s="3">
        <f>-F56</f>
        <v>0</v>
      </c>
      <c r="O57" s="1">
        <v>-2.0213865303819745E-15</v>
      </c>
    </row>
    <row r="59" spans="1:15" x14ac:dyDescent="0.35">
      <c r="A59" s="9" t="s">
        <v>22</v>
      </c>
      <c r="C59" s="2" t="s">
        <v>4</v>
      </c>
    </row>
    <row r="60" spans="1:15" x14ac:dyDescent="0.35">
      <c r="A60" s="2" t="s">
        <v>5</v>
      </c>
      <c r="B60" s="6">
        <v>57.29</v>
      </c>
      <c r="C60" s="3">
        <f>B60*PI()/180</f>
        <v>0.99989912846755136</v>
      </c>
    </row>
    <row r="61" spans="1:15" x14ac:dyDescent="0.35">
      <c r="A61" s="4"/>
      <c r="B61" s="4"/>
      <c r="C61" s="1"/>
      <c r="H61" s="18" t="s">
        <v>12</v>
      </c>
      <c r="I61" s="18"/>
      <c r="J61" s="4"/>
      <c r="K61" s="18" t="s">
        <v>13</v>
      </c>
      <c r="L61" s="18"/>
      <c r="M61" s="19" t="s">
        <v>14</v>
      </c>
      <c r="O61" s="21" t="s">
        <v>15</v>
      </c>
    </row>
    <row r="62" spans="1:15" x14ac:dyDescent="0.35">
      <c r="A62" s="2" t="s">
        <v>7</v>
      </c>
      <c r="B62" s="6">
        <f>C62*180/PI()</f>
        <v>545.01260523823476</v>
      </c>
      <c r="C62" s="3">
        <f>O56+C55</f>
        <v>9.512264426279291</v>
      </c>
      <c r="E62" s="10" t="s">
        <v>10</v>
      </c>
      <c r="F62" s="1">
        <f>-B63*COS(B6)+B1*COS(C60)+B2*COS(C62)-B3*COS(C4)</f>
        <v>1.5313271484185265E-15</v>
      </c>
      <c r="H62" s="8" t="s">
        <v>7</v>
      </c>
      <c r="I62" s="8" t="s">
        <v>9</v>
      </c>
      <c r="J62" s="4"/>
      <c r="K62" s="8" t="s">
        <v>7</v>
      </c>
      <c r="L62" s="8" t="s">
        <v>9</v>
      </c>
      <c r="M62" s="20"/>
      <c r="O62" s="22"/>
    </row>
    <row r="63" spans="1:15" x14ac:dyDescent="0.35">
      <c r="A63" s="2" t="s">
        <v>9</v>
      </c>
      <c r="B63" s="6">
        <f>O57+B56</f>
        <v>-8.7117828920740426</v>
      </c>
      <c r="C63" s="3"/>
      <c r="E63" s="10" t="s">
        <v>11</v>
      </c>
      <c r="F63" s="1">
        <f>-B63*SIN(B6)+B1*SIN(C60)+B2*SIN(C62)-B3*SIN(C4)</f>
        <v>0</v>
      </c>
      <c r="H63" s="3">
        <f>-B2*SIN(C62)</f>
        <v>1.0484988764323953</v>
      </c>
      <c r="I63" s="3">
        <f>-COS(B6)</f>
        <v>-1</v>
      </c>
      <c r="J63" s="4"/>
      <c r="K63" s="3" cm="1">
        <f t="array" ref="K63:L64">MINVERSE(H63:I64)</f>
        <v>0</v>
      </c>
      <c r="L63" s="3">
        <v>-8.3653265291084314E-2</v>
      </c>
      <c r="M63" s="3">
        <f>-F62</f>
        <v>-1.5313271484185265E-15</v>
      </c>
      <c r="O63" s="1" cm="1">
        <f t="array" ref="O63:O64">MMULT(K63:L64,M63:M64)</f>
        <v>0</v>
      </c>
    </row>
    <row r="64" spans="1:15" x14ac:dyDescent="0.35">
      <c r="H64" s="3">
        <f>B2*COS(C62)</f>
        <v>-11.954105993595673</v>
      </c>
      <c r="I64" s="3">
        <f>-SIN(B6)</f>
        <v>0</v>
      </c>
      <c r="J64" s="4"/>
      <c r="K64" s="3">
        <v>-1</v>
      </c>
      <c r="L64" s="3">
        <v>-8.7710354667603005E-2</v>
      </c>
      <c r="M64" s="3">
        <f>-F63</f>
        <v>0</v>
      </c>
      <c r="O64" s="1">
        <v>1.5313271484185265E-15</v>
      </c>
    </row>
    <row r="66" spans="1:15" x14ac:dyDescent="0.35">
      <c r="A66" s="9" t="s">
        <v>23</v>
      </c>
      <c r="C66" s="2" t="s">
        <v>4</v>
      </c>
    </row>
    <row r="67" spans="1:15" x14ac:dyDescent="0.35">
      <c r="A67" s="2" t="s">
        <v>5</v>
      </c>
      <c r="B67" s="6">
        <v>57.29</v>
      </c>
      <c r="C67" s="3">
        <f>B67*PI()/180</f>
        <v>0.99989912846755136</v>
      </c>
    </row>
    <row r="68" spans="1:15" x14ac:dyDescent="0.35">
      <c r="A68" s="4"/>
      <c r="B68" s="4"/>
      <c r="C68" s="1"/>
      <c r="H68" s="18" t="s">
        <v>12</v>
      </c>
      <c r="I68" s="18"/>
      <c r="J68" s="4"/>
      <c r="K68" s="18" t="s">
        <v>13</v>
      </c>
      <c r="L68" s="18"/>
      <c r="M68" s="19" t="s">
        <v>14</v>
      </c>
      <c r="O68" s="21" t="s">
        <v>15</v>
      </c>
    </row>
    <row r="69" spans="1:15" x14ac:dyDescent="0.35">
      <c r="A69" s="2" t="s">
        <v>7</v>
      </c>
      <c r="B69" s="6">
        <f>C69*180/PI()</f>
        <v>545.01260523823476</v>
      </c>
      <c r="C69" s="3">
        <f>O63+C62</f>
        <v>9.512264426279291</v>
      </c>
      <c r="E69" s="10" t="s">
        <v>10</v>
      </c>
      <c r="F69" s="1">
        <f>-B70*COS(B6)+B1*COS(C67)+B2*COS(C69)-B3*COS(C4)</f>
        <v>-2.0213865303819745E-15</v>
      </c>
      <c r="H69" s="8" t="s">
        <v>7</v>
      </c>
      <c r="I69" s="8" t="s">
        <v>9</v>
      </c>
      <c r="J69" s="4"/>
      <c r="K69" s="8" t="s">
        <v>7</v>
      </c>
      <c r="L69" s="8" t="s">
        <v>9</v>
      </c>
      <c r="M69" s="20"/>
      <c r="O69" s="22"/>
    </row>
    <row r="70" spans="1:15" x14ac:dyDescent="0.35">
      <c r="A70" s="2" t="s">
        <v>9</v>
      </c>
      <c r="B70" s="6">
        <f>O64+B63</f>
        <v>-8.7117828920740408</v>
      </c>
      <c r="C70" s="3"/>
      <c r="E70" s="10" t="s">
        <v>11</v>
      </c>
      <c r="F70" s="1">
        <f>-B70*SIN(B6)+B1*SIN(C67)+B2*SIN(C69)-B3*SIN(C4)</f>
        <v>0</v>
      </c>
      <c r="H70" s="3">
        <f>-B2*SIN(C69)</f>
        <v>1.0484988764323953</v>
      </c>
      <c r="I70" s="3">
        <f>-COS(B6)</f>
        <v>-1</v>
      </c>
      <c r="J70" s="4"/>
      <c r="K70" s="3" cm="1">
        <f t="array" ref="K70:L71">MINVERSE(H70:I71)</f>
        <v>0</v>
      </c>
      <c r="L70" s="3">
        <v>-8.3653265291084314E-2</v>
      </c>
      <c r="M70" s="3">
        <f>-F69</f>
        <v>2.0213865303819745E-15</v>
      </c>
      <c r="O70" s="1" cm="1">
        <f t="array" ref="O70:O71">MMULT(K70:L71,M70:M71)</f>
        <v>0</v>
      </c>
    </row>
    <row r="71" spans="1:15" x14ac:dyDescent="0.35">
      <c r="H71" s="3">
        <f>B2*COS(C69)</f>
        <v>-11.954105993595673</v>
      </c>
      <c r="I71" s="3">
        <f>-SIN(B6)</f>
        <v>0</v>
      </c>
      <c r="J71" s="4"/>
      <c r="K71" s="3">
        <v>-1</v>
      </c>
      <c r="L71" s="3">
        <v>-8.7710354667603005E-2</v>
      </c>
      <c r="M71" s="3">
        <f>-F70</f>
        <v>0</v>
      </c>
      <c r="O71" s="1">
        <v>-2.0213865303819745E-15</v>
      </c>
    </row>
    <row r="73" spans="1:15" x14ac:dyDescent="0.35">
      <c r="A73" s="9" t="s">
        <v>24</v>
      </c>
      <c r="C73" s="2" t="s">
        <v>4</v>
      </c>
    </row>
    <row r="74" spans="1:15" x14ac:dyDescent="0.35">
      <c r="A74" s="2" t="s">
        <v>5</v>
      </c>
      <c r="B74" s="6">
        <v>270</v>
      </c>
      <c r="C74" s="3">
        <f>B74*PI()/180</f>
        <v>4.7123889803846897</v>
      </c>
    </row>
    <row r="75" spans="1:15" x14ac:dyDescent="0.35">
      <c r="A75" s="4"/>
      <c r="B75" s="4"/>
      <c r="C75" s="1"/>
      <c r="H75" s="18" t="s">
        <v>12</v>
      </c>
      <c r="I75" s="18"/>
      <c r="J75" s="4"/>
      <c r="K75" s="18" t="s">
        <v>13</v>
      </c>
      <c r="L75" s="18"/>
      <c r="M75" s="19" t="s">
        <v>14</v>
      </c>
      <c r="O75" s="21" t="s">
        <v>15</v>
      </c>
    </row>
    <row r="76" spans="1:15" x14ac:dyDescent="0.35">
      <c r="A76" s="2" t="s">
        <v>7</v>
      </c>
      <c r="B76" s="6">
        <f>C76*180/PI()</f>
        <v>545.01260523823476</v>
      </c>
      <c r="C76" s="3">
        <f>O70+C69</f>
        <v>9.512264426279291</v>
      </c>
      <c r="E76" s="10" t="s">
        <v>10</v>
      </c>
      <c r="F76" s="1">
        <f>-B77*COS(B6)+B1*COS(C74)+B2*COS(C76)-B3*COS(C4)</f>
        <v>-3.2423231015216332</v>
      </c>
      <c r="H76" s="8" t="s">
        <v>7</v>
      </c>
      <c r="I76" s="8" t="s">
        <v>9</v>
      </c>
      <c r="J76" s="4"/>
      <c r="K76" s="8" t="s">
        <v>7</v>
      </c>
      <c r="L76" s="8" t="s">
        <v>9</v>
      </c>
      <c r="M76" s="20"/>
      <c r="O76" s="22"/>
    </row>
    <row r="77" spans="1:15" x14ac:dyDescent="0.35">
      <c r="A77" s="2" t="s">
        <v>9</v>
      </c>
      <c r="B77" s="6">
        <f>O71+B70</f>
        <v>-8.7117828920740426</v>
      </c>
      <c r="C77" s="3"/>
      <c r="E77" s="10" t="s">
        <v>11</v>
      </c>
      <c r="F77" s="1">
        <f>-B77*SIN(B6)+B1*SIN(C74)+B2*SIN(C76)-B3*SIN(C4)</f>
        <v>-11.048498876432395</v>
      </c>
      <c r="H77" s="3">
        <f>-B2*SIN(C76)</f>
        <v>1.0484988764323953</v>
      </c>
      <c r="I77" s="3">
        <f>-COS(B6)</f>
        <v>-1</v>
      </c>
      <c r="J77" s="4"/>
      <c r="K77" s="3" cm="1">
        <f t="array" ref="K77:L78">MINVERSE(H77:I78)</f>
        <v>0</v>
      </c>
      <c r="L77" s="3">
        <v>-8.3653265291084314E-2</v>
      </c>
      <c r="M77" s="3">
        <f>-F76</f>
        <v>3.2423231015216332</v>
      </c>
      <c r="O77" s="1" cm="1">
        <f t="array" ref="O77:O78">MMULT(K77:L78,M77:M78)</f>
        <v>-0.92424300757844613</v>
      </c>
    </row>
    <row r="78" spans="1:15" x14ac:dyDescent="0.35">
      <c r="H78" s="3">
        <f>B2*COS(C76)</f>
        <v>-11.954105993595673</v>
      </c>
      <c r="I78" s="3">
        <f>-SIN(B6)</f>
        <v>0</v>
      </c>
      <c r="J78" s="4"/>
      <c r="K78" s="3">
        <v>-1</v>
      </c>
      <c r="L78" s="3">
        <v>-8.7710354667603005E-2</v>
      </c>
      <c r="M78" s="3">
        <f>-F77</f>
        <v>11.048498876432395</v>
      </c>
      <c r="O78" s="1">
        <v>-4.2113908565181317</v>
      </c>
    </row>
    <row r="80" spans="1:15" x14ac:dyDescent="0.35">
      <c r="A80" s="9" t="s">
        <v>25</v>
      </c>
      <c r="C80" s="2" t="s">
        <v>4</v>
      </c>
    </row>
    <row r="81" spans="1:15" x14ac:dyDescent="0.35">
      <c r="A81" s="2" t="s">
        <v>5</v>
      </c>
      <c r="B81" s="6">
        <v>300</v>
      </c>
      <c r="C81" s="3">
        <f>B81*PI()/180</f>
        <v>5.2359877559829888</v>
      </c>
    </row>
    <row r="82" spans="1:15" x14ac:dyDescent="0.35">
      <c r="A82" s="4"/>
      <c r="B82" s="4"/>
      <c r="C82" s="1"/>
      <c r="H82" s="18" t="s">
        <v>12</v>
      </c>
      <c r="I82" s="18"/>
      <c r="J82" s="4"/>
      <c r="K82" s="18" t="s">
        <v>13</v>
      </c>
      <c r="L82" s="18"/>
      <c r="M82" s="19" t="s">
        <v>14</v>
      </c>
      <c r="O82" s="21" t="s">
        <v>15</v>
      </c>
    </row>
    <row r="83" spans="1:15" x14ac:dyDescent="0.35">
      <c r="A83" s="2" t="s">
        <v>7</v>
      </c>
      <c r="B83" s="6">
        <f>C83*180/PI()</f>
        <v>492.05738165951203</v>
      </c>
      <c r="C83" s="3">
        <f>O77+C76</f>
        <v>8.5880214187008441</v>
      </c>
      <c r="E83" s="10" t="s">
        <v>10</v>
      </c>
      <c r="F83" s="1">
        <f>-B84*COS(B6)+B1*COS(C81)+B2*COS(C83)-B3*COS(C4)</f>
        <v>7.8846793960039214</v>
      </c>
      <c r="H83" s="8" t="s">
        <v>7</v>
      </c>
      <c r="I83" s="8" t="s">
        <v>9</v>
      </c>
      <c r="J83" s="4"/>
      <c r="K83" s="8" t="s">
        <v>7</v>
      </c>
      <c r="L83" s="8" t="s">
        <v>9</v>
      </c>
      <c r="M83" s="20"/>
      <c r="O83" s="22"/>
    </row>
    <row r="84" spans="1:15" x14ac:dyDescent="0.35">
      <c r="A84" s="2" t="s">
        <v>9</v>
      </c>
      <c r="B84" s="6">
        <f>O78+B77</f>
        <v>-12.923173748592173</v>
      </c>
      <c r="C84" s="3"/>
      <c r="E84" s="10" t="s">
        <v>11</v>
      </c>
      <c r="F84" s="1">
        <f>-B84*SIN(B6)+B1*SIN(C81)+B2*SIN(C83)-B3*SIN(C4)</f>
        <v>-0.28646059058321072</v>
      </c>
      <c r="H84" s="3">
        <f>-B2*SIN(C83)</f>
        <v>-8.9096918321234213</v>
      </c>
      <c r="I84" s="3">
        <f>-COS(B6)</f>
        <v>-1</v>
      </c>
      <c r="J84" s="4"/>
      <c r="K84" s="3" cm="1">
        <f t="array" ref="K84:L85">MINVERSE(H84:I85)</f>
        <v>0</v>
      </c>
      <c r="L84" s="3">
        <v>-0.12440140605162182</v>
      </c>
      <c r="M84" s="3">
        <f>-F83</f>
        <v>-7.8846793960039214</v>
      </c>
      <c r="O84" s="1" cm="1">
        <f t="array" ref="O84:O85">MMULT(K84:L85,M84:M85)</f>
        <v>-3.5636100246929391E-2</v>
      </c>
    </row>
    <row r="85" spans="1:15" x14ac:dyDescent="0.35">
      <c r="H85" s="3">
        <f>B2*COS(C83)</f>
        <v>-8.038494352588252</v>
      </c>
      <c r="I85" s="3">
        <f>-SIN(B6)</f>
        <v>0</v>
      </c>
      <c r="J85" s="4"/>
      <c r="K85" s="3">
        <v>-1</v>
      </c>
      <c r="L85" s="3">
        <v>1.1083781914028041</v>
      </c>
      <c r="M85" s="3">
        <f>-F84</f>
        <v>0.28646059058321072</v>
      </c>
      <c r="O85" s="1">
        <v>8.2021860673027192</v>
      </c>
    </row>
    <row r="87" spans="1:15" x14ac:dyDescent="0.35">
      <c r="A87" s="9" t="s">
        <v>26</v>
      </c>
      <c r="C87" s="2" t="s">
        <v>4</v>
      </c>
    </row>
    <row r="88" spans="1:15" x14ac:dyDescent="0.35">
      <c r="A88" s="2" t="s">
        <v>5</v>
      </c>
      <c r="B88" s="6">
        <v>330</v>
      </c>
      <c r="C88" s="3">
        <f>B88*PI()/180</f>
        <v>5.7595865315812871</v>
      </c>
    </row>
    <row r="89" spans="1:15" x14ac:dyDescent="0.35">
      <c r="A89" s="4"/>
      <c r="B89" s="4"/>
      <c r="C89" s="1"/>
      <c r="H89" s="18" t="s">
        <v>12</v>
      </c>
      <c r="I89" s="18"/>
      <c r="J89" s="4"/>
      <c r="K89" s="18" t="s">
        <v>13</v>
      </c>
      <c r="L89" s="18"/>
      <c r="M89" s="19" t="s">
        <v>14</v>
      </c>
      <c r="O89" s="21" t="s">
        <v>15</v>
      </c>
    </row>
    <row r="90" spans="1:15" x14ac:dyDescent="0.35">
      <c r="A90" s="2" t="s">
        <v>7</v>
      </c>
      <c r="B90" s="6">
        <f>C90*180/PI()</f>
        <v>490.01558351705785</v>
      </c>
      <c r="C90" s="3">
        <f>O84+C83</f>
        <v>8.5523853184539149</v>
      </c>
      <c r="E90" s="10" t="s">
        <v>10</v>
      </c>
      <c r="F90" s="1">
        <f>-B91*COS(B6)+B1*COS(C88)+B2*COS(C90)-B3*COS(C4)</f>
        <v>2.2011888540343674</v>
      </c>
      <c r="H90" s="8" t="s">
        <v>7</v>
      </c>
      <c r="I90" s="8" t="s">
        <v>9</v>
      </c>
      <c r="J90" s="4"/>
      <c r="K90" s="8" t="s">
        <v>7</v>
      </c>
      <c r="L90" s="8" t="s">
        <v>9</v>
      </c>
      <c r="M90" s="20"/>
      <c r="O90" s="22"/>
    </row>
    <row r="91" spans="1:15" x14ac:dyDescent="0.35">
      <c r="A91" s="2" t="s">
        <v>9</v>
      </c>
      <c r="B91" s="6">
        <f>O85+B84</f>
        <v>-4.7209876812894542</v>
      </c>
      <c r="C91" s="3"/>
      <c r="E91" s="10" t="s">
        <v>11</v>
      </c>
      <c r="F91" s="1">
        <f>-B91*SIN(B6)+B1*SIN(C88)+B2*SIN(C90)-B3*SIN(C4)</f>
        <v>2.1904350445566054</v>
      </c>
      <c r="H91" s="3">
        <f>-B2*SIN(C90)</f>
        <v>-9.1904350445566081</v>
      </c>
      <c r="I91" s="3">
        <f>-COS(B6)</f>
        <v>-1</v>
      </c>
      <c r="J91" s="4"/>
      <c r="K91" s="3" cm="1">
        <f t="array" ref="K91:L92">MINVERSE(H91:I92)</f>
        <v>0</v>
      </c>
      <c r="L91" s="3">
        <v>-0.12960164827440579</v>
      </c>
      <c r="M91" s="3">
        <f>-F90</f>
        <v>-2.2011888540343674</v>
      </c>
      <c r="O91" s="1" cm="1">
        <f t="array" ref="O91:O92">MMULT(K91:L92,M91:M92)</f>
        <v>0.28388399221255756</v>
      </c>
    </row>
    <row r="92" spans="1:15" x14ac:dyDescent="0.35">
      <c r="H92" s="3">
        <f>B2*COS(C90)</f>
        <v>-7.7159512499617167</v>
      </c>
      <c r="I92" s="3">
        <f>-SIN(B6)</f>
        <v>0</v>
      </c>
      <c r="J92" s="4"/>
      <c r="K92" s="3">
        <v>-1</v>
      </c>
      <c r="L92" s="3">
        <v>1.1910955301333983</v>
      </c>
      <c r="M92" s="3">
        <f>-F91</f>
        <v>-2.1904350445566054</v>
      </c>
      <c r="O92" s="1">
        <v>-0.40782853658455664</v>
      </c>
    </row>
  </sheetData>
  <mergeCells count="48">
    <mergeCell ref="H12:I12"/>
    <mergeCell ref="K12:L12"/>
    <mergeCell ref="M12:M13"/>
    <mergeCell ref="O12:O13"/>
    <mergeCell ref="H19:I19"/>
    <mergeCell ref="K19:L19"/>
    <mergeCell ref="M19:M20"/>
    <mergeCell ref="O19:O20"/>
    <mergeCell ref="H26:I26"/>
    <mergeCell ref="K26:L26"/>
    <mergeCell ref="M26:M27"/>
    <mergeCell ref="O26:O27"/>
    <mergeCell ref="H33:I33"/>
    <mergeCell ref="K33:L33"/>
    <mergeCell ref="M33:M34"/>
    <mergeCell ref="O33:O34"/>
    <mergeCell ref="H40:I40"/>
    <mergeCell ref="K40:L40"/>
    <mergeCell ref="M40:M41"/>
    <mergeCell ref="O40:O41"/>
    <mergeCell ref="H47:I47"/>
    <mergeCell ref="K47:L47"/>
    <mergeCell ref="M47:M48"/>
    <mergeCell ref="O47:O48"/>
    <mergeCell ref="H54:I54"/>
    <mergeCell ref="K54:L54"/>
    <mergeCell ref="M54:M55"/>
    <mergeCell ref="O54:O55"/>
    <mergeCell ref="H61:I61"/>
    <mergeCell ref="K61:L61"/>
    <mergeCell ref="M61:M62"/>
    <mergeCell ref="O61:O62"/>
    <mergeCell ref="H68:I68"/>
    <mergeCell ref="K68:L68"/>
    <mergeCell ref="M68:M69"/>
    <mergeCell ref="O68:O69"/>
    <mergeCell ref="H75:I75"/>
    <mergeCell ref="K75:L75"/>
    <mergeCell ref="M75:M76"/>
    <mergeCell ref="O75:O76"/>
    <mergeCell ref="H82:I82"/>
    <mergeCell ref="K82:L82"/>
    <mergeCell ref="M82:M83"/>
    <mergeCell ref="O82:O83"/>
    <mergeCell ref="H89:I89"/>
    <mergeCell ref="K89:L89"/>
    <mergeCell ref="M89:M90"/>
    <mergeCell ref="O89:O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Hoja1</vt:lpstr>
      <vt:lpstr>Hoja2</vt:lpstr>
      <vt:lpstr>a</vt:lpstr>
      <vt:lpstr>b</vt:lpstr>
      <vt:lpstr>c.</vt:lpstr>
      <vt:lpstr>t.1</vt:lpstr>
      <vt:lpstr>t.4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</dc:creator>
  <cp:lastModifiedBy>alejandro arango</cp:lastModifiedBy>
  <dcterms:created xsi:type="dcterms:W3CDTF">2022-04-28T02:19:45Z</dcterms:created>
  <dcterms:modified xsi:type="dcterms:W3CDTF">2022-04-29T04:22:55Z</dcterms:modified>
</cp:coreProperties>
</file>